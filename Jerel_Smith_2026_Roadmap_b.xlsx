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8_{183B0425-10C0-A048-8209-17CE4765D730}" xr6:coauthVersionLast="47" xr6:coauthVersionMax="47" xr10:uidLastSave="{00000000-0000-0000-0000-000000000000}"/>
  <bookViews>
    <workbookView xWindow="21600" yWindow="7560" windowWidth="38400" windowHeight="21000" activeTab="3" xr2:uid="{A076985F-6CFB-DB49-A7AE-C6E23E578DA1}"/>
  </bookViews>
  <sheets>
    <sheet name="Roadmap (Auto)" sheetId="13" r:id="rId1"/>
    <sheet name="Quaterly" sheetId="2" state="hidden" r:id="rId2"/>
    <sheet name="Monthly" sheetId="3" state="hidden" r:id="rId3"/>
    <sheet name="UX + Dev" sheetId="4" r:id="rId4"/>
    <sheet name="Model (Don't Touch)" sheetId="11" state="hidden" r:id="rId5"/>
    <sheet name="Obsolete" sheetId="7" state="hidden" r:id="rId6"/>
    <sheet name="Control" sheetId="6" r:id="rId7"/>
    <sheet name="Metrics" sheetId="9" r:id="rId8"/>
    <sheet name="GA4" sheetId="10" r:id="rId9"/>
    <sheet name="Roadmap Calc (Don’t Touch)" sheetId="14" state="hidden" r:id="rId10"/>
  </sheets>
  <definedNames>
    <definedName name="_xlnm._FilterDatabase" localSheetId="3" hidden="1">'UX + Dev'!$A$1:$BJ$47</definedName>
    <definedName name="_xlnm.Print_Area" localSheetId="3">'UX + Dev'!$B$1:$AV$28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<sst xmlns="http://schemas.openxmlformats.org/spreadsheetml/2006/main" count="2315" uniqueCount="928">
  <si>
    <t>Product Roadmap - 2026-2027</t>
  </si>
  <si>
    <t>(All)</t>
  </si>
  <si>
    <t>Theme, then Status</t>
  </si>
  <si>
    <t>Select Portfolio</t>
  </si>
  <si>
    <t>Select Theme</t>
  </si>
  <si>
    <t>Select Status</t>
  </si>
  <si>
    <t>Sort by</t>
  </si>
  <si>
    <t>Status, then Theme</t>
  </si>
  <si>
    <t>Dev start (earliest)</t>
  </si>
  <si>
    <t>Description</t>
  </si>
  <si>
    <t>UX start (earliest)</t>
  </si>
  <si>
    <t>Measure adoption</t>
  </si>
  <si>
    <t>Deliverable A-Z</t>
  </si>
  <si>
    <t>Measure impact</t>
  </si>
  <si>
    <t>UX</t>
  </si>
  <si>
    <t>UX work in month</t>
  </si>
  <si>
    <t>DEV</t>
  </si>
  <si>
    <t>Dev sprint</t>
  </si>
  <si>
    <t>BOTH</t>
  </si>
  <si>
    <t>Both, same month</t>
  </si>
  <si>
    <t>Q1</t>
  </si>
  <si>
    <t>Q2</t>
  </si>
  <si>
    <t>Q3</t>
  </si>
  <si>
    <t>Q4</t>
  </si>
  <si>
    <t>Theme (swim lane)</t>
  </si>
  <si>
    <t>Deliverable (BHP Link)</t>
  </si>
  <si>
    <t>Jira</t>
  </si>
  <si>
    <t>Status</t>
  </si>
  <si>
    <t>UX From</t>
  </si>
  <si>
    <t>UX To</t>
  </si>
  <si>
    <t>UX Wks</t>
  </si>
  <si>
    <t>Dev From</t>
  </si>
  <si>
    <t>Dev To</t>
  </si>
  <si>
    <t>Jan</t>
  </si>
  <si>
    <t>Feb</t>
  </si>
  <si>
    <t>Mar</t>
  </si>
  <si>
    <t>Apr</t>
  </si>
  <si>
    <t>May</t>
  </si>
  <si>
    <t>Jun</t>
  </si>
  <si>
    <t>Jul</t>
  </si>
  <si>
    <t>Aug</t>
  </si>
  <si>
    <t>Sep</t>
  </si>
  <si>
    <t>Oct</t>
  </si>
  <si>
    <t>Nov</t>
  </si>
  <si>
    <t>Dec</t>
  </si>
  <si>
    <t>_theme</t>
  </si>
  <si>
    <t>_row</t>
  </si>
  <si>
    <t>How this tab works</t>
  </si>
  <si>
    <t>• Every row is generated from the UX Weekly tab. Add, edit or delete a row there — Theme #1, Title, Jira, Status and the weekly resourcing cells — and this roadmap redraws itself. Nothing here is typed by hand.</t>
  </si>
  <si>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</si>
  <si>
    <t>• Sorting by anything other than Theme breaks the lanes apart on purpose — the theme name then repeats beside each row so you can still see which lane it belongs to.</t>
  </si>
  <si>
    <t>• Swim lanes = Theme #1, ordered by the Theme list on the Control tab; rows sort by Theme, then Status. Click a theme name to jump to its definition on Control; click a Jira number or a deliverable to open the ticket in Jira.</t>
  </si>
  <si>
    <t>• Blue “U” means that month contains at least one week resourced to a designer on UX Weekly. Gaps are real — a month with no name in any of its week columns stays blank, so stop-start work reads as stop-start.</t>
  </si>
  <si>
    <t>• “UX From”/“UX To” are the first and last resourced week; “UX Wks” counts the weeks actually resourced between them. A wide envelope with a low week count means the work is scheduled in separate blocks.</t>
  </si>
  <si>
    <t>• Green “D” is the dev sprint window from Start Sprint / End Sprint on Dev Tracker, which is month-level rather than weekly. Purple “B” = both in the same month.</t>
  </si>
  <si>
    <t>• Dev Tracker is row-aligned with UX Weekly (row 12 there is row 12 here), so sprint dates are read directly — no title matching, and nothing can drift out of sync.</t>
  </si>
  <si>
    <t>• The amber column is the current month. Rows 7–80 are pre-wired, so up to 74 deliverables fit without touching a formula. A Start/End Sprint with no year is read as the current year.</t>
  </si>
  <si>
    <t>• Deliverable links use the Product Ticket column (L) on Dev Tracker. Add a ticket there for a new row and its link starts working here.</t>
  </si>
  <si>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</si>
  <si>
    <t>• The full theme reference below the notes prints with the sheet, so a shared or printed copy carries the definitions even though the panel only shows one theme at a time.</t>
  </si>
  <si>
    <t>• Hidden tab “Roadmap Calc (Don’t Touch)” does the lookup, the per-month week test and the sorting. Unhide it to audit; don’t edit it.</t>
  </si>
  <si>
    <t>Theme reference — pulled live from the Control tab</t>
  </si>
  <si>
    <t>Theme</t>
  </si>
  <si>
    <t>2026 Roadmap - Jerel Smith</t>
  </si>
  <si>
    <t>Q1 2026</t>
  </si>
  <si>
    <t>Q2 2026</t>
  </si>
  <si>
    <t>Q3 2026</t>
  </si>
  <si>
    <t>Q4 2026</t>
  </si>
  <si>
    <t>Q1 2027</t>
  </si>
  <si>
    <t>Q2 2027</t>
  </si>
  <si>
    <t>Q3 2027</t>
  </si>
  <si>
    <t>Q4 2027</t>
  </si>
  <si>
    <t>Q1 2028</t>
  </si>
  <si>
    <t>Q2 2028</t>
  </si>
  <si>
    <t>Q3 2028</t>
  </si>
  <si>
    <t>Q4 2028</t>
  </si>
  <si>
    <t>1. B2B</t>
  </si>
  <si>
    <t>Freeze</t>
  </si>
  <si>
    <t>PMO-5000</t>
  </si>
  <si>
    <t>&gt;CMS Lite</t>
  </si>
  <si>
    <t>Discovery</t>
  </si>
  <si>
    <t>Design + Dev</t>
  </si>
  <si>
    <t>Dev + Live</t>
  </si>
  <si>
    <t>&gt;Sign Up</t>
  </si>
  <si>
    <t>&gt;Internal Pages</t>
  </si>
  <si>
    <t>Discovery + Research</t>
  </si>
  <si>
    <t>B2B Hub Health Dashboard</t>
  </si>
  <si>
    <t>All</t>
  </si>
  <si>
    <t>The Studio</t>
  </si>
  <si>
    <t>Categories</t>
  </si>
  <si>
    <t>Stakeholder Input</t>
  </si>
  <si>
    <t>&gt;Landing Page</t>
  </si>
  <si>
    <t>&gt;Multi-Page</t>
  </si>
  <si>
    <t>2. Used</t>
  </si>
  <si>
    <t>Sell Used/Trade In</t>
  </si>
  <si>
    <t>&gt;Sell Used Experience</t>
  </si>
  <si>
    <t>Live</t>
  </si>
  <si>
    <t>&gt;Trade In Experience</t>
  </si>
  <si>
    <t>Trade In Emails</t>
  </si>
  <si>
    <t>…Live</t>
  </si>
  <si>
    <t>Used Hub Health Dashboard</t>
  </si>
  <si>
    <t>Condition Rating Scale</t>
  </si>
  <si>
    <t>&gt;New Condition Rating Scale</t>
  </si>
  <si>
    <t>Design</t>
  </si>
  <si>
    <t>PDP - Group By Condition</t>
  </si>
  <si>
    <t>PLP - Roll Up By Condition</t>
  </si>
  <si>
    <t>Actual Used Images (Tim)</t>
  </si>
  <si>
    <t>Dev</t>
  </si>
  <si>
    <t>Operationalize</t>
  </si>
  <si>
    <t>3. Legacy Find (Submitting to Dev - Not Owning Afterwards)</t>
  </si>
  <si>
    <t>Mega Menu</t>
  </si>
  <si>
    <t>Roll Up SKUs</t>
  </si>
  <si>
    <t>Design + Grooming</t>
  </si>
  <si>
    <t>Nested Refinements</t>
  </si>
  <si>
    <t>Discovery + Design</t>
  </si>
  <si>
    <t xml:space="preserve">Journey/Initiative </t>
  </si>
  <si>
    <t>Enterprise Platforms &amp; Used</t>
  </si>
  <si>
    <t>January</t>
  </si>
  <si>
    <t>February</t>
  </si>
  <si>
    <t>March</t>
  </si>
  <si>
    <t>April</t>
  </si>
  <si>
    <t>June</t>
  </si>
  <si>
    <t>July</t>
  </si>
  <si>
    <t>August</t>
  </si>
  <si>
    <t>September</t>
  </si>
  <si>
    <t>October</t>
  </si>
  <si>
    <t>November</t>
  </si>
  <si>
    <t>December</t>
  </si>
  <si>
    <t>&gt;Weblogic-&gt; Apeture/JSON Led</t>
  </si>
  <si>
    <t>Research</t>
  </si>
  <si>
    <t>EDU</t>
  </si>
  <si>
    <t>Socialize</t>
  </si>
  <si>
    <t>Product</t>
  </si>
  <si>
    <t>Portfolio</t>
  </si>
  <si>
    <t>Theme #1</t>
  </si>
  <si>
    <t>Theme #2</t>
  </si>
  <si>
    <t>Title</t>
  </si>
  <si>
    <t>Jerel Smith</t>
  </si>
  <si>
    <t>Used</t>
  </si>
  <si>
    <t>Improve Buy Used Customer Experience</t>
  </si>
  <si>
    <t>Improve Trade In User Flow</t>
  </si>
  <si>
    <t>New Condition Rating Scale</t>
  </si>
  <si>
    <t>BHUX-33510</t>
  </si>
  <si>
    <t>00. Parking Lot</t>
  </si>
  <si>
    <t>Leo</t>
  </si>
  <si>
    <t>B2B</t>
  </si>
  <si>
    <t>Increase B2B Acquisition</t>
  </si>
  <si>
    <t>B2B Hub - Logged In B2B Experience</t>
  </si>
  <si>
    <t>BHP-6901</t>
  </si>
  <si>
    <t>Jaye</t>
  </si>
  <si>
    <t>Improve The Studio B&amp;H Customer Experience</t>
  </si>
  <si>
    <t>B2B - The Studio Categories</t>
  </si>
  <si>
    <t>BHUX-33434</t>
  </si>
  <si>
    <t>01. Prod Discovery</t>
  </si>
  <si>
    <t>Hilli</t>
  </si>
  <si>
    <t>Increase The Studio B&amp;H Awareness</t>
  </si>
  <si>
    <t>The Studio - Stand Alone Website</t>
  </si>
  <si>
    <t>Sumit</t>
  </si>
  <si>
    <t>BHP-7274</t>
  </si>
  <si>
    <t>Increase Trade In Awareness</t>
  </si>
  <si>
    <t>Decouple Sell Used from Used Hub</t>
  </si>
  <si>
    <t>BHP-7431</t>
  </si>
  <si>
    <t>Sell Used Purchase Look Up</t>
  </si>
  <si>
    <t>BHP-7236</t>
  </si>
  <si>
    <t>02. UX Req</t>
  </si>
  <si>
    <t>John</t>
  </si>
  <si>
    <t>Used Activity Notification</t>
  </si>
  <si>
    <t>BHP-7237</t>
  </si>
  <si>
    <t>The Studio - Enhanced Landing Page</t>
  </si>
  <si>
    <t>BHP-6444</t>
  </si>
  <si>
    <t>Increase Buy Used Awareness</t>
  </si>
  <si>
    <t>Used Hub - Just Added Component</t>
  </si>
  <si>
    <t>BHP-7229</t>
  </si>
  <si>
    <t>The Studio - Category Hybrid Page</t>
  </si>
  <si>
    <t>BHP-7301</t>
  </si>
  <si>
    <t>Used Just Added Page</t>
  </si>
  <si>
    <t>BHP-7230</t>
  </si>
  <si>
    <t>Nachman</t>
  </si>
  <si>
    <t>Increase Awareness of Trade In Offers - Best Buy Inspiration/Competitive Effort</t>
  </si>
  <si>
    <t>BHP-6827</t>
  </si>
  <si>
    <t>Out of stock Alerts for used products</t>
  </si>
  <si>
    <t>BHUX-35020</t>
  </si>
  <si>
    <t>03. UX Discovery</t>
  </si>
  <si>
    <t>The Studio - B&amp;H Awareness on High Ticket Items</t>
  </si>
  <si>
    <t>BHUX-35304</t>
  </si>
  <si>
    <t>Improve Discovery</t>
  </si>
  <si>
    <t>Add New | Used tab to all listing pages and search results pages</t>
  </si>
  <si>
    <t>BHUX-35303</t>
  </si>
  <si>
    <t>Find</t>
  </si>
  <si>
    <t>Highlighted Refinements Enhancement</t>
  </si>
  <si>
    <t>BHUX-35302 </t>
  </si>
  <si>
    <t>04. UX Design</t>
  </si>
  <si>
    <t>Trade In Email - Comprehensive Refresh Discovery</t>
  </si>
  <si>
    <t>BHUX-34772</t>
  </si>
  <si>
    <t>Used - Sell Used Experience</t>
  </si>
  <si>
    <t>BHUX-33009</t>
  </si>
  <si>
    <t>Add 'shop by popular brands' section to Used Homepage</t>
  </si>
  <si>
    <t>BHUX-34844</t>
  </si>
  <si>
    <t>Shop By Popular Brand' Listing Pages Discovery</t>
  </si>
  <si>
    <t>BHUX-34845</t>
  </si>
  <si>
    <t>My Account &gt; Trade In Awareness</t>
  </si>
  <si>
    <t>BHUX-35010</t>
  </si>
  <si>
    <t>Mehek</t>
  </si>
  <si>
    <t>B2B/Used</t>
  </si>
  <si>
    <t>B2B &amp; Used Visibility in the Nav</t>
  </si>
  <si>
    <t>BHUX-34378</t>
  </si>
  <si>
    <t>Sell Used User Flow Design Validation</t>
  </si>
  <si>
    <t>BHUR-133</t>
  </si>
  <si>
    <t>04A. Research - Design Validation</t>
  </si>
  <si>
    <t>Hanna</t>
  </si>
  <si>
    <t>Used Status Email Update</t>
  </si>
  <si>
    <t>BHUX-34723</t>
  </si>
  <si>
    <t>06. Architecture</t>
  </si>
  <si>
    <t>PDP Purchased in 20XX, Trade In Value is $YYY.YY</t>
  </si>
  <si>
    <t>BHUX-35309</t>
  </si>
  <si>
    <t>Alice</t>
  </si>
  <si>
    <t>B2B Hub Landing Page - redesign</t>
  </si>
  <si>
    <t>BHUX-26541 </t>
  </si>
  <si>
    <t>07. Grooming</t>
  </si>
  <si>
    <t>B2B Hub - Revisit Signup Flow</t>
  </si>
  <si>
    <t>BHUX-31874</t>
  </si>
  <si>
    <t>B2B Hub Redesign - Internal Pages</t>
  </si>
  <si>
    <t>BHUX-32257</t>
  </si>
  <si>
    <t>New Condition Rating Scale (Intermediate Step)</t>
  </si>
  <si>
    <t>BHJ-121278</t>
  </si>
  <si>
    <t>BHUX-29580</t>
  </si>
  <si>
    <t>08. Ready for Dev</t>
  </si>
  <si>
    <t>Laura</t>
  </si>
  <si>
    <t>School Safety Landing Page</t>
  </si>
  <si>
    <t>BHUX-34377</t>
  </si>
  <si>
    <t>BHUX-32621</t>
  </si>
  <si>
    <t>Sunset Modals for Drawers</t>
  </si>
  <si>
    <t>BHUX-32543 </t>
  </si>
  <si>
    <t>09. In Dev</t>
  </si>
  <si>
    <t>Trade In Discrepancy Email Refresh (Copy Only)</t>
  </si>
  <si>
    <t>Condition Grouping</t>
  </si>
  <si>
    <t>BHUX-33519</t>
  </si>
  <si>
    <t>10. QA</t>
  </si>
  <si>
    <t>Sliders</t>
  </si>
  <si>
    <t>BHUX-17615</t>
  </si>
  <si>
    <t>13. Live</t>
  </si>
  <si>
    <t>Refinement - Select All/Deselect All</t>
  </si>
  <si>
    <t>BHUX-23755</t>
  </si>
  <si>
    <t>My Gear 2 - Tray</t>
  </si>
  <si>
    <t>BHUX-28124</t>
  </si>
  <si>
    <t>H2 on listing pages</t>
  </si>
  <si>
    <t>BHUX-31245</t>
  </si>
  <si>
    <t>Sunset Dealzone</t>
  </si>
  <si>
    <t>BHUX-32071</t>
  </si>
  <si>
    <t>Highlighted Refinements</t>
  </si>
  <si>
    <t>BHUX-29921</t>
  </si>
  <si>
    <t>EDU Homepage</t>
  </si>
  <si>
    <t>BHUX-25601</t>
  </si>
  <si>
    <t>Actual Used Images</t>
  </si>
  <si>
    <t>BHP-4563</t>
  </si>
  <si>
    <t>Used Hub Enhancements</t>
  </si>
  <si>
    <t>BHUX-31354 </t>
  </si>
  <si>
    <t>Tech</t>
  </si>
  <si>
    <t>Start Sprint</t>
  </si>
  <si>
    <t>End Sprint</t>
  </si>
  <si>
    <t>Notes</t>
  </si>
  <si>
    <t>Product Ticket</t>
  </si>
  <si>
    <t>BHJ</t>
  </si>
  <si>
    <t>Jan 2027</t>
  </si>
  <si>
    <t>BHP-4771</t>
  </si>
  <si>
    <t>Mar 2027</t>
  </si>
  <si>
    <t>May 2027</t>
  </si>
  <si>
    <t>Dec 2026</t>
  </si>
  <si>
    <t>BHP-6446</t>
  </si>
  <si>
    <t>Navigation</t>
  </si>
  <si>
    <t>Nov 2026</t>
  </si>
  <si>
    <t>Feb 2027</t>
  </si>
  <si>
    <t>UNIX</t>
  </si>
  <si>
    <t>Oct 2026</t>
  </si>
  <si>
    <t>BIDW</t>
  </si>
  <si>
    <t>BHP-4792</t>
  </si>
  <si>
    <t>BHP-7239</t>
  </si>
  <si>
    <t>BHP-5726</t>
  </si>
  <si>
    <t>BHP-7266</t>
  </si>
  <si>
    <t>BHP-6391</t>
  </si>
  <si>
    <t>BHP-6434</t>
  </si>
  <si>
    <t>BHP-6735</t>
  </si>
  <si>
    <t>PDP</t>
  </si>
  <si>
    <t>BHP-7196</t>
  </si>
  <si>
    <t>BHP-6900</t>
  </si>
  <si>
    <t>BHP-7145</t>
  </si>
  <si>
    <t>BHP-7228</t>
  </si>
  <si>
    <t>DBA</t>
  </si>
  <si>
    <t>BHP-7238</t>
  </si>
  <si>
    <t>Sep 2026</t>
  </si>
  <si>
    <t>BHP-5830</t>
  </si>
  <si>
    <t>BHP-2802</t>
  </si>
  <si>
    <t>Aug 2026</t>
  </si>
  <si>
    <t>BHP-6228</t>
  </si>
  <si>
    <t>Jul 2026</t>
  </si>
  <si>
    <t>BHP-4518</t>
  </si>
  <si>
    <t>BHP-3757</t>
  </si>
  <si>
    <t>BHP-2638</t>
  </si>
  <si>
    <t>BHP-5060</t>
  </si>
  <si>
    <t>MRCH-2202</t>
  </si>
  <si>
    <t>BHJ-119850</t>
  </si>
  <si>
    <t>BHP-5132</t>
  </si>
  <si>
    <t>BHP-3583</t>
  </si>
  <si>
    <t>BHP-5817</t>
  </si>
  <si>
    <t>Reduce impediments and increase transparency/trust across internal teams by answering the following questions:</t>
  </si>
  <si>
    <t>Who wants this?</t>
  </si>
  <si>
    <t>Why are we doing this?</t>
  </si>
  <si>
    <t>What's the bigger picture?</t>
  </si>
  <si>
    <t>How do we know if it worked?</t>
  </si>
  <si>
    <t>Where will the customer encounter this experience?</t>
  </si>
  <si>
    <t>Portfolios</t>
  </si>
  <si>
    <t>Who are the primary stakeholders?</t>
  </si>
  <si>
    <t>What are the ongoing high level efforts that create a positive impact on customer experience and revenue?</t>
  </si>
  <si>
    <t>What is the sequence of deliverables and why?</t>
  </si>
  <si>
    <t>Metrics</t>
  </si>
  <si>
    <t>Through which lens do we judge performance/success?</t>
  </si>
  <si>
    <t>Components</t>
  </si>
  <si>
    <t>What elements are involved in this theme/request?</t>
  </si>
  <si>
    <t>GA4</t>
  </si>
  <si>
    <t>Is the Component tagged? If so, is it tagged in a meaningful way?</t>
  </si>
  <si>
    <t>Brendan Bagley</t>
  </si>
  <si>
    <t>Tax &amp; Net 30 Terms On CompanyID</t>
  </si>
  <si>
    <t>BHUX-33524</t>
  </si>
  <si>
    <t>06. Architecutre</t>
  </si>
  <si>
    <t>B2B Updated Expired Tax Exemption</t>
  </si>
  <si>
    <t>BHUX-33186</t>
  </si>
  <si>
    <t>05. Business Review</t>
  </si>
  <si>
    <t>Site Support</t>
  </si>
  <si>
    <t>Enable Editable Email Addresses in the ShipTo</t>
  </si>
  <si>
    <t>BHUX-34079</t>
  </si>
  <si>
    <t>B2B Portals</t>
  </si>
  <si>
    <t>Identify Users via the PunchoutSetupRequest and Give them Limited User-Based Features</t>
  </si>
  <si>
    <t>BHUX-33409</t>
  </si>
  <si>
    <t>Update Punch out Cart to match B2B/B2B cart/checkout</t>
  </si>
  <si>
    <t>BHUX-33526</t>
  </si>
  <si>
    <t>Gradus equivalents in B2B Quotes</t>
  </si>
  <si>
    <t>BHUX-33797</t>
  </si>
  <si>
    <t>Closed as later</t>
  </si>
  <si>
    <t>Measure Adoption</t>
  </si>
  <si>
    <t>Measure Impact</t>
  </si>
  <si>
    <t>Event Taxonomy</t>
  </si>
  <si>
    <t>Sprint</t>
  </si>
  <si>
    <t>OG Find initaitives that Jerel still owns</t>
  </si>
  <si>
    <t>Refinement usage rate, Search-to-listing CTR, Mega menu / nav click through rate, Sessions using two or more filters</t>
  </si>
  <si>
    <t>Listing-to-PDP rate, Zero-result search rate, Search-attributed conversion rate, Time to first PDP view</t>
  </si>
  <si>
    <t>01A. Research - Foundational</t>
  </si>
  <si>
    <t>Surface trade-in as a clear, relevant option at high-intent moments, Order History, PDPs, post-purchase, so customers who own eligible gear know they can trade it in.</t>
  </si>
  <si>
    <t>Trade-in CTA Impressions (Order History/PDP), CTA Click through rate, % of eligible sessions exposed to CTA</t>
  </si>
  <si>
    <t>New to trade in quote starts, Quote start rate among CTA exposed users, Assisted trade-in revenue (CTA attributed)</t>
  </si>
  <si>
    <t>listing_page_clicks</t>
  </si>
  <si>
    <t>Jan 2026</t>
  </si>
  <si>
    <t>Reduce friction in the sell/trade-in submission flow: search, quote, shipping/drop-off, to raise completion and quote-to-conversion rates.</t>
  </si>
  <si>
    <t>% started quotes completed, Time to quote (median), Post-acceptance ststus engagement rate</t>
  </si>
  <si>
    <t>Quote-to-accepted-offer rate, Drop-off rate by flow step, sell-flow CSAT (isolated), Support contact rate per quote, Payout cycle time (accepted&gt;paid)</t>
  </si>
  <si>
    <t>category_page_clicks</t>
  </si>
  <si>
    <t>Feb 2026</t>
  </si>
  <si>
    <t>Increase Trade In Reactivation</t>
  </si>
  <si>
    <t>Re-engage past customers with unused eligible gear via triggered emails tied to purchase timing and inventory demand signals.</t>
  </si>
  <si>
    <t>Reactivation email open rate, reactivation email CTR, quote starts attributed to email</t>
  </si>
  <si>
    <t>Reactivated quote to completion rate, revenue from reactivated sellers, days since last purchase &gt; trade in (trend)</t>
  </si>
  <si>
    <t>detail_page_clicks</t>
  </si>
  <si>
    <t>Mar 2026</t>
  </si>
  <si>
    <t>Grow discovery of the Used Hub and used inventory through SEO, brand listing pages, and internal linking so more shoppers know B&amp;H sells used gear.</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</si>
  <si>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</si>
  <si>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</si>
  <si>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header_clicks</t>
  </si>
  <si>
    <t>Apr 2026</t>
  </si>
  <si>
    <t>Make used PDPs and listing pages easier to evaluate, increase condition clarity, provide product photos, and filtering, so shoppers can confidently purchase used gear</t>
  </si>
  <si>
    <t>PLP filter usage rate, used pdp engagement rate (photo/spec expansion), order status page engagement rate</t>
  </si>
  <si>
    <t>Used PDP-to-cart rate, Used cart-to-purchase rate, Post-Purchase CSAT (isolated)</t>
  </si>
  <si>
    <t>mega_menu_clicks</t>
  </si>
  <si>
    <t>May 2026</t>
  </si>
  <si>
    <t>Increase Buy Used Reactivation</t>
  </si>
  <si>
    <t>Win back past buyers with relevant used-inventory alerts and win-back offers matched to their purchase history</t>
  </si>
  <si>
    <t>Win Back email open rate, win-back email CTR, Browse to used PDP rate from email</t>
  </si>
  <si>
    <t>Repeat used-purchase rate, Revenue from reactivated buyers, Time-since-last-purchase &gt; repurchase (trend)</t>
  </si>
  <si>
    <t>typeahead_suggestion_clicks</t>
  </si>
  <si>
    <t>Jun 2026</t>
  </si>
  <si>
    <t>Grow the pipeline of registered B2B accounts by making the B2B Hub, EDU and vertical landing pages easier to find and sign up from, so qualifying organisations self-serve rather than routing through sales.</t>
  </si>
  <si>
    <t>Sessions to B2B Hub / EDU / vertical landing pages, Sign-up form starts, Sign-up CTA click through rate, % of B2B sessions reaching a landing page</t>
  </si>
  <si>
    <t>Completed B2B registrations, Registration-to-first-order rate, New B2B accounts per month, Revenue from newly registered accounts</t>
  </si>
  <si>
    <t>footer_clicks</t>
  </si>
  <si>
    <t>Build awareness that The Studio is a B&amp;H offering by surfacing B&amp;H branding and cross-links on high-ticket products and Studio entry points, so customers connect the two.</t>
  </si>
  <si>
    <t>Sessions to Studio landing and category pages, B&amp;H awareness module impressions on high-ticket PDPs, Cross-link click through rate, Organic impressions for Studio terms</t>
  </si>
  <si>
    <t>New-to-Studio sessions, Studio PDP views per session, Studio share of high-ticket category traffic, Assisted Studio revenue</t>
  </si>
  <si>
    <t>home_page_clicks</t>
  </si>
  <si>
    <t>Make Studio category, landing and hybrid pages easier to evaluate and navigate, so customers can compare and specify Studio products without leaving for a sales conversation.</t>
  </si>
  <si>
    <t>Studio category page engagement rate, Hybrid page filter usage, Spec / detail expansion rate, Quote or enquiry form starts</t>
  </si>
  <si>
    <t>Studio PDP-to-cart rate, Enquiry-to-quote rate, Studio CSAT (isolated), Support contact rate per Studio session</t>
  </si>
  <si>
    <t>nav_drawer_clicks</t>
  </si>
  <si>
    <t>Increase Trust &amp; Condition Transparency</t>
  </si>
  <si>
    <t>Cross-cutting theme covering whether customers believe the grading/condition information is accurate and complete, ties directly to condition rating scale and PDP condition grouping work, and carries COO-level visibility</t>
  </si>
  <si>
    <t>Condition information expansion rate on used PDPs, Actual-image gallery engagement rate, Condition rating scale page views, Filter usage by condition</t>
  </si>
  <si>
    <t>Used PDP-to-cart rate by condition, Condition-related return rate, Condition-related support contacts per order, Post-purchase CSAT on condition accuracy</t>
  </si>
  <si>
    <t>cart_page_clicks</t>
  </si>
  <si>
    <t>Improve Search &amp; Findability</t>
  </si>
  <si>
    <t>Cross-cutting theme spanning sell-side item search (finding what you own to quote it) and buy-side discovery (finding used inventory to purchase). Flagged as the single highest-priority friction point across VoC research on both sides.</t>
  </si>
  <si>
    <t>Search usage rate (sell and buy side), Refinement usage per search, Typeahead selection rate, Searches per session</t>
  </si>
  <si>
    <t>Zero-result search rate, Search-to-PDP rate, Search-attributed quote starts (sell side), Search-attributed used purchases (buy side)</t>
  </si>
  <si>
    <t>checkout_page_clicks</t>
  </si>
  <si>
    <t>checkout_impression</t>
  </si>
  <si>
    <t>11. UAT</t>
  </si>
  <si>
    <t>login_layer_clicks</t>
  </si>
  <si>
    <t>12. Release</t>
  </si>
  <si>
    <t>profile_menu_clicks</t>
  </si>
  <si>
    <t>my_account_clicks</t>
  </si>
  <si>
    <t>order_history_detail_clicks</t>
  </si>
  <si>
    <t>Apr 2027</t>
  </si>
  <si>
    <t>modify_order_page_clicks</t>
  </si>
  <si>
    <t>static_pages_clicks</t>
  </si>
  <si>
    <t>Jun 2027</t>
  </si>
  <si>
    <t>gift_ideas_clicks</t>
  </si>
  <si>
    <t>Jul 2027</t>
  </si>
  <si>
    <t>leasing_page_clicks</t>
  </si>
  <si>
    <t>Aug 2027</t>
  </si>
  <si>
    <t>payboo_page_clicks</t>
  </si>
  <si>
    <t>Sep 2027</t>
  </si>
  <si>
    <t>payboo_sdk_clicks</t>
  </si>
  <si>
    <t>Oct 2027</t>
  </si>
  <si>
    <t>Nov 2027</t>
  </si>
  <si>
    <t>Dec 2027</t>
  </si>
  <si>
    <t>Metric</t>
  </si>
  <si>
    <t>Calculation</t>
  </si>
  <si>
    <t>Why it Matters</t>
  </si>
  <si>
    <t>Type</t>
  </si>
  <si>
    <t>Source</t>
  </si>
  <si>
    <t>Available</t>
  </si>
  <si>
    <t>Trade-in CTA Impressions (Order History/PDP)</t>
  </si>
  <si>
    <t>The number of times a trade-in call-to-action (button, banner, or module) was actually rendered and seen through out the site.</t>
  </si>
  <si>
    <t>Count of CTA element view events, deduped per session.</t>
  </si>
  <si>
    <t>Impressions are the ceiling on everything downstream. If the CTA isn't being shown, nothing else in this theme can move.</t>
  </si>
  <si>
    <t>Adoption</t>
  </si>
  <si>
    <t>Homepage Banner, PDP, PLP, My Account</t>
  </si>
  <si>
    <t>CTA Click through rate</t>
  </si>
  <si>
    <t>Of the sessions where the CTA was shown, the share that clicked it.</t>
  </si>
  <si>
    <t>CTA clicks ÷ CTA impressions.</t>
  </si>
  <si>
    <t>Tells you whether the CTA itself (copy, placement, design) is compelling, independent of how often it's shown.</t>
  </si>
  <si>
    <t>% of eligible sessions exposed to CTA</t>
  </si>
  <si>
    <t>Of all sessions where a customer has an eligible order/product (i.e. the CTA logic should have fired), the share that actually saw it.</t>
  </si>
  <si>
    <t>Sessions with CTA impression ÷ sessions meeting eligibility criteria.</t>
  </si>
  <si>
    <t>Separates "the CTA doesn't work well" from "the CTA isn't reaching who it should," a targeting/eligibility-logic health check.</t>
  </si>
  <si>
    <t>New to trade in quote starts</t>
  </si>
  <si>
    <t>Quote submissions started by customers who have never started a trade-in quote before.</t>
  </si>
  <si>
    <t>Count of first-ever quote-start events, matched against customer history in the Quote system.</t>
  </si>
  <si>
    <t>Isolates net-new acquisition from repeat sellers, so the awareness theme is measured on bringing in new sellers, not just repeat activity.</t>
  </si>
  <si>
    <t>Impact</t>
  </si>
  <si>
    <t>Quote system</t>
  </si>
  <si>
    <t>Sell Used Search, My Account Trade In Module, Trade In Page</t>
  </si>
  <si>
    <t>Quote start rate among CTA exposed users</t>
  </si>
  <si>
    <t>Of customers exposed to the trade-in CTA, the share who went on to start a quote (not necessarily via the CTA itself, any path).</t>
  </si>
  <si>
    <t>Quote starts among CTA-exposed users ÷ CTA-exposed users.</t>
  </si>
  <si>
    <t>The real end-to-end conversion signal for the awareness surface, closer to business outcome than CTR alone.</t>
  </si>
  <si>
    <t>GA4 + Quote system</t>
  </si>
  <si>
    <t>Assisted trade-in revenue (CTA attributed)</t>
  </si>
  <si>
    <t>Dollar value of inventory acquired through trade-ins where the CTA played a role in the customer's path, even if not the last touch before quoting.</t>
  </si>
  <si>
    <t>Sum of accepted-quote $ value for quotes with a CTA touchpoint anywhere in the session/journey.</t>
  </si>
  <si>
    <t>Awareness surfaces often assist rather than directly convert. Last-touch attribution alone would undercount their value.</t>
  </si>
  <si>
    <t>GA4 + Finance</t>
  </si>
  <si>
    <t>Cross-sell CTA impressions (New PDP / brand pages)</t>
  </si>
  <si>
    <t>Impressions of a trade-in prompt shown while a customer is browsing new (not used) gear, e.g. "have an old one? trade it in."</t>
  </si>
  <si>
    <t>Count of CTA view events on New PDP / brand pages, deduped per session.</t>
  </si>
  <si>
    <t>This is a different acquisition channel than Order History awareness. It reaches people who haven't bought from B&amp;H recently.</t>
  </si>
  <si>
    <t>New PDP Trade In Your Gear</t>
  </si>
  <si>
    <t>Cross-sell-attributed quote starts</t>
  </si>
  <si>
    <t>Quote starts that can be traced back to the cross-sell CTA shown on New PDP/brand pages.</t>
  </si>
  <si>
    <t>Quote-start events with a cross-sell CTA touchpoint in the preceding session(s).</t>
  </si>
  <si>
    <t>Tests whether pulling people out of the New funnel into trade-in actually works as an acquisition channel, distinct from Order History awareness.</t>
  </si>
  <si>
    <t>% started quotes completed</t>
  </si>
  <si>
    <t>Of all quote flows a customer started (searched/selected at least one item), the share that reached a final submitted quote.</t>
  </si>
  <si>
    <t>Completed quote submissions ÷ quote flows started.</t>
  </si>
  <si>
    <t>The single clearest signal of overall flow friction, the headline number for this theme.</t>
  </si>
  <si>
    <t>Time to quote (median)</t>
  </si>
  <si>
    <t>How long it takes a customer to go from starting the flow to receiving a quote value, at the midpoint of the distribution.</t>
  </si>
  <si>
    <t>Median of (quote-received timestamp − flow-start timestamp) across completed quotes.</t>
  </si>
  <si>
    <t>Slow quoting is a known drop-off driver; median avoids a few slow outliers skewing the picture.</t>
  </si>
  <si>
    <t>Post-acceptance status engagement rate</t>
  </si>
  <si>
    <t>Of customers who accepted a quote, the share who opened a status update (email or status page) about shipping/payout progress.</t>
  </si>
  <si>
    <t>Unique opens/views of post-acceptance status content ÷ accepted quotes.</t>
  </si>
  <si>
    <t>Checks whether status communications meant to reduce post-acceptance uncertainty are actually being read.</t>
  </si>
  <si>
    <t>ESP + GA4</t>
  </si>
  <si>
    <t>Email Shipping Email, Trade in Quote Notification</t>
  </si>
  <si>
    <t>Quote-to-accepted-offer rate</t>
  </si>
  <si>
    <t>Of quotes issued to customers, the share the customer actually accepted.</t>
  </si>
  <si>
    <t>Accepted quotes ÷ quotes issued.</t>
  </si>
  <si>
    <t>Distinguishes "the flow works but the price is wrong" (low acceptance) from "the flow itself is broken" (low completion, above).</t>
  </si>
  <si>
    <t>Email CTA</t>
  </si>
  <si>
    <t>Drop-off rate by flow step</t>
  </si>
  <si>
    <t>The percentage of customers who exit at each individual step of the sell flow (e.g. item search, condition selection, shipping info).</t>
  </si>
  <si>
    <t>(Users entering step − users entering next step) ÷ users entering step, per step.</t>
  </si>
  <si>
    <t>Pinpoints exactly where in the flow friction is worst, so fixes can be targeted rather than guessed at.</t>
  </si>
  <si>
    <t>Sell Used Search Box, Sell Used Type Ahead, Sell Used Listing Page, Sell Used Detail Page, Sell Used Review Page</t>
  </si>
  <si>
    <t>Sell-flow CSAT (isolated)</t>
  </si>
  <si>
    <t>Customer satisfaction score from a survey specifically scoped to the sell/trade-in flow, kept separate from site-wide CSAT.</t>
  </si>
  <si>
    <t>Medallia CSAT question average/top-box %, filtered to sell-flow survey instance.</t>
  </si>
  <si>
    <t>Site-wide CSAT would dilute sell-flow-specific pain; isolating it makes the score actionable for this theme.</t>
  </si>
  <si>
    <t>Medallia</t>
  </si>
  <si>
    <t>Support contact rate per quote</t>
  </si>
  <si>
    <t>How often a customer contacts support (chat, phone, email) in connection with a given quote.</t>
  </si>
  <si>
    <t>Support tickets tagged to a quote ID ÷ total quotes.</t>
  </si>
  <si>
    <t>A proxy for hidden friction. High contact rates mean customers can't self-serve through confusion or problems in the flow.</t>
  </si>
  <si>
    <t>Support / CRM</t>
  </si>
  <si>
    <t>Payout cycle time (accepted&gt;paid)</t>
  </si>
  <si>
    <t>Time elapsed from a customer accepting a quote to the payout actually being issued.</t>
  </si>
  <si>
    <t>Payout-issued timestamp − quote-accepted timestamp, median across accepted quotes.</t>
  </si>
  <si>
    <t>Payout speed is a top driver of seller trust and repeat behavior.</t>
  </si>
  <si>
    <t>Finance + WMS</t>
  </si>
  <si>
    <t>Reactivation email open rate</t>
  </si>
  <si>
    <t>Share of sent trade-in reactivation emails that were opened.</t>
  </si>
  <si>
    <t>Unique opens ÷ emails delivered.</t>
  </si>
  <si>
    <t>The first checkpoint. If subject lines/targeting aren't landing, nothing downstream can work.</t>
  </si>
  <si>
    <t>ESP</t>
  </si>
  <si>
    <t>Trade in email</t>
  </si>
  <si>
    <t>Reactivation email CTR</t>
  </si>
  <si>
    <t>Share of sent reactivation emails that resulted in a click.</t>
  </si>
  <si>
    <t>Unique clicks ÷ emails delivered (or ÷ opens, for click-to-open rate).</t>
  </si>
  <si>
    <t>Tests whether the email content/offer itself is compelling once someone opens it.</t>
  </si>
  <si>
    <t>Used Email, Used Email CTA</t>
  </si>
  <si>
    <t>Quote starts attributed to email</t>
  </si>
  <si>
    <t>Quote flows started by a customer within a defined attribution window after clicking a reactivation email.</t>
  </si>
  <si>
    <t>Quote-start events with a reactivation-email click in the prior N days (window TBD).</t>
  </si>
  <si>
    <t>Bridges "they clicked" to "they actually engaged with the trade-in flow."</t>
  </si>
  <si>
    <t>ESP + Quote system</t>
  </si>
  <si>
    <t>Reactivated quote to completion rate</t>
  </si>
  <si>
    <t>Of quotes started via reactivation email, the share that reach a completed/accepted quote.</t>
  </si>
  <si>
    <t>Completed quotes (email-attributed) ÷ quote starts (email-attributed).</t>
  </si>
  <si>
    <t>Checks whether reactivated sellers behave differently than new/organic sellers once in the flow.</t>
  </si>
  <si>
    <t>Revenue from reactivated sellers</t>
  </si>
  <si>
    <t>Total $ value of inventory acquired from customers reactivated via this campaign.</t>
  </si>
  <si>
    <t>Sum of accepted-quote $ value for email-attributed reactivated sellers.</t>
  </si>
  <si>
    <t>The bottom-line business case for continuing to invest in reactivation campaigns.</t>
  </si>
  <si>
    <t>Finance + Quote system</t>
  </si>
  <si>
    <t>Days since last purchase &gt; trade in (trend)</t>
  </si>
  <si>
    <t>How long, on average, it takes a past purchaser to trade in gear after their last purchase, tracked as a trend over time.</t>
  </si>
  <si>
    <t>Trade-in date − most recent prior purchase date, averaged/median across reactivated sellers, tracked quarter over quarter.</t>
  </si>
  <si>
    <t>If this trend is shortening, it suggests the timing/targeting logic behind the campaign triggers is improving.</t>
  </si>
  <si>
    <t>CRM</t>
  </si>
  <si>
    <t>Organic sessions to Used Hub/brand pages</t>
  </si>
  <si>
    <t>Sessions landing on Used Hub or used brand listing pages via unpaid search.</t>
  </si>
  <si>
    <t>GA4 sessions filtered to organic-search channel + landing page = Used Hub/brand pages.</t>
  </si>
  <si>
    <t>The core SEO health signal for the whole awareness theme, a direct read on whether the hybrid listing-page architecture is working.</t>
  </si>
  <si>
    <t>Used Hub, Used Brand Listing Page</t>
  </si>
  <si>
    <t>Search impressions &amp; CTR (used pages)</t>
  </si>
  <si>
    <t>How often used pages show up in Google search results, and what share of those impressions turn into a click.</t>
  </si>
  <si>
    <t>Pulled directly from Google Search Console, filtered to used-page URLs.</t>
  </si>
  <si>
    <t>A leading indicator ahead of organic sessions, showing whether pages are being surfaced/ranked before traffic shows up.</t>
  </si>
  <si>
    <t>Google Search Console</t>
  </si>
  <si>
    <t>Internal link CTR (New&gt;used cross links)</t>
  </si>
  <si>
    <t>Click-through rate on links that point from new-gear pages (e.g. brand pages owned by Sammy) into used inventory.</t>
  </si>
  <si>
    <t>Clicks on internal used-links ÷ impressions of those links.</t>
  </si>
  <si>
    <t>Internal linking is both an SEO signal and a direct discovery channel. This checks it's actually being used.</t>
  </si>
  <si>
    <t>New PDP, Used PDP</t>
  </si>
  <si>
    <t>Cross-sell CTA impressions (used alt. on New PDP)</t>
  </si>
  <si>
    <t>Impressions of a "used alternative available" prompt shown on a new-gear product page.</t>
  </si>
  <si>
    <t>Count of CTA view events on New PDPs, deduped per session.</t>
  </si>
  <si>
    <t>Catches price-sensitive shoppers already in a New PDP session, a distinct discovery channel from search/SEO.</t>
  </si>
  <si>
    <t>New-to-used buyer sessions</t>
  </si>
  <si>
    <t>Sessions from customers who have never viewed or purchased a used product before.</t>
  </si>
  <si>
    <t>Sessions with a used PDP view, matched against customer history for first-time-used flag.</t>
  </si>
  <si>
    <t>Awareness should be judged on growing the used buyer base, not just increasing traffic from existing used shoppers.</t>
  </si>
  <si>
    <t>Used PDP views per session</t>
  </si>
  <si>
    <t>Average number of used product pages viewed within a single session.</t>
  </si>
  <si>
    <t>Total used PDP views ÷ total sessions with at least one used PDP view.</t>
  </si>
  <si>
    <t>A rough proxy for browsing depth/engagement once a shopper lands in the used ecosystem.</t>
  </si>
  <si>
    <t>Used share to total category traffic</t>
  </si>
  <si>
    <t>Used PDP/category traffic as a percentage of all traffic (new + used) to the same product categories.</t>
  </si>
  <si>
    <t>Used-category sessions ÷ (used + new-category sessions), by category.</t>
  </si>
  <si>
    <t>Shows whether used is growing its footprint relative to new, not just growing alongside site-wide traffic.</t>
  </si>
  <si>
    <t>Used PDP, Used Category Landing Page, Used Category Listing Page, New PDP, New Category Landing Page, New Category Listing Page</t>
  </si>
  <si>
    <t>Cross sell attributed used PDP views/purchases</t>
  </si>
  <si>
    <t>Used PDP views or purchases that followed a cross-sell CTA click on a New PDP.</t>
  </si>
  <si>
    <t>Used PDP views/purchases with a cross-sell CTA touchpoint in the preceding session(s).</t>
  </si>
  <si>
    <t>Validates whether the New→Used cross-sell mechanism is actually converting, not just generating impressions.</t>
  </si>
  <si>
    <t>Used PDP, Used Check Out?, New Product Card Used From</t>
  </si>
  <si>
    <t>PLP filter usage rate</t>
  </si>
  <si>
    <t>Share of used listing-page sessions where a customer applies at least one filter (price, brand, condition, etc.).</t>
  </si>
  <si>
    <t>Sessions with a filter-applied event ÷ used PLP sessions.</t>
  </si>
  <si>
    <t>Low usage can mean filters aren't helpful/discoverable; high usage with low downstream conversion can flag a filter/inventory mismatch.</t>
  </si>
  <si>
    <t>Used PLP, Used SRP, Used Filter</t>
  </si>
  <si>
    <t>Used PDP engagement rate (photo/spec expansion)</t>
  </si>
  <si>
    <t>Share of used PDP sessions where a customer interacts with photos (zoom/gallery) or expands spec/condition detail sections.</t>
  </si>
  <si>
    <t>Sessions with photo-interaction or spec-expansion events ÷ used PDP sessions.</t>
  </si>
  <si>
    <t>A proxy for how much evaluation effort shoppers are putting in, tied directly to the photography and condition-clarity investments underway.</t>
  </si>
  <si>
    <t>Order status page engagement rate</t>
  </si>
  <si>
    <t>Share of used-order customers who view their order status page after purchase.</t>
  </si>
  <si>
    <t>Unique order-status-page views ÷ used orders placed.</t>
  </si>
  <si>
    <t>Post-purchase visibility affects trust and support load, mirroring the post-acceptance metric on the sell side.</t>
  </si>
  <si>
    <t>My Orders</t>
  </si>
  <si>
    <t>Used PDP-to-cart rate</t>
  </si>
  <si>
    <t>Share of used PDP sessions that result in an add-to-cart.</t>
  </si>
  <si>
    <t>Add-to-cart events on used PDPs ÷ used PDP sessions.</t>
  </si>
  <si>
    <t>The core "does the PDP convince the shopper" metric, most sensitive to condition clarity and photography quality.</t>
  </si>
  <si>
    <t>Used PDP, Used PDP CTA</t>
  </si>
  <si>
    <t>Used cart-to-purchase rate</t>
  </si>
  <si>
    <t>Share of used add-to-cart events that result in a completed purchase.</t>
  </si>
  <si>
    <t>Used purchases ÷ used add-to-cart events.</t>
  </si>
  <si>
    <t>Isolates checkout-stage friction from PDP-stage persuasion, since the two have different fixes.</t>
  </si>
  <si>
    <t>Used PDP, Used PDP CTA, Used PLP, Used PLP CTA</t>
  </si>
  <si>
    <t>Post-Purchase CSAT (isolated)</t>
  </si>
  <si>
    <t>Customer satisfaction score from a survey scoped specifically to the used buying experience after delivery.</t>
  </si>
  <si>
    <t>Medallia CSAT average/top-box %, filtered to used post-purchase survey instance.</t>
  </si>
  <si>
    <t>Captures whether the product matched expectations set on the PDP, the buy-side counterpart to sell-flow CSAT.</t>
  </si>
  <si>
    <t>Medallia Survey</t>
  </si>
  <si>
    <t>Win-Back email open rate</t>
  </si>
  <si>
    <t>Share of sent win-back emails that were opened.</t>
  </si>
  <si>
    <t>Same logic as trade-in reactivation, the entry checkpoint for the whole campaign.</t>
  </si>
  <si>
    <t>Win-back email CTR</t>
  </si>
  <si>
    <t>Share of sent win-back emails that resulted in a click.</t>
  </si>
  <si>
    <t>Unique clicks ÷ emails delivered (or ÷ opens for click-to-open).</t>
  </si>
  <si>
    <t>Tests whether the specific inventory/offer surfaced in the email is relevant enough to act on.</t>
  </si>
  <si>
    <t>Browse to used PDP rate from email</t>
  </si>
  <si>
    <t>Of customers who clicked into the site from a win-back email, the share who viewed a used PDP during that session.</t>
  </si>
  <si>
    <t>Sessions with used PDP view ÷ sessions originating from win-back email click.</t>
  </si>
  <si>
    <t>Confirms the email is routing people to relevant used inventory, not just generic site traffic.</t>
  </si>
  <si>
    <t>GA4 + ESP</t>
  </si>
  <si>
    <t>Email CTA, Used PDP</t>
  </si>
  <si>
    <t>Repeat used-purchase rate</t>
  </si>
  <si>
    <t>Of past used buyers targeted by win-back campaigns, the share who complete another used purchase.</t>
  </si>
  <si>
    <t>Repeat used purchases (email-attributed) ÷ past used buyers targeted.</t>
  </si>
  <si>
    <t>The core outcome metric for this theme: did the campaign actually bring buyers back.</t>
  </si>
  <si>
    <t>Order system</t>
  </si>
  <si>
    <t>Revenue from reactivated buyers</t>
  </si>
  <si>
    <t>Total $ revenue from purchases made by win-back-campaign-attributed customers.</t>
  </si>
  <si>
    <t>Sum of order value for email-attributed repeat purchases.</t>
  </si>
  <si>
    <t>The bottom-line business case, mirroring "Revenue from reactivated sellers" on the sell side.</t>
  </si>
  <si>
    <t>Finance + Order system</t>
  </si>
  <si>
    <t>Time-since-last-purchase &gt; repurchase (trend)</t>
  </si>
  <si>
    <t>How long, on average, it takes a past buyer to make another used purchase after being targeted, tracked as a trend over time.</t>
  </si>
  <si>
    <t>Repurchase date − most recent prior purchase date, averaged/median, tracked quarter over quarter.</t>
  </si>
  <si>
    <t>A shortening trend suggests campaign timing/targeting is getting more effective at catching buyers when they're ready.</t>
  </si>
  <si>
    <t>Search &amp; Findability</t>
  </si>
  <si>
    <t>Sell-item search success rate (Solr)</t>
  </si>
  <si>
    <t>Share of sell-flow item searches where the customer found and selected their item (vs. abandoning or falling back to manual entry).</t>
  </si>
  <si>
    <t>Searches ending in item selection ÷ total sell-flow searches.</t>
  </si>
  <si>
    <t>Search friction is the #1 flagged issue in VoC research for the sell side specifically. This is the direct health check on it.</t>
  </si>
  <si>
    <t>Solr logs</t>
  </si>
  <si>
    <t>Sell Used Search Box, Sell Used Type Ahead, Sell Used Listing Page</t>
  </si>
  <si>
    <t>Used PLP/search zero-result rate</t>
  </si>
  <si>
    <t>Share of used-inventory searches that return no results.</t>
  </si>
  <si>
    <t>Zero-result searches ÷ total used-inventory searches.</t>
  </si>
  <si>
    <t>A hard failure signal. Every zero-result search is a shopper who couldn't find anything, regardless of whether inventory actually existed.</t>
  </si>
  <si>
    <t>Site Search, Used Site Search</t>
  </si>
  <si>
    <t>Used search-to-click rate</t>
  </si>
  <si>
    <t>Share of used-inventory searches where the customer clicked a result.</t>
  </si>
  <si>
    <t>Searches with a result click ÷ total used-inventory searches.</t>
  </si>
  <si>
    <t>Distinguishes "no results" failures from "results shown but not relevant/appealing" failures.</t>
  </si>
  <si>
    <t>Site Search, Used Site Search, Used Product Card</t>
  </si>
  <si>
    <t>Search-originated quote starts (sell side)</t>
  </si>
  <si>
    <t>Quote starts that began with a successful sell-flow search.</t>
  </si>
  <si>
    <t>Quote starts preceded by a search-with-selection event.</t>
  </si>
  <si>
    <t>Connects search quality directly to the acquisition funnel, not just to search-specific metrics.</t>
  </si>
  <si>
    <t>Solr logs + Quote system</t>
  </si>
  <si>
    <t>Sell Used Serach</t>
  </si>
  <si>
    <t>Search-originated used purchases (buy side)</t>
  </si>
  <si>
    <t>Used purchases that began with a used-inventory search (as opposed to browsing/category navigation).</t>
  </si>
  <si>
    <t>Purchases preceded by a used search-with-click event in the same session.</t>
  </si>
  <si>
    <t>Shows how much revenue depends on search working well, making the business case for search investment concrete.</t>
  </si>
  <si>
    <t>Search abandonment rate</t>
  </si>
  <si>
    <t>Share of search sessions (sell or buy) where the customer leaves the site shortly after searching, without further engagement.</t>
  </si>
  <si>
    <t>Sessions ending within N actions of a search event ÷ total search sessions.</t>
  </si>
  <si>
    <t>The most direct "we lost them" signal. A search that doesn't even get a follow-up click or scroll is a clear failure.</t>
  </si>
  <si>
    <t>GA4 + Solr logs</t>
  </si>
  <si>
    <t>Site Search, Used Site Search, Sell Used Search</t>
  </si>
  <si>
    <t>Trust &amp; Condition Transparency</t>
  </si>
  <si>
    <t>Condition-tab view rate</t>
  </si>
  <si>
    <t>Share of used PDP sessions where the customer opens/expands the condition detail tab or section.</t>
  </si>
  <si>
    <t>Sessions with condition-tab-expand event ÷ used PDP sessions.</t>
  </si>
  <si>
    <t>Shows how much shoppers are actively seeking out condition information, the core evaluation input for a used purchase.</t>
  </si>
  <si>
    <t>PDP Condition Rating Link, PDP Condition Rating Tray</t>
  </si>
  <si>
    <t>Condition rating comprehension (usability test pass rate)</t>
  </si>
  <si>
    <t>In moderated or unmoderated usability testing, the share of participants who correctly interpret what a given condition rating (e.g. "Good," "Excellent") means for the product they're evaluating.</t>
  </si>
  <si>
    <t>Correct interpretations ÷ total test participants, per study.</t>
  </si>
  <si>
    <t>Adoption metrics from analytics can't tell you if customers actually understand the rating scale. This is the qualitative check that they do, tied directly to the new five-tier scale rollout.</t>
  </si>
  <si>
    <t>Research / usability testing</t>
  </si>
  <si>
    <t>"Not as described" return rate</t>
  </si>
  <si>
    <t>Share of used-order returns where the customer's stated reason is that the item didn't match its condition description.</t>
  </si>
  <si>
    <t>Returns coded "not as described" ÷ total used orders.</t>
  </si>
  <si>
    <t>The clearest hard evidence of a trust failure. A rising rate means the condition info shown isn't matching what customers receive.</t>
  </si>
  <si>
    <t>Returns / CRM</t>
  </si>
  <si>
    <t>Medallia condition-satisfaction / trust score</t>
  </si>
  <si>
    <t>Survey-based score measuring how satisfied/confident customers felt about the accuracy of condition information before and after receiving their item.</t>
  </si>
  <si>
    <t>Medallia average/top-box % on the condition-trust survey question(s).</t>
  </si>
  <si>
    <t>A softer, earlier-warning companion to the return-rate metric, capturing dissatisfaction even among customers who keep the item.</t>
  </si>
  <si>
    <t>Grading accuracy / consistency (QA re-grade audit)</t>
  </si>
  <si>
    <t>How often an independent re-grade of a sampled item matches the original evaluator's condition grade.</t>
  </si>
  <si>
    <t>Re-grades matching original grade ÷ total items re-graded in the audit sample.</t>
  </si>
  <si>
    <t>Traces trust problems back to their root cause, inaccurate grading upstream, rather than just a PDP/description-clarity issue.</t>
  </si>
  <si>
    <t>DES eval + QA audit</t>
  </si>
  <si>
    <t>Product_Type</t>
  </si>
  <si>
    <t>Element</t>
  </si>
  <si>
    <t>component type</t>
  </si>
  <si>
    <t>eventName</t>
  </si>
  <si>
    <t>component_GA4</t>
  </si>
  <si>
    <t>label</t>
  </si>
  <si>
    <t>label_value</t>
  </si>
  <si>
    <t>site_type</t>
  </si>
  <si>
    <t>page_type</t>
  </si>
  <si>
    <t>Trigger &amp; Other Parameters</t>
  </si>
  <si>
    <t>Flag</t>
  </si>
  <si>
    <t>N/A</t>
  </si>
  <si>
    <t>Page Load</t>
  </si>
  <si>
    <t>page_view</t>
  </si>
  <si>
    <t>—</t>
  </si>
  <si>
    <t>Desktop</t>
  </si>
  <si>
    <t>productList</t>
  </si>
  <si>
    <t>Initial render and every filter/sort/paging change (pushState)content_group: productList · site_langauge: E · bi: NoValue · pwa_source: NoValue · bh_user_id · category_page_id: 9811</t>
  </si>
  <si>
    <t>observed</t>
  </si>
  <si>
    <t>view_item_list</t>
  </si>
  <si>
    <t>Results grid rendered — 28 items in one senditems[]: item_id, item_code, item_list_name, index, sales_comment · position_index: 1</t>
  </si>
  <si>
    <t>absent</t>
  </si>
  <si>
    <t>Google Ads remarketing duplicate — separate send, not the GA4 propertysend_to: google_ads · ecomm_pagetype: productList · ecomm_prodid[] · tag: AW-1056059933</t>
  </si>
  <si>
    <t>by design</t>
  </si>
  <si>
    <t>view_promotion</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</si>
  <si>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</si>
  <si>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</si>
  <si>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</si>
  <si>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New</t>
  </si>
  <si>
    <t>Homepage Banner</t>
  </si>
  <si>
    <t>Banner</t>
  </si>
  <si>
    <t>select_promotion</t>
  </si>
  <si>
    <t>Top Nav</t>
  </si>
  <si>
    <t>Computers</t>
  </si>
  <si>
    <t>category</t>
  </si>
  <si>
    <t>New Mega Menu</t>
  </si>
  <si>
    <t>Navigation - Mega Menu</t>
  </si>
  <si>
    <t>Pro Audio menu</t>
  </si>
  <si>
    <t>Live sound</t>
  </si>
  <si>
    <t>New Site Search Box</t>
  </si>
  <si>
    <t>Search</t>
  </si>
  <si>
    <t>Enter Search</t>
  </si>
  <si>
    <t>home</t>
  </si>
  <si>
    <t>New Site Search Type Ahead</t>
  </si>
  <si>
    <t>Typeahead Suggestions</t>
  </si>
  <si>
    <t>New Item Category Listing Page</t>
  </si>
  <si>
    <t>PLP</t>
  </si>
  <si>
    <t>New Item Category Listing Page Product Card Used From CTA</t>
  </si>
  <si>
    <t>CTA</t>
  </si>
  <si>
    <t>Refinements</t>
  </si>
  <si>
    <t>Filters</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</si>
  <si>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</si>
  <si>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</si>
  <si>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</si>
  <si>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</si>
  <si>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</si>
  <si>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</si>
  <si>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</si>
  <si>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</si>
  <si>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</si>
  <si>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</si>
  <si>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</si>
  <si>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</si>
  <si>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</si>
  <si>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</si>
  <si>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Listing Controls</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</si>
  <si>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</si>
  <si>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</si>
  <si>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</si>
  <si>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</si>
  <si>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</si>
  <si>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</si>
  <si>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</si>
  <si>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</si>
  <si>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</si>
  <si>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</si>
  <si>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</si>
  <si>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Pagination control — label is the literal "page " prefix plus the number</t>
  </si>
  <si>
    <t>Product Title</t>
  </si>
  <si>
    <t>select_item</t>
  </si>
  <si>
    <t>Item List</t>
  </si>
  <si>
    <t>Product title click — GA4 ecommerce event, not a listing_page_clicksitems: [{ item_id }] · section_path: Category</t>
  </si>
  <si>
    <t>New Item Category Listing Page Product Card</t>
  </si>
  <si>
    <t>Other Buying Options</t>
  </si>
  <si>
    <t>1910936-REG</t>
  </si>
  <si>
    <t>"Used for $39.95" link on a tile — the only component on this page that populates label_valuesection_path: Category · label = buying-option type · label_value = SKU</t>
  </si>
  <si>
    <t>Show More</t>
  </si>
  <si>
    <t>Expanding a tile's Key Featuressection_path: Category — no item_id, so it cannot be tied to a product</t>
  </si>
  <si>
    <t>F5</t>
  </si>
  <si>
    <t>Add to Compare</t>
  </si>
  <si>
    <t>Compare checkbox on a tile — no label, no item identifier</t>
  </si>
  <si>
    <t>Promo &amp; Navigation</t>
  </si>
  <si>
    <t>Hero banner click — mirrors the view_promotion paramscreative_name: IO Image Banner · creative_slot: HERO · promotion_url: /a/trade-in/64435</t>
  </si>
  <si>
    <t>breadcrumbs</t>
  </si>
  <si>
    <t>Breadcrumb</t>
  </si>
  <si>
    <t>Breadcrumb link clickbreadcrumbs: Photography — destination in its own param rather than label</t>
  </si>
  <si>
    <t>New Item Category Landing Page</t>
  </si>
  <si>
    <t>Navigation into the Catalog</t>
  </si>
  <si>
    <t>Category Groups</t>
  </si>
  <si>
    <t>Cameras &amp; Lenses</t>
  </si>
  <si>
    <t>Digital Cameras</t>
  </si>
  <si>
    <t>Category tile — label is the section, label_value the destinationcategory_page_id: 989</t>
  </si>
  <si>
    <t>model</t>
  </si>
  <si>
    <t>Accessories</t>
  </si>
  <si>
    <t>Lens Accessories</t>
  </si>
  <si>
    <t>Same component, second section — the convention holds across the page</t>
  </si>
  <si>
    <t>Applications</t>
  </si>
  <si>
    <t>Portrait Photography</t>
  </si>
  <si>
    <t>The "What would you like to shoot?" rail — reports under its internal key, Applicationsthe only section whose label doesn't match its visible heading</t>
  </si>
  <si>
    <t>C3</t>
  </si>
  <si>
    <t>Content &amp; Banners</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</si>
  <si>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</si>
  <si>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</si>
  <si>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</si>
  <si>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</si>
  <si>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</si>
  <si>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</si>
  <si>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</si>
  <si>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</si>
  <si>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</si>
  <si>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</si>
  <si>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Promo &amp; Exits</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</si>
  <si>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</si>
  <si>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</si>
  <si>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Trade in Your Gear</t>
  </si>
  <si>
    <t>Footer trade-in link — a different event family from the banner above it, same destination</t>
  </si>
  <si>
    <t>C5</t>
  </si>
  <si>
    <t>view_item</t>
  </si>
  <si>
    <t>productDetail</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</si>
  <si>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</si>
  <si>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U1 U5</t>
  </si>
  <si>
    <t>Google Ads remarketing — this one knows it's usedecomm_pcat: ["BH Photo", "Used Department", "Photography", "Point &amp; Shoot Cameras", "Sony RX10 V"] · ecomm_prodid: 803528607-USE · ecomm_totalvalue: 2136.95</t>
  </si>
  <si>
    <t>U1</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</si>
  <si>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</si>
  <si>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</si>
  <si>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PDP</t>
  </si>
  <si>
    <t>Used Specific Interaction</t>
  </si>
  <si>
    <t>Used Item Condition</t>
  </si>
  <si>
    <t>"Condition: 9 Minor surface marks" → opens the B&amp;H Used Equipment Rating System drawerdetail_page_sku only — the grade the shopper just clicked on is not sent</t>
  </si>
  <si>
    <t>U2</t>
  </si>
  <si>
    <t>"New for $2,298.00" — the used → new switchno label_value, though the same component on the listing page sends the SKU there</t>
  </si>
  <si>
    <t>U4</t>
  </si>
  <si>
    <t>Trade In - Learn More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</si>
  <si>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</si>
  <si>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</si>
  <si>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U6</t>
  </si>
  <si>
    <t>Generic PDP Furniture</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</si>
  <si>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</si>
  <si>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</si>
  <si>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</si>
  <si>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</si>
  <si>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</si>
  <si>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Content tabs — not exercised on this page; carried over from the new-PDP audit, where label carried the tab namedetail_page_sku</t>
  </si>
  <si>
    <t>new PDP</t>
  </si>
  <si>
    <t>No event: Share · Print · the "Used Savings $161.05" figure · the "Warranty: B&amp;H 90 Days" line · the 90-Second Intro video badge</t>
  </si>
  <si>
    <t>U7</t>
  </si>
  <si>
    <t>New Item PDP Trade In Your Gear CTA</t>
  </si>
  <si>
    <t>Cart</t>
  </si>
  <si>
    <t>Check Out</t>
  </si>
  <si>
    <t>My Account</t>
  </si>
  <si>
    <t xml:space="preserve">Used Hub </t>
  </si>
  <si>
    <t>Landing Page</t>
  </si>
  <si>
    <t>Used Hub Switcher</t>
  </si>
  <si>
    <t>Used Hub Category Navigation</t>
  </si>
  <si>
    <t>Used Hub See Our Rating System</t>
  </si>
  <si>
    <t>Link</t>
  </si>
  <si>
    <t>Used Hub Visit Our Used Dept FAQ For Further Details</t>
  </si>
  <si>
    <t>Used Hub 90 Days Parts And Labor Warranty See Details</t>
  </si>
  <si>
    <t>Used Hub Free Shipping See Details</t>
  </si>
  <si>
    <t>Used Hub Sell Your Gear in 3 Easy Steps Video</t>
  </si>
  <si>
    <t>Video</t>
  </si>
  <si>
    <t>Used Hub NYC SuperStore</t>
  </si>
  <si>
    <t>Used Hub Get Started Online CTA</t>
  </si>
  <si>
    <t>Used Hub Customer Reviews</t>
  </si>
  <si>
    <t>Carousel</t>
  </si>
  <si>
    <t>Used Hub FAQ Search</t>
  </si>
  <si>
    <t>Used Hub FAQ Title</t>
  </si>
  <si>
    <t>Used Hub FAQ Description</t>
  </si>
  <si>
    <t>Used Hub FAQ See All</t>
  </si>
  <si>
    <t>Used Hub Address</t>
  </si>
  <si>
    <t>Used Hub Phone Number</t>
  </si>
  <si>
    <t>Footer Trade In Your Gear</t>
  </si>
  <si>
    <t>Used Top Nav</t>
  </si>
  <si>
    <t>Used Mega Menu</t>
  </si>
  <si>
    <t>Used Mega Menu Category</t>
  </si>
  <si>
    <t>Mega Menu Category</t>
  </si>
  <si>
    <t>Used Mega Menu Sell Your Gear</t>
  </si>
  <si>
    <t>Used Site Search Box</t>
  </si>
  <si>
    <t>Search Field</t>
  </si>
  <si>
    <t>Used Site Search Type Ahead</t>
  </si>
  <si>
    <t>Search Field Type Ahead</t>
  </si>
  <si>
    <t>Used Category Landing Page</t>
  </si>
  <si>
    <t>Used Category Listing Page</t>
  </si>
  <si>
    <t>Used Category Listing Page Filter</t>
  </si>
  <si>
    <t>Used Category Listing Page Product Card</t>
  </si>
  <si>
    <t>Product Card</t>
  </si>
  <si>
    <t>Used Category Listing Page Product Card Used From CTA</t>
  </si>
  <si>
    <t>Used Brand Listing Page</t>
  </si>
  <si>
    <t>Trade In Page</t>
  </si>
  <si>
    <t>Sell Used Landing Page</t>
  </si>
  <si>
    <t>Sell Used Search Box</t>
  </si>
  <si>
    <t>Sell Used Detail Page</t>
  </si>
  <si>
    <t>Sell Used Review Page</t>
  </si>
  <si>
    <t>Sell Used Listing Page</t>
  </si>
  <si>
    <t>My Account Trade In Module</t>
  </si>
  <si>
    <t>Weekly Row</t>
  </si>
  <si>
    <t>Theme Rank</t>
  </si>
  <si>
    <t>Status Rank</t>
  </si>
  <si>
    <t>Sort Key</t>
  </si>
  <si>
    <t>Rank</t>
  </si>
  <si>
    <t>Dev From Raw</t>
  </si>
  <si>
    <t>Dev To Raw</t>
  </si>
  <si>
    <t>Dev From Parsed</t>
  </si>
  <si>
    <t>Dev To Parsed</t>
  </si>
  <si>
    <t>UX Weeks</t>
  </si>
  <si>
    <t>Theme Ctrl Row</t>
  </si>
  <si>
    <t>Included</t>
  </si>
  <si>
    <t>Alpha Rank</t>
  </si>
  <si>
    <t>Sort Name</t>
  </si>
  <si>
    <t>AUTO-GENERATED HELPER — do not edit. Row r here = UX Weekly row r = Dev Tracker row r. Columns AA-AX flag, per month, whether that month holds at least one resourced UX week. Month names are parsed from a literal string, so nothing here breaks if a row is deleted.</t>
  </si>
  <si>
    <t>Theme detail — drives the panel on Roadmap (Auto)</t>
  </si>
  <si>
    <t>Control row</t>
  </si>
  <si>
    <t>Page Type</t>
  </si>
  <si>
    <t>Component (GA4)</t>
  </si>
  <si>
    <t>Component (legacy)</t>
  </si>
  <si>
    <t>BHUX</t>
  </si>
  <si>
    <t>BHIA</t>
  </si>
  <si>
    <t>BHUR</t>
  </si>
  <si>
    <t>WEBC</t>
  </si>
  <si>
    <t>SEARCH</t>
  </si>
  <si>
    <t>X</t>
  </si>
  <si>
    <t>Tech Resource</t>
  </si>
  <si>
    <t>b2bHub</t>
  </si>
  <si>
    <t>static</t>
  </si>
  <si>
    <t>My Account Menu Item</t>
  </si>
  <si>
    <t>B2B Homepage About Us Module</t>
  </si>
  <si>
    <t>Sell Used Mega Menu</t>
  </si>
  <si>
    <t>BHP-7430</t>
  </si>
  <si>
    <t>Used Roll Up SKUs</t>
  </si>
  <si>
    <t>BHP-6479</t>
  </si>
  <si>
    <r>
      <rPr>
        <b/>
        <sz val="20"/>
        <color theme="1"/>
        <rFont val="Aptos Narrow"/>
        <scheme val="minor"/>
      </rPr>
      <t>Product Goal:</t>
    </r>
    <r>
      <rPr>
        <sz val="20"/>
        <color theme="1"/>
        <rFont val="Aptos Narrow"/>
        <scheme val="minor"/>
      </rPr>
      <t xml:space="preserve"> Grow B2B Platforms, Used and Trade-In verticals while elevating content quality across the 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</si>
</sst>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d\ mmm\ yyyy"/>
    <numFmt numFmtId="166" formatCode="mmm\ yyyy"/>
    <numFmt numFmtId="167" formatCode="d\ mmm\ yy"/>
    <numFmt numFmtId="168" formatCode="mmm\ yy"/>
    <numFmt numFmtId="169" formatCode="yyyy-mm-dd"/>
    <numFmt numFmtId="170" formatCode="mmm yyyy"/>
    <numFmt numFmtId="171" formatCode="d mmm yyyy"/>
    <numFmt numFmtId="172" formatCode="d mmm yy"/>
    <numFmt numFmtId="173" formatCode="mmm yy"/>
    <numFmt numFmtId="174" formatCode="dd-mmm-yy"/>
  </numFmts>
  <fonts count="70"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8"/>
      <color rgb="FFFFFFFF"/>
      <name val="Arial"/>
      <family val="2"/>
    </font>
    <font>
      <sz val="8"/>
      <color rgb="FF6B7785"/>
      <name val="Arial"/>
      <family val="2"/>
    </font>
    <font>
      <b/>
      <sz val="9"/>
      <color rgb="FF1F3B57"/>
      <name val="Arial"/>
      <family val="2"/>
    </font>
    <font>
      <b/>
      <sz val="8"/>
      <color rgb="FF1F3B57"/>
      <name val="Arial"/>
      <family val="2"/>
    </font>
    <font>
      <b/>
      <sz val="16"/>
      <color rgb="FF1F3B57"/>
      <name val="Aptos Narrow"/>
      <scheme val="minor"/>
    </font>
    <font>
      <sz val="12"/>
      <color theme="1"/>
      <name val="Aptos Narrow"/>
      <scheme val="minor"/>
    </font>
    <font>
      <sz val="14"/>
      <color theme="1"/>
      <name val="Aptos Narrow"/>
      <scheme val="minor"/>
    </font>
    <font>
      <sz val="14"/>
      <color rgb="FF1F2933"/>
      <name val="Aptos Narrow"/>
      <scheme val="minor"/>
    </font>
    <font>
      <sz val="14"/>
      <color rgb="FF6B7785"/>
      <name val="Aptos Narrow"/>
      <scheme val="minor"/>
    </font>
    <font>
      <b/>
      <sz val="14"/>
      <color rgb="FFFFFFFF"/>
      <name val="Aptos Narrow"/>
      <scheme val="minor"/>
    </font>
    <font>
      <sz val="14"/>
      <color rgb="FF1F3B57"/>
      <name val="Aptos Narrow"/>
      <scheme val="minor"/>
    </font>
    <font>
      <b/>
      <u/>
      <sz val="14"/>
      <color rgb="FF1F3B57"/>
      <name val="Aptos Narrow"/>
      <scheme val="minor"/>
    </font>
    <font>
      <u/>
      <sz val="14"/>
      <color rgb="FF1F5FA8"/>
      <name val="Aptos Narrow"/>
      <scheme val="minor"/>
    </font>
    <font>
      <sz val="16"/>
      <color rgb="FF1F2933"/>
      <name val="Aptos Narrow"/>
      <scheme val="minor"/>
    </font>
    <font>
      <u/>
      <sz val="16"/>
      <color rgb="FF1F5FA8"/>
      <name val="Aptos Narrow"/>
      <scheme val="minor"/>
    </font>
    <font>
      <i/>
      <sz val="14"/>
      <color rgb="FF1F3B57"/>
      <name val="Aptos Narrow"/>
      <scheme val="minor"/>
    </font>
    <font>
      <sz val="14"/>
      <color rgb="FFFFFFFF"/>
      <name val="Aptos Narrow"/>
      <scheme val="minor"/>
    </font>
    <font>
      <i/>
      <sz val="12"/>
      <color rgb="FF6B7785"/>
      <name val="Aptos Narrow"/>
      <scheme val="minor"/>
    </font>
    <font>
      <sz val="18"/>
      <color rgb="FF1F3B57"/>
      <name val="Aptos Narrow"/>
      <scheme val="minor"/>
    </font>
    <font>
      <u/>
      <sz val="18"/>
      <color rgb="FF1F3B57"/>
      <name val="Aptos Narrow"/>
      <scheme val="minor"/>
    </font>
    <font>
      <b/>
      <u/>
      <sz val="18"/>
      <color rgb="FF1F3B57"/>
      <name val="Aptos Narrow"/>
      <scheme val="minor"/>
    </font>
    <font>
      <b/>
      <sz val="9"/>
      <color rgb="FFFFFFFF"/>
      <name val="Arial"/>
      <family val="2"/>
    </font>
    <font>
      <b/>
      <sz val="9"/>
      <color rgb="FFB03A2E"/>
      <name val="Arial"/>
      <family val="2"/>
    </font>
    <font>
      <b/>
      <sz val="8"/>
      <color rgb="FFFFFFFF"/>
      <name val="Arial"/>
      <family val="2"/>
    </font>
    <font>
      <sz val="9"/>
      <color rgb="FF1F2933"/>
      <name val="Arial"/>
      <family val="2"/>
    </font>
    <font>
      <sz val="8"/>
      <color rgb="FF6B7785"/>
      <name val="Arial"/>
      <family val="2"/>
    </font>
    <font>
      <sz val="8"/>
      <color rgb="FF1F2933"/>
      <name val="Arial"/>
      <family val="2"/>
    </font>
    <font>
      <sz val="22"/>
      <color theme="1"/>
      <name val="Aptos Narrow"/>
      <scheme val="minor"/>
    </font>
    <font>
      <sz val="20"/>
      <color theme="1"/>
      <name val="Aptos Narrow"/>
      <scheme val="minor"/>
    </font>
    <font>
      <b/>
      <sz val="20"/>
      <color theme="1"/>
      <name val="Aptos Narrow"/>
      <scheme val="minor"/>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
      <b/>
      <sz val="8"/>
      <color rgb="FFFFFFFF"/>
      <name val="Arial"/>
      <family val="2"/>
    </font>
  </fonts>
  <fills count="56">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EEF2F6"/>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patternType="solid">
        <fgColor rgb="FFFFF8DC"/>
        <bgColor indexed="64"/>
      </patternFill>
    </fill>
    <fill>
      <patternFill patternType="none"/>
    </fill>
    <fill>
      <patternFill patternType="solid">
        <fgColor rgb="FF1F3B57"/>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
      <patternFill patternType="solid">
        <fgColor rgb="FFC77D2E"/>
        <bgColor indexed="64"/>
      </patternFill>
    </fill>
    <fill>
      <patternFill patternType="solid">
        <fgColor rgb="FF2F6FB5"/>
        <bgColor indexed="64"/>
      </patternFill>
    </fill>
    <fill>
      <patternFill patternType="solid">
        <fgColor rgb="FF2E8B57"/>
        <bgColor indexed="64"/>
      </patternFill>
    </fill>
    <fill>
      <patternFill patternType="solid">
        <fgColor rgb="FF8E5B8A"/>
        <bgColor indexed="64"/>
      </patternFill>
    </fill>
    <fill>
      <patternFill patternType="solid">
        <fgColor rgb="FF8A7B2E"/>
        <bgColor indexed="64"/>
      </patternFill>
    </fill>
    <fill>
      <patternFill patternType="solid">
        <fgColor rgb="FF2E7D8B"/>
        <bgColor indexed="64"/>
      </patternFill>
    </fill>
    <fill>
      <patternFill patternType="solid">
        <fgColor rgb="FF44403C"/>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bottom style="thin">
        <color rgb="FFD5DBE1"/>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diagonal/>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s>
  <cellStyleXfs count="2">
    <xf numFmtId="0" fontId="0" fillId="0" borderId="0"/>
    <xf numFmtId="0" fontId="12" fillId="0" borderId="0" applyNumberFormat="0" applyFill="0" applyBorder="0" applyAlignment="0" applyProtection="0"/>
  </cellStyleXfs>
  <cellXfs count="318">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quotePrefix="1" applyBorder="1"/>
    <xf numFmtId="0" fontId="17" fillId="28" borderId="12" xfId="0" applyFont="1" applyFill="1" applyBorder="1"/>
    <xf numFmtId="0" fontId="18"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0" fillId="0" borderId="12" xfId="0" applyFont="1" applyBorder="1"/>
    <xf numFmtId="0" fontId="20"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16" fontId="6" fillId="23" borderId="26" xfId="0" applyNumberFormat="1" applyFont="1" applyFill="1" applyBorder="1"/>
    <xf numFmtId="16" fontId="6" fillId="25" borderId="26" xfId="0" applyNumberFormat="1" applyFont="1" applyFill="1" applyBorder="1" applyAlignment="1">
      <alignment horizontal="center"/>
    </xf>
    <xf numFmtId="16" fontId="6" fillId="0" borderId="26" xfId="0" applyNumberFormat="1" applyFont="1" applyBorder="1" applyAlignment="1">
      <alignment horizontal="center"/>
    </xf>
    <xf numFmtId="16" fontId="6" fillId="0" borderId="27" xfId="0" applyNumberFormat="1" applyFont="1" applyBorder="1" applyAlignment="1">
      <alignment horizontal="center"/>
    </xf>
    <xf numFmtId="0" fontId="16" fillId="0" borderId="0" xfId="0" applyFont="1" applyAlignment="1">
      <alignment vertical="center" wrapText="1"/>
    </xf>
    <xf numFmtId="0" fontId="20"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1" fillId="0" borderId="0" xfId="0" applyFont="1"/>
    <xf numFmtId="0" fontId="16" fillId="0" borderId="0" xfId="0" applyFont="1" applyAlignment="1">
      <alignment horizontal="left" indent="1"/>
    </xf>
    <xf numFmtId="49" fontId="0" fillId="0" borderId="0" xfId="0" applyNumberFormat="1"/>
    <xf numFmtId="49" fontId="16" fillId="0" borderId="0" xfId="0" applyNumberFormat="1" applyFont="1"/>
    <xf numFmtId="0" fontId="24" fillId="30" borderId="29" xfId="0" applyFont="1" applyFill="1" applyBorder="1" applyAlignment="1">
      <alignment vertical="top"/>
    </xf>
    <xf numFmtId="0" fontId="23" fillId="30" borderId="29" xfId="0" applyFont="1" applyFill="1" applyBorder="1" applyAlignment="1">
      <alignment vertical="top"/>
    </xf>
    <xf numFmtId="0" fontId="24" fillId="30" borderId="29" xfId="0" applyFont="1" applyFill="1" applyBorder="1"/>
    <xf numFmtId="0" fontId="22" fillId="31" borderId="29" xfId="0" applyFont="1" applyFill="1" applyBorder="1" applyAlignment="1">
      <alignment horizontal="left" vertical="center"/>
    </xf>
    <xf numFmtId="0" fontId="25" fillId="30" borderId="35" xfId="0" applyFont="1" applyFill="1" applyBorder="1" applyAlignment="1">
      <alignment horizontal="left" vertical="top" wrapText="1"/>
    </xf>
    <xf numFmtId="0" fontId="16" fillId="37" borderId="12" xfId="0" applyFont="1" applyFill="1" applyBorder="1" applyAlignment="1">
      <alignment vertical="center" wrapText="1"/>
    </xf>
    <xf numFmtId="0" fontId="0" fillId="0" borderId="29" xfId="0" applyBorder="1"/>
    <xf numFmtId="0" fontId="28" fillId="0" borderId="0" xfId="0" applyFont="1"/>
    <xf numFmtId="0" fontId="28" fillId="22" borderId="0" xfId="0" applyFont="1" applyFill="1"/>
    <xf numFmtId="0" fontId="29" fillId="30" borderId="29" xfId="0" applyFont="1" applyFill="1" applyBorder="1"/>
    <xf numFmtId="0" fontId="28" fillId="0" borderId="29" xfId="0" applyFont="1" applyBorder="1"/>
    <xf numFmtId="0" fontId="28" fillId="22" borderId="29" xfId="0" applyFont="1" applyFill="1" applyBorder="1"/>
    <xf numFmtId="164" fontId="30" fillId="30" borderId="29" xfId="0" applyNumberFormat="1" applyFont="1" applyFill="1" applyBorder="1"/>
    <xf numFmtId="0" fontId="32" fillId="31" borderId="29" xfId="0" applyFont="1" applyFill="1" applyBorder="1"/>
    <xf numFmtId="0" fontId="33" fillId="30" borderId="33" xfId="0" applyFont="1" applyFill="1" applyBorder="1" applyAlignment="1">
      <alignment vertical="center" wrapText="1"/>
    </xf>
    <xf numFmtId="0" fontId="34" fillId="30" borderId="33" xfId="0" applyFont="1" applyFill="1" applyBorder="1" applyAlignment="1">
      <alignment vertical="center"/>
    </xf>
    <xf numFmtId="0" fontId="29" fillId="30" borderId="33" xfId="0" applyFont="1" applyFill="1" applyBorder="1" applyAlignment="1">
      <alignment horizontal="center" vertical="center"/>
    </xf>
    <xf numFmtId="167" fontId="30" fillId="30" borderId="33" xfId="0" applyNumberFormat="1" applyFont="1" applyFill="1" applyBorder="1" applyAlignment="1">
      <alignment horizontal="center" vertical="center"/>
    </xf>
    <xf numFmtId="1" fontId="30" fillId="30" borderId="33" xfId="0" applyNumberFormat="1" applyFont="1" applyFill="1" applyBorder="1" applyAlignment="1">
      <alignment horizontal="center" vertical="center"/>
    </xf>
    <xf numFmtId="168" fontId="30" fillId="30" borderId="33" xfId="0" applyNumberFormat="1" applyFont="1" applyFill="1" applyBorder="1" applyAlignment="1">
      <alignment horizontal="center" vertical="center"/>
    </xf>
    <xf numFmtId="0" fontId="31" fillId="30" borderId="34" xfId="0" applyFont="1" applyFill="1" applyBorder="1" applyAlignment="1">
      <alignment horizontal="center" vertical="center"/>
    </xf>
    <xf numFmtId="0" fontId="36" fillId="30" borderId="33" xfId="0" applyFont="1" applyFill="1" applyBorder="1" applyAlignment="1">
      <alignment vertical="center"/>
    </xf>
    <xf numFmtId="0" fontId="35" fillId="30" borderId="33" xfId="0" applyFont="1" applyFill="1" applyBorder="1" applyAlignment="1">
      <alignment horizontal="center" vertical="center"/>
    </xf>
    <xf numFmtId="0" fontId="35" fillId="30" borderId="33" xfId="0" applyFont="1" applyFill="1" applyBorder="1" applyAlignment="1">
      <alignment horizontal="left" vertical="center"/>
    </xf>
    <xf numFmtId="0" fontId="37" fillId="22" borderId="29" xfId="0" applyFont="1" applyFill="1" applyBorder="1" applyAlignment="1">
      <alignment vertical="center" wrapText="1"/>
    </xf>
    <xf numFmtId="0" fontId="28" fillId="0" borderId="12" xfId="0" applyFont="1" applyBorder="1"/>
    <xf numFmtId="0" fontId="38" fillId="34" borderId="29" xfId="0" applyFont="1" applyFill="1" applyBorder="1" applyAlignment="1">
      <alignment horizontal="center" vertical="center"/>
    </xf>
    <xf numFmtId="0" fontId="38" fillId="31" borderId="31" xfId="0" applyFont="1" applyFill="1" applyBorder="1" applyAlignment="1">
      <alignment horizontal="left" vertical="center" wrapText="1"/>
    </xf>
    <xf numFmtId="0" fontId="38" fillId="31" borderId="31" xfId="0" applyFont="1" applyFill="1" applyBorder="1" applyAlignment="1">
      <alignment horizontal="center" vertical="center" wrapText="1"/>
    </xf>
    <xf numFmtId="0" fontId="38" fillId="31" borderId="32" xfId="0" applyFont="1" applyFill="1" applyBorder="1" applyAlignment="1">
      <alignment horizontal="center" vertical="center"/>
    </xf>
    <xf numFmtId="0" fontId="28" fillId="0" borderId="0" xfId="0" applyFont="1" applyAlignment="1">
      <alignment wrapText="1"/>
    </xf>
    <xf numFmtId="0" fontId="28" fillId="0" borderId="19" xfId="0" applyFont="1" applyBorder="1"/>
    <xf numFmtId="0" fontId="39" fillId="32" borderId="19" xfId="0" applyFont="1" applyFill="1" applyBorder="1" applyAlignment="1">
      <alignment horizontal="left" vertical="center"/>
    </xf>
    <xf numFmtId="0" fontId="26" fillId="25" borderId="8" xfId="0" applyFont="1" applyFill="1" applyBorder="1" applyAlignment="1">
      <alignment horizontal="left" vertical="center"/>
    </xf>
    <xf numFmtId="0" fontId="39" fillId="32" borderId="13" xfId="0" applyFont="1" applyFill="1" applyBorder="1" applyAlignment="1">
      <alignment horizontal="left" vertical="center"/>
    </xf>
    <xf numFmtId="0" fontId="26" fillId="25" borderId="17" xfId="0" applyFont="1" applyFill="1" applyBorder="1" applyAlignment="1">
      <alignment horizontal="left" vertical="center"/>
    </xf>
    <xf numFmtId="0" fontId="39" fillId="32" borderId="19" xfId="0" applyFont="1" applyFill="1" applyBorder="1" applyAlignment="1">
      <alignment vertical="center"/>
    </xf>
    <xf numFmtId="0" fontId="26" fillId="25" borderId="8" xfId="0" applyFont="1" applyFill="1" applyBorder="1" applyAlignment="1">
      <alignment vertical="center"/>
    </xf>
    <xf numFmtId="0" fontId="39" fillId="32" borderId="28" xfId="0" applyFont="1" applyFill="1" applyBorder="1" applyAlignment="1">
      <alignment vertical="center"/>
    </xf>
    <xf numFmtId="0" fontId="26" fillId="25" borderId="36" xfId="0" applyFont="1" applyFill="1" applyBorder="1" applyAlignment="1">
      <alignment vertical="center"/>
    </xf>
    <xf numFmtId="0" fontId="30" fillId="0" borderId="14" xfId="0" applyFont="1" applyBorder="1" applyAlignment="1">
      <alignment vertical="center"/>
    </xf>
    <xf numFmtId="0" fontId="28" fillId="0" borderId="16" xfId="0" applyFont="1" applyBorder="1"/>
    <xf numFmtId="0" fontId="30" fillId="0" borderId="16" xfId="0" applyFont="1" applyBorder="1" applyAlignment="1">
      <alignment vertical="center"/>
    </xf>
    <xf numFmtId="0" fontId="30" fillId="0" borderId="18" xfId="0" applyFont="1" applyBorder="1" applyAlignment="1">
      <alignment vertical="center"/>
    </xf>
    <xf numFmtId="0" fontId="16" fillId="0" borderId="19" xfId="0" applyFont="1" applyBorder="1" applyAlignment="1">
      <alignment vertical="center" wrapText="1"/>
    </xf>
    <xf numFmtId="0" fontId="16" fillId="37" borderId="19" xfId="0" applyFont="1" applyFill="1" applyBorder="1" applyAlignment="1">
      <alignment vertical="center" wrapText="1"/>
    </xf>
    <xf numFmtId="0" fontId="14" fillId="0" borderId="28" xfId="0" applyFont="1" applyBorder="1"/>
    <xf numFmtId="0" fontId="0" fillId="0" borderId="28" xfId="0" applyBorder="1"/>
    <xf numFmtId="0" fontId="28" fillId="22" borderId="29" xfId="0" applyFont="1" applyFill="1" applyBorder="1" applyAlignment="1">
      <alignment horizontal="left" vertical="center"/>
    </xf>
    <xf numFmtId="0" fontId="29" fillId="22" borderId="29" xfId="0" applyFont="1" applyFill="1" applyBorder="1" applyAlignment="1">
      <alignment horizontal="left" vertical="center" wrapText="1"/>
    </xf>
    <xf numFmtId="0" fontId="29" fillId="22" borderId="16" xfId="0" applyFont="1" applyFill="1" applyBorder="1" applyAlignment="1">
      <alignment horizontal="left" vertical="center" wrapText="1"/>
    </xf>
    <xf numFmtId="0" fontId="28" fillId="22" borderId="12" xfId="0" applyFont="1" applyFill="1" applyBorder="1"/>
    <xf numFmtId="0" fontId="28" fillId="22" borderId="0" xfId="0" applyFont="1" applyFill="1" applyAlignment="1">
      <alignment wrapText="1"/>
    </xf>
    <xf numFmtId="0" fontId="28" fillId="0" borderId="14" xfId="0" applyFont="1" applyBorder="1"/>
    <xf numFmtId="0" fontId="40" fillId="30" borderId="29" xfId="0" applyFont="1" applyFill="1" applyBorder="1" applyAlignment="1">
      <alignment vertical="center"/>
    </xf>
    <xf numFmtId="0" fontId="28" fillId="32" borderId="38" xfId="0" applyFont="1" applyFill="1" applyBorder="1" applyAlignment="1">
      <alignment horizontal="left" vertical="center"/>
    </xf>
    <xf numFmtId="0" fontId="28" fillId="32" borderId="41" xfId="0" applyFont="1" applyFill="1" applyBorder="1" applyAlignment="1">
      <alignment horizontal="left" vertical="center"/>
    </xf>
    <xf numFmtId="0" fontId="28" fillId="32" borderId="5" xfId="0" applyFont="1" applyFill="1" applyBorder="1" applyAlignment="1">
      <alignment horizontal="left" vertical="center"/>
    </xf>
    <xf numFmtId="0" fontId="38" fillId="33" borderId="28" xfId="0" applyFont="1" applyFill="1" applyBorder="1" applyAlignment="1">
      <alignment horizontal="center" vertical="center"/>
    </xf>
    <xf numFmtId="0" fontId="38" fillId="35" borderId="36" xfId="0" applyFont="1" applyFill="1" applyBorder="1" applyAlignment="1">
      <alignment horizontal="center" vertical="center"/>
    </xf>
    <xf numFmtId="0" fontId="41" fillId="30" borderId="33" xfId="0" applyFont="1" applyFill="1" applyBorder="1" applyAlignment="1">
      <alignment vertical="center" wrapText="1"/>
    </xf>
    <xf numFmtId="0" fontId="42" fillId="30" borderId="33" xfId="0" applyFont="1" applyFill="1" applyBorder="1" applyAlignment="1">
      <alignment vertical="center" wrapText="1"/>
    </xf>
    <xf numFmtId="0" fontId="12" fillId="30" borderId="12" xfId="1" applyFill="1" applyBorder="1"/>
    <xf numFmtId="0" fontId="12" fillId="0" borderId="29" xfId="1" applyBorder="1"/>
    <xf numFmtId="0" fontId="48" fillId="38" borderId="43" xfId="0" applyFont="1" applyFill="1" applyBorder="1"/>
    <xf numFmtId="0" fontId="43" fillId="39" borderId="43" xfId="0" applyFont="1" applyFill="1" applyBorder="1" applyAlignment="1">
      <alignment horizontal="center" vertical="center" wrapText="1"/>
    </xf>
    <xf numFmtId="164" fontId="45" fillId="39" borderId="43" xfId="0" applyNumberFormat="1" applyFont="1" applyFill="1" applyBorder="1"/>
    <xf numFmtId="0" fontId="44" fillId="38" borderId="43" xfId="0" applyFont="1" applyFill="1" applyBorder="1"/>
    <xf numFmtId="0" fontId="46" fillId="38" borderId="43" xfId="0" applyFont="1" applyFill="1" applyBorder="1"/>
    <xf numFmtId="165" fontId="46" fillId="38" borderId="43" xfId="0" applyNumberFormat="1" applyFont="1" applyFill="1" applyBorder="1"/>
    <xf numFmtId="166" fontId="46" fillId="38" borderId="43" xfId="0" applyNumberFormat="1" applyFont="1" applyFill="1" applyBorder="1"/>
    <xf numFmtId="0" fontId="47" fillId="38" borderId="43" xfId="0" applyFont="1" applyFill="1" applyBorder="1"/>
    <xf numFmtId="0" fontId="0" fillId="0" borderId="18" xfId="0" applyBorder="1"/>
    <xf numFmtId="0" fontId="0" fillId="0" borderId="43" xfId="0" applyBorder="1"/>
    <xf numFmtId="0" fontId="0" fillId="22" borderId="43" xfId="0" applyFill="1" applyBorder="1"/>
    <xf numFmtId="0" fontId="27" fillId="0" borderId="12" xfId="0" applyFont="1" applyBorder="1"/>
    <xf numFmtId="0" fontId="49" fillId="22" borderId="29" xfId="0" applyFont="1" applyFill="1" applyBorder="1" applyAlignment="1">
      <alignment vertical="center" wrapText="1"/>
    </xf>
    <xf numFmtId="0" fontId="50" fillId="22" borderId="29" xfId="0" applyFont="1" applyFill="1" applyBorder="1" applyAlignment="1">
      <alignment horizontal="left" vertical="center" wrapText="1"/>
    </xf>
    <xf numFmtId="0" fontId="38" fillId="31" borderId="30" xfId="0" applyFont="1" applyFill="1" applyBorder="1" applyAlignment="1">
      <alignment horizontal="center" vertical="center"/>
    </xf>
    <xf numFmtId="0" fontId="28" fillId="31" borderId="30" xfId="0" applyFont="1" applyFill="1" applyBorder="1"/>
    <xf numFmtId="0" fontId="23" fillId="30" borderId="35" xfId="0" applyFont="1" applyFill="1" applyBorder="1" applyAlignment="1">
      <alignment horizontal="left" vertical="top" wrapText="1"/>
    </xf>
    <xf numFmtId="0" fontId="0" fillId="0" borderId="0" xfId="0"/>
    <xf numFmtId="0" fontId="38" fillId="36" borderId="30" xfId="0" applyFont="1" applyFill="1" applyBorder="1" applyAlignment="1">
      <alignment horizontal="center" vertical="center"/>
    </xf>
    <xf numFmtId="0" fontId="28" fillId="36" borderId="29" xfId="0" applyFont="1" applyFill="1" applyBorder="1"/>
    <xf numFmtId="0" fontId="22" fillId="31" borderId="29" xfId="0" applyFont="1" applyFill="1" applyBorder="1" applyAlignment="1">
      <alignment horizontal="left" vertical="center"/>
    </xf>
    <xf numFmtId="0" fontId="29" fillId="32" borderId="39" xfId="0" applyFont="1" applyFill="1" applyBorder="1" applyAlignment="1">
      <alignment horizontal="left" vertical="center" wrapText="1"/>
    </xf>
    <xf numFmtId="0" fontId="29" fillId="32" borderId="40" xfId="0" applyFont="1" applyFill="1" applyBorder="1" applyAlignment="1">
      <alignment horizontal="left" vertical="center" wrapText="1"/>
    </xf>
    <xf numFmtId="0" fontId="29" fillId="32" borderId="37" xfId="0" applyFont="1" applyFill="1" applyBorder="1" applyAlignment="1">
      <alignment horizontal="left" vertical="center" wrapText="1"/>
    </xf>
    <xf numFmtId="0" fontId="29" fillId="32" borderId="42" xfId="0" applyFont="1" applyFill="1" applyBorder="1" applyAlignment="1">
      <alignment horizontal="left" vertical="center" wrapText="1"/>
    </xf>
    <xf numFmtId="0" fontId="29" fillId="32" borderId="6" xfId="0" applyFont="1" applyFill="1" applyBorder="1" applyAlignment="1">
      <alignment horizontal="left" vertical="center" wrapText="1"/>
    </xf>
    <xf numFmtId="0" fontId="29" fillId="32" borderId="7" xfId="0" applyFont="1" applyFill="1" applyBorder="1" applyAlignment="1">
      <alignment horizontal="left" vertical="center" wrapText="1"/>
    </xf>
    <xf numFmtId="0" fontId="30" fillId="22" borderId="29" xfId="0" applyFont="1" applyFill="1" applyBorder="1" applyAlignment="1">
      <alignment horizontal="left" vertical="center"/>
    </xf>
    <xf numFmtId="0" fontId="28" fillId="22" borderId="0" xfId="0" applyFont="1" applyFill="1"/>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6" fillId="0" borderId="0" xfId="0" applyFont="1" applyAlignment="1">
      <alignment horizontal="left" vertical="center" wrapText="1"/>
    </xf>
    <xf numFmtId="0" fontId="0" fillId="0" borderId="0" xfId="0" applyBorder="1"/>
    <xf numFmtId="0" fontId="12" fillId="0" borderId="0" xfId="1" applyBorder="1"/>
    <xf numFmtId="0" fontId="0" fillId="22" borderId="0" xfId="0" applyFill="1" applyBorder="1"/>
    <xf numFmtId="0" fontId="52" fillId="40" borderId="44" pivotButton="0" quotePrefix="0" xfId="0"/>
    <xf numFmtId="0" fontId="59" fillId="40" borderId="44" pivotButton="0" quotePrefix="0" xfId="0"/>
    <xf numFmtId="0" fontId="58" fillId="40" borderId="44" pivotButton="0" quotePrefix="0" xfId="0"/>
    <xf numFmtId="0" fontId="60" fillId="43" borderId="44" applyAlignment="1" pivotButton="0" quotePrefix="0" xfId="0">
      <alignment horizontal="left" vertical="center"/>
    </xf>
    <xf numFmtId="0" fontId="57" fillId="43" borderId="44" applyAlignment="1" pivotButton="0" quotePrefix="0" xfId="0">
      <alignment horizontal="left" vertical="center"/>
    </xf>
    <xf numFmtId="0" fontId="61" fillId="43" borderId="44" applyAlignment="1" pivotButton="0" quotePrefix="0" xfId="0">
      <alignment horizontal="center" vertical="center" wrapText="1"/>
    </xf>
    <xf numFmtId="0" fontId="61" fillId="44" borderId="45" applyAlignment="1" pivotButton="0" quotePrefix="0" xfId="0">
      <alignment horizontal="left" vertical="center"/>
    </xf>
    <xf numFmtId="0" fontId="60" fillId="43" borderId="44" applyAlignment="1" pivotButton="0" quotePrefix="0" xfId="0">
      <alignment horizontal="right" vertical="top"/>
    </xf>
    <xf numFmtId="0" fontId="58" fillId="43" borderId="44" applyAlignment="1" pivotButton="0" quotePrefix="0" xfId="0">
      <alignment horizontal="left" vertical="top" wrapText="1"/>
    </xf>
    <xf numFmtId="0" fontId="52" fillId="43" borderId="44" pivotButton="0" quotePrefix="0" xfId="0"/>
    <xf numFmtId="0" fontId="62" fillId="40" borderId="44" pivotButton="0" quotePrefix="0" xfId="0"/>
    <xf numFmtId="0" fontId="55" fillId="45" borderId="44" applyAlignment="1" pivotButton="0" quotePrefix="0" xfId="0">
      <alignment horizontal="center" vertical="center"/>
    </xf>
    <xf numFmtId="0" fontId="57" fillId="40" borderId="44" applyAlignment="1" pivotButton="0" quotePrefix="0" xfId="0">
      <alignment horizontal="left" vertical="center"/>
    </xf>
    <xf numFmtId="0" fontId="55" fillId="46" borderId="44" applyAlignment="1" pivotButton="0" quotePrefix="0" xfId="0">
      <alignment horizontal="center" vertical="center"/>
    </xf>
    <xf numFmtId="0" fontId="55" fillId="47" borderId="44" applyAlignment="1" pivotButton="0" quotePrefix="0" xfId="0">
      <alignment horizontal="center" vertical="center"/>
    </xf>
    <xf numFmtId="169" fontId="57" fillId="40" borderId="44" pivotButton="0" quotePrefix="0" xfId="0"/>
    <xf numFmtId="0" fontId="63" fillId="42" borderId="46" applyAlignment="1" pivotButton="0" quotePrefix="0" xfId="0">
      <alignment horizontal="center" vertical="center"/>
    </xf>
    <xf numFmtId="0" fontId="52" fillId="42" borderId="46" pivotButton="0" quotePrefix="0" xfId="0"/>
    <xf numFmtId="0" fontId="53" fillId="48" borderId="46" applyAlignment="1" pivotButton="0" quotePrefix="0" xfId="0">
      <alignment horizontal="center" vertical="center"/>
    </xf>
    <xf numFmtId="0" fontId="52" fillId="48" borderId="44" pivotButton="0" quotePrefix="0" xfId="0"/>
    <xf numFmtId="0" fontId="53" fillId="42" borderId="47" applyAlignment="1" pivotButton="0" quotePrefix="0" xfId="0">
      <alignment horizontal="left" vertical="center" wrapText="1"/>
    </xf>
    <xf numFmtId="0" fontId="53" fillId="42" borderId="47" applyAlignment="1" pivotButton="0" quotePrefix="0" xfId="0">
      <alignment horizontal="center" vertical="center" wrapText="1"/>
    </xf>
    <xf numFmtId="0" fontId="55" fillId="42" borderId="48" applyAlignment="1" pivotButton="0" quotePrefix="0" xfId="0">
      <alignment horizontal="center" vertical="center"/>
    </xf>
    <xf numFmtId="0" fontId="64" fillId="42" borderId="44" pivotButton="0" quotePrefix="0" xfId="0"/>
    <xf numFmtId="0" fontId="65" fillId="40" borderId="49" applyAlignment="1" pivotButton="0" quotePrefix="0" xfId="0">
      <alignment vertical="center" wrapText="1"/>
    </xf>
    <xf numFmtId="0" fontId="66" fillId="40" borderId="49" applyAlignment="1" pivotButton="0" quotePrefix="0" xfId="0">
      <alignment vertical="center"/>
    </xf>
    <xf numFmtId="0" fontId="67" fillId="40" borderId="49" applyAlignment="1" pivotButton="0" quotePrefix="0" xfId="0">
      <alignment vertical="center"/>
    </xf>
    <xf numFmtId="0" fontId="58" fillId="40" borderId="49" applyAlignment="1" pivotButton="0" quotePrefix="0" xfId="0">
      <alignment horizontal="center" vertical="center"/>
    </xf>
    <xf numFmtId="172" fontId="57" fillId="40" borderId="49" applyAlignment="1" pivotButton="0" quotePrefix="0" xfId="0">
      <alignment horizontal="center" vertical="center"/>
    </xf>
    <xf numFmtId="1" fontId="57" fillId="40" borderId="49" applyAlignment="1" pivotButton="0" quotePrefix="0" xfId="0">
      <alignment horizontal="center" vertical="center"/>
    </xf>
    <xf numFmtId="173" fontId="57" fillId="40" borderId="49" applyAlignment="1" pivotButton="0" quotePrefix="0" xfId="0">
      <alignment horizontal="center" vertical="center"/>
    </xf>
    <xf numFmtId="0" fontId="55" fillId="40" borderId="50" applyAlignment="1" pivotButton="0" quotePrefix="0" xfId="0">
      <alignment horizontal="center" vertical="center"/>
    </xf>
    <xf numFmtId="0" fontId="61" fillId="40" borderId="44" applyAlignment="1" pivotButton="0" quotePrefix="0" xfId="0">
      <alignment vertical="top"/>
    </xf>
    <xf numFmtId="0" fontId="57" fillId="40" borderId="44" applyAlignment="1" pivotButton="0" quotePrefix="0" xfId="0">
      <alignment vertical="top"/>
    </xf>
    <xf numFmtId="0" fontId="61" fillId="40" borderId="44" pivotButton="0" quotePrefix="0" xfId="0"/>
    <xf numFmtId="0" fontId="55" fillId="42" borderId="44" applyAlignment="1" pivotButton="0" quotePrefix="0" xfId="0">
      <alignment horizontal="left" vertical="center"/>
    </xf>
    <xf numFmtId="0" fontId="68" fillId="40" borderId="51" applyAlignment="1" pivotButton="0" quotePrefix="0" xfId="0">
      <alignment horizontal="left" vertical="top" wrapText="1"/>
    </xf>
    <xf numFmtId="0" fontId="57" fillId="40" borderId="51" applyAlignment="1" pivotButton="0" quotePrefix="0" xfId="0">
      <alignment horizontal="left" vertical="top" wrapText="1"/>
    </xf>
    <xf numFmtId="0" fontId="53" fillId="42" borderId="44" applyAlignment="1" pivotButton="0" quotePrefix="0" xfId="0">
      <alignment horizontal="center" vertical="center" wrapText="1"/>
    </xf>
    <xf numFmtId="169" fontId="55" fillId="42" borderId="44" pivotButton="0" quotePrefix="0" xfId="0"/>
    <xf numFmtId="0" fontId="54" fillId="40" borderId="44" pivotButton="0" quotePrefix="0" xfId="0"/>
    <xf numFmtId="0" fontId="53" fillId="42" borderId="44" pivotButton="0" quotePrefix="0" xfId="0"/>
    <xf numFmtId="0" fontId="56" fillId="40" borderId="44" pivotButton="0" quotePrefix="0" xfId="0"/>
    <xf numFmtId="171" fontId="56" fillId="40" borderId="44" pivotButton="0" quotePrefix="0" xfId="0"/>
    <xf numFmtId="170" fontId="56" fillId="40" borderId="44" pivotButton="0" quotePrefix="0" xfId="0"/>
    <xf numFmtId="170" fontId="52" fillId="40" borderId="44" pivotButton="0" quotePrefix="0" xfId="0"/>
    <xf numFmtId="0" fontId="57" fillId="40" borderId="44" pivotButton="0" quotePrefix="0" xfId="0"/>
    <xf numFmtId="174" fontId="0" fillId="0" borderId="12" xfId="0" applyBorder="1" applyNumberFormat="1"/>
    <xf numFmtId="0" fontId="69" fillId="49" borderId="28" xfId="0" applyFont="1" applyFill="1" applyBorder="1" applyAlignment="1">
      <alignment horizontal="center" vertical="center"/>
    </xf>
    <xf numFmtId="0" fontId="69" fillId="50" borderId="28" xfId="0" applyFont="1" applyFill="1" applyBorder="1" applyAlignment="1">
      <alignment horizontal="center" vertical="center"/>
    </xf>
    <xf numFmtId="0" fontId="69" fillId="51" borderId="28" xfId="0" applyFont="1" applyFill="1" applyBorder="1" applyAlignment="1">
      <alignment horizontal="center" vertical="center"/>
    </xf>
    <xf numFmtId="0" fontId="69" fillId="52" borderId="28" xfId="0" applyFont="1" applyFill="1" applyBorder="1" applyAlignment="1">
      <alignment horizontal="center" vertical="center"/>
    </xf>
    <xf numFmtId="0" fontId="69" fillId="53" borderId="28" xfId="0" applyFont="1" applyFill="1" applyBorder="1" applyAlignment="1">
      <alignment horizontal="center" vertical="center"/>
    </xf>
    <xf numFmtId="0" fontId="69" fillId="54" borderId="28" xfId="0" applyFont="1" applyFill="1" applyBorder="1" applyAlignment="1">
      <alignment horizontal="center" vertical="center"/>
    </xf>
    <xf numFmtId="0" fontId="69" fillId="55" borderId="28" xfId="0" applyFont="1" applyFill="1" applyBorder="1" applyAlignment="1">
      <alignment horizontal="center" vertical="center"/>
    </xf>
  </cellXfs>
  <cellStyles count="2">
    <cellStyle name="Hyperlink" xfId="1" builtinId="8"/>
    <cellStyle name="Normal" xfId="0" builtinId="0"/>
  </cellStyles>
  <dxfs count="3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color rgb="FF9C0006"/>
      </font>
      <fill>
        <patternFill>
          <bgColor rgb="FFFFC7CE"/>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
      <font>
        <b val="1"/>
        <color rgb="FFFFFFFF"/>
      </font>
      <fill>
        <patternFill>
          <bgColor rgb="FFC77D2E"/>
        </patternFill>
      </fill>
    </dxf>
    <dxf>
      <font>
        <b val="1"/>
        <color rgb="FFFFFFFF"/>
      </font>
      <fill>
        <patternFill>
          <bgColor rgb="FF2F6FB5"/>
        </patternFill>
      </fill>
    </dxf>
    <dxf>
      <font>
        <b val="1"/>
        <color rgb="FFFFFFFF"/>
      </font>
      <fill>
        <patternFill>
          <bgColor rgb="FF2E8B57"/>
        </patternFill>
      </fill>
    </dxf>
    <dxf>
      <font>
        <b val="1"/>
        <color rgb="FFFFFFFF"/>
      </font>
      <fill>
        <patternFill>
          <bgColor rgb="FF8E5B8A"/>
        </patternFill>
      </fill>
    </dxf>
    <dxf>
      <font>
        <b val="1"/>
        <color rgb="FFFFFFFF"/>
      </font>
      <fill>
        <patternFill>
          <bgColor rgb="FF8A7B2E"/>
        </patternFill>
      </fill>
    </dxf>
    <dxf>
      <font>
        <b val="1"/>
        <color rgb="FFFFFFFF"/>
      </font>
      <fill>
        <patternFill>
          <bgColor rgb="FF2E7D8B"/>
        </patternFill>
      </fill>
    </dxf>
    <dxf>
      <font>
        <b val="1"/>
        <color rgb="FFFFFFFF"/>
      </font>
      <fill>
        <patternFill>
          <bgColor rgb="FF44403C"/>
        </patternFill>
      </fill>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s>
  <tableStyles count="0" defaultTableStyle="TableStyleMedium2" defaultPivotStyle="PivotStyleLight16"/>
  <colors>
    <mruColors>
      <color rgb="FFEEF2F6"/>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iagrams/colors1.xml><?xml version="1.0" encoding="utf-8"?>
<dgm:colorsDef xmlns:dgm="http://schemas.openxmlformats.org/drawingml/2006/diagram" xmlns:a="http://schemas.openxmlformats.org/drawingml/2006/main" uniqueId="urn:microsoft.com/office/officeart/2005/8/colors/accent1_5#1">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1" qsCatId="simple" csTypeId="urn:microsoft.com/office/officeart/2005/8/colors/accent1_5#1"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84" Type="http://schemas.openxmlformats.org/officeDocument/2006/relationships/hyperlink" Target="https://jira.bnh.com/browse/BHP-7430"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85" Type="http://schemas.openxmlformats.org/officeDocument/2006/relationships/hyperlink" Target="https://jira.bnh.com/browse/BHP-7430"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86" Type="http://schemas.openxmlformats.org/officeDocument/2006/relationships/hyperlink" Target="https://jira.bnh.com/browse/BHP-6479"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 Id="rId87" Type="http://schemas.openxmlformats.org/officeDocument/2006/relationships/hyperlink" Target="https://jira.bnh.com/browse/BHP-647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pageSetUpPr fitToPage="1"/>
  </sheetPr>
  <dimension ref="A1:AO123"/>
  <sheetViews>
    <sheetView showGridLines="0" zoomScaleNormal="100" workbookViewId="0">
      <pane xSplit="9" ySplit="15" topLeftCell="P16" activePane="bottomRight" state="frozen"/>
      <selection pane="topRight" activeCell="J1" sqref="J1"/>
      <selection pane="bottomLeft" activeCell="A14" sqref="A14"/>
      <selection pane="bottomRight" activeCell="A39" sqref="A39"/>
    </sheetView>
  </sheetViews>
  <sheetFormatPr baseColWidth="10" defaultColWidth="8.83203125" defaultRowHeight="16" outlineLevelRow="1" x14ac:dyDescent="0.2"/>
  <cols>
    <col min="1" max="1" width="58.1640625" customWidth="1"/>
    <col min="2" max="2" width="44" customWidth="1"/>
    <col min="3" max="3" width="15.5" bestFit="1" customWidth="1"/>
    <col min="4" max="4" width="34.1640625" bestFit="1" customWidth="1"/>
    <col min="5" max="6" width="11.5" hidden="1" customWidth="1"/>
    <col min="7" max="7" width="9.33203125" customWidth="1"/>
    <col min="8" max="9" width="10.5" hidden="1" customWidth="1"/>
    <col min="10" max="12" width="6.6" hidden="1" customWidth="1"/>
    <col min="13" max="15" width="6.6" hidden="1" customWidth="1"/>
    <col min="16" max="33" width="6.6" customWidth="1"/>
    <col min="34" max="34" width="34" hidden="1" customWidth="1"/>
    <col min="35" max="35" width="8" hidden="1" customWidth="1"/>
    <col min="36" max="39" width="30" hidden="1" customWidth="1"/>
    <col min="40" max="40" width="12" hidden="1" customWidth="1"/>
    <col min="41" max="41" width="12" hidden="1" customWidth="1"/>
  </cols>
  <sheetData>
    <row r="1" spans="1:39" ht="35" customHeight="1" x14ac:dyDescent="0.25">
      <c r="A1" s="192" t="s">
        <v>0</v>
      </c>
      <c r="B1" s="145"/>
      <c r="C1" s="145"/>
      <c r="D1" s="162" t="str">
        <f>"Showing "&amp;COUNTIF('Roadmap Calc (Don’t Touch)'!$V$2:$V$151,1)&amp;" of "&amp;COUNTIF('Roadmap Calc (Don’t Touch)'!$V$2:$V$151,"&gt;=0")&amp;" rows"</f>
        <v>Showing 25 of 47 rows</v>
      </c>
      <c r="E1" s="146"/>
      <c r="F1" s="146"/>
      <c r="G1" s="146"/>
      <c r="H1" s="145"/>
      <c r="I1" s="145"/>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5"/>
      <c r="AI1" s="145"/>
      <c r="AJ1" s="147" t="s">
        <v>1</v>
      </c>
      <c r="AK1" s="147" t="s">
        <v>1</v>
      </c>
      <c r="AL1" s="147" t="s">
        <v>1</v>
      </c>
      <c r="AM1" s="147" t="s">
        <v>2</v>
      </c>
    </row>
    <row r="2" spans="1:39" ht="21" customHeight="1" x14ac:dyDescent="0.25">
      <c r="A2" s="172" t="s">
        <v>3</v>
      </c>
      <c r="B2" s="170" t="s">
        <v>4</v>
      </c>
      <c r="C2" s="176" t="s">
        <v>5</v>
      </c>
      <c r="D2" s="174" t="s">
        <v>6</v>
      </c>
      <c r="E2" s="145"/>
      <c r="F2" s="145"/>
      <c r="G2" s="146"/>
      <c r="H2" s="145"/>
      <c r="I2" s="145"/>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5"/>
      <c r="AI2" s="145"/>
      <c r="AJ2" s="147"/>
      <c r="AK2" s="147"/>
      <c r="AL2" s="147"/>
      <c r="AM2" s="147"/>
    </row>
    <row r="3" spans="1:39" ht="21" customHeight="1" x14ac:dyDescent="0.25">
      <c r="A3" s="173" t="s">
        <v>138</v>
      </c>
      <c r="B3" s="171" t="s">
        <v>1</v>
      </c>
      <c r="C3" s="177" t="s">
        <v>1</v>
      </c>
      <c r="D3" s="175"/>
      <c r="E3" s="145"/>
      <c r="F3" s="145"/>
      <c r="G3" s="146"/>
      <c r="H3" s="145"/>
      <c r="I3" s="145"/>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5"/>
      <c r="AI3" s="145"/>
      <c r="AJ3" s="147"/>
      <c r="AK3" s="147"/>
      <c r="AL3" s="147"/>
      <c r="AM3" s="147"/>
    </row>
    <row r="4" spans="1:39" ht="36" hidden="1" customHeight="1" x14ac:dyDescent="0.25">
      <c r="A4" s="145"/>
      <c r="B4" s="145"/>
      <c r="C4" s="145"/>
      <c r="D4" s="145"/>
      <c r="E4" s="145"/>
      <c r="F4" s="145"/>
      <c r="G4" s="146"/>
      <c r="H4" s="145"/>
      <c r="I4" s="145"/>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5"/>
      <c r="AI4" s="145"/>
      <c r="AJ4" s="147" t="str">
        <f>IF(COUNTA(Control!A4)=0,"",Control!A4)</f>
        <v>B2B</v>
      </c>
      <c r="AK4" s="147" t="str">
        <f>IF(COUNTA(Control!E4)=0,"",Control!E4)</f>
        <v>Improve Discovery</v>
      </c>
      <c r="AL4" s="147" t="str">
        <f>IF(COUNTA(Control!B4)=0,"",Control!B4)</f>
        <v>00. Parking Lot</v>
      </c>
      <c r="AM4" s="147" t="s">
        <v>7</v>
      </c>
    </row>
    <row r="5" spans="1:39" ht="19" hidden="1" customHeight="1" x14ac:dyDescent="0.25">
      <c r="A5" s="148"/>
      <c r="B5" s="148"/>
      <c r="C5" s="148"/>
      <c r="D5" s="169"/>
      <c r="E5" s="145"/>
      <c r="F5" s="163"/>
      <c r="G5" s="189"/>
      <c r="H5" s="145"/>
      <c r="I5" s="145"/>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5"/>
      <c r="AI5" s="145"/>
      <c r="AJ5" s="147" t="str">
        <f>IF(COUNTA(Control!A5)=0,"",Control!A5)</f>
        <v>Used</v>
      </c>
      <c r="AK5" s="147" t="str">
        <f>IF(COUNTA(Control!E5)=0,"",Control!E5)</f>
        <v>Increase Trade In Awareness</v>
      </c>
      <c r="AL5" s="147" t="str">
        <f>IF(COUNTA(Control!B5)=0,"",Control!B5)</f>
        <v>01A. Research - Foundational</v>
      </c>
      <c r="AM5" s="147" t="s">
        <v>8</v>
      </c>
    </row>
    <row r="6" spans="1:39" ht="19" customHeight="1" x14ac:dyDescent="0.25">
      <c r="A6" s="148"/>
      <c r="B6" s="148"/>
      <c r="C6" s="148"/>
      <c r="D6" s="191"/>
      <c r="E6" s="145"/>
      <c r="F6" s="148"/>
      <c r="G6" s="149"/>
      <c r="H6" s="145"/>
      <c r="I6" s="145"/>
      <c r="J6" s="146"/>
      <c r="K6" s="311" t="inlineStr">
        <is>
          <t>PD</t>
        </is>
      </c>
      <c r="L6" s="178" t="inlineStr">
        <is>
          <t>Prod Disc</t>
        </is>
      </c>
      <c r="M6" s="146"/>
      <c r="N6" s="312" t="inlineStr">
        <is>
          <t>UX</t>
        </is>
      </c>
      <c r="O6" s="178" t="inlineStr">
        <is>
          <t>UX work</t>
        </is>
      </c>
      <c r="P6" s="146"/>
      <c r="Q6" s="313" t="inlineStr">
        <is>
          <t>DEV</t>
        </is>
      </c>
      <c r="R6" s="178" t="inlineStr">
        <is>
          <t>Dev sprint</t>
        </is>
      </c>
      <c r="S6" s="146"/>
      <c r="T6" s="314" t="inlineStr">
        <is>
          <t>PD+UX</t>
        </is>
      </c>
      <c r="U6" s="178" t="inlineStr">
        <is>
          <t>Disc+UX</t>
        </is>
      </c>
      <c r="V6" s="146"/>
      <c r="W6" s="315" t="inlineStr">
        <is>
          <t>PD+DEV</t>
        </is>
      </c>
      <c r="X6" s="178" t="inlineStr">
        <is>
          <t>Disc+Dev</t>
        </is>
      </c>
      <c r="Y6" s="146"/>
      <c r="Z6" s="316" t="inlineStr">
        <is>
          <t>UX+DEV</t>
        </is>
      </c>
      <c r="AA6" s="178" t="inlineStr">
        <is>
          <t>UX+Dev</t>
        </is>
      </c>
      <c r="AB6" s="146"/>
      <c r="AC6" s="317" t="inlineStr">
        <is>
          <t>ALL</t>
        </is>
      </c>
      <c r="AD6" s="178" t="inlineStr">
        <is>
          <t>All three</t>
        </is>
      </c>
      <c r="AE6" s="146"/>
      <c r="AF6" s="146"/>
      <c r="AG6" s="146"/>
      <c r="AH6" s="145"/>
      <c r="AI6" s="145"/>
      <c r="AJ6" s="147"/>
      <c r="AK6" s="147"/>
      <c r="AL6" s="147"/>
      <c r="AM6" s="147"/>
    </row>
    <row r="7" spans="1:39" ht="52" hidden="1" customHeight="1" outlineLevel="1" x14ac:dyDescent="0.25">
      <c r="A7" s="193" t="s">
        <v>9</v>
      </c>
      <c r="B7" s="223" t="str">
        <f>IF(OR($B$3="",$B$3="(All)"),"Hint: Pick a theme in Show theme above to see its description and measures.",IF('Roadmap Calc (Don’t Touch)'!$BA$5="","— no description defined on the Control tab —",'Roadmap Calc (Don’t Touch)'!$BA$5))</f>
        <v>Hint: Pick a theme in Show theme above to see its description and measures.</v>
      </c>
      <c r="C7" s="223"/>
      <c r="D7" s="224"/>
      <c r="E7" s="168"/>
      <c r="F7" s="168"/>
      <c r="G7" s="190"/>
      <c r="H7" s="168"/>
      <c r="I7" s="168"/>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5"/>
      <c r="AI7" s="145"/>
      <c r="AJ7" s="147" t="str">
        <f>IF(COUNTA(Control!A6)=0,"",Control!A6)</f>
        <v>Find</v>
      </c>
      <c r="AK7" s="147" t="str">
        <f>IF(COUNTA(Control!E6)=0,"",Control!E6)</f>
        <v>Improve Trade In User Flow</v>
      </c>
      <c r="AL7" s="147" t="str">
        <f>IF(COUNTA(Control!B6)=0,"",Control!B6)</f>
        <v>01. Prod Discovery</v>
      </c>
      <c r="AM7" s="147" t="s">
        <v>10</v>
      </c>
    </row>
    <row r="8" spans="1:39" ht="31" hidden="1" customHeight="1" outlineLevel="1" x14ac:dyDescent="0.25">
      <c r="A8" s="194" t="s">
        <v>11</v>
      </c>
      <c r="B8" s="225" t="str">
        <f>IF(OR($B$3="",$B$3="(All)"),"",IF('Roadmap Calc (Don’t Touch)'!$BA$6="","— no adoption measures defined on the Control tab —",'Roadmap Calc (Don’t Touch)'!$BA$6))</f>
        <v/>
      </c>
      <c r="C8" s="225"/>
      <c r="D8" s="226"/>
      <c r="E8" s="168"/>
      <c r="F8" s="168"/>
      <c r="G8" s="190"/>
      <c r="H8" s="168"/>
      <c r="I8" s="168"/>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5"/>
      <c r="AI8" s="145"/>
      <c r="AJ8" s="147" t="str">
        <f>IF(COUNTA(Control!A7)=0,"",Control!A7)</f>
        <v/>
      </c>
      <c r="AK8" s="147" t="str">
        <f>IF(COUNTA(Control!E7)=0,"",Control!E7)</f>
        <v>Increase Trade In Reactivation</v>
      </c>
      <c r="AL8" s="147" t="str">
        <f>IF(COUNTA(Control!B7)=0,"",Control!B7)</f>
        <v>02. UX Req</v>
      </c>
      <c r="AM8" s="147" t="s">
        <v>12</v>
      </c>
    </row>
    <row r="9" spans="1:39" ht="46" hidden="1" customHeight="1" outlineLevel="1" thickBot="1" x14ac:dyDescent="0.3">
      <c r="A9" s="195" t="s">
        <v>13</v>
      </c>
      <c r="B9" s="227" t="str">
        <f>IF(OR($B$3="",$B$3="(All)"),"",IF('Roadmap Calc (Don’t Touch)'!$BA$7="","— no impact measures defined on the Control tab —",'Roadmap Calc (Don’t Touch)'!$BA$7))</f>
        <v/>
      </c>
      <c r="C9" s="227"/>
      <c r="D9" s="228"/>
      <c r="E9" s="168"/>
      <c r="F9" s="168"/>
      <c r="G9" s="190"/>
      <c r="H9" s="168"/>
      <c r="I9" s="168"/>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5"/>
      <c r="AI9" s="145"/>
      <c r="AJ9" s="147" t="str">
        <f>IF(COUNTA(Control!A8)=0,"",Control!A8)</f>
        <v/>
      </c>
      <c r="AK9" s="147" t="str">
        <f>IF(COUNTA(Control!E8)=0,"",Control!E8)</f>
        <v>Increase Buy Used Awareness</v>
      </c>
      <c r="AL9" s="147" t="str">
        <f>IF(COUNTA(Control!B8)=0,"",Control!B8)</f>
        <v>03. UX Discovery</v>
      </c>
      <c r="AM9" s="145"/>
    </row>
    <row r="10" spans="1:39" ht="19" hidden="1" outlineLevel="1" x14ac:dyDescent="0.25">
      <c r="A10" s="186"/>
      <c r="B10" s="187"/>
      <c r="C10" s="187"/>
      <c r="D10" s="188"/>
      <c r="E10" s="168"/>
      <c r="F10" s="168"/>
      <c r="G10" s="190"/>
      <c r="H10" s="168"/>
      <c r="I10" s="168"/>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5"/>
      <c r="AI10" s="145"/>
      <c r="AJ10" s="147"/>
      <c r="AK10" s="147"/>
      <c r="AL10" s="147"/>
      <c r="AM10" s="145"/>
    </row>
    <row r="11" spans="1:39" ht="22" customHeight="1" collapsed="1" x14ac:dyDescent="0.25">
      <c r="A11" s="214"/>
      <c r="B11" s="214"/>
      <c r="C11"/>
      <c r="D11"/>
      <c r="E11" s="145"/>
      <c r="F11" s="145"/>
      <c r="G11" s="145"/>
      <c r="H11" s="145"/>
      <c r="I11" s="145"/>
      <c r="J11" s="146"/>
      <c r="K11" s="146"/>
      <c r="L11" s="146"/>
      <c r="M11" s="146"/>
      <c r="N11" s="146"/>
      <c r="O11" s="146"/>
      <c r="P11" s="146"/>
      <c r="Q11" s="146"/>
      <c r="R11" s="146"/>
      <c r="S11" s="146"/>
      <c r="T11" s="146"/>
      <c r="U11" s="146"/>
      <c r="V11" s="146"/>
      <c r="W11" s="146"/>
      <c r="X11" s="146"/>
      <c r="Y11" s="146"/>
      <c r="Z11" s="146"/>
      <c r="AA11" s="146"/>
      <c r="AB11" s="229"/>
      <c r="AC11" s="230"/>
      <c r="AD11" s="230"/>
      <c r="AE11" s="230"/>
      <c r="AF11" s="230"/>
      <c r="AG11" s="230"/>
      <c r="AH11" s="145"/>
      <c r="AI11" s="145"/>
      <c r="AJ11" s="147" t="str">
        <f>IF(COUNTA(Control!A9)=0,"",Control!A9)</f>
        <v/>
      </c>
      <c r="AK11" s="147" t="str">
        <f>IF(COUNTA(Control!E9)=0,"",Control!E9)</f>
        <v>Improve Buy Used Customer Experience</v>
      </c>
      <c r="AL11" s="147" t="str">
        <f>IF(COUNTA(Control!B9)=0,"",Control!B9)</f>
        <v>04. UX Design</v>
      </c>
      <c r="AM11" s="145"/>
    </row>
    <row r="12" spans="1:39" ht="22" hidden="1" customHeight="1" x14ac:dyDescent="0.25">
      <c r="A12" s="214"/>
      <c r="B12" s="214"/>
      <c r="C12" s="148"/>
      <c r="D12" s="179"/>
      <c r="E12" s="145"/>
      <c r="F12" s="145"/>
      <c r="G12" s="145"/>
      <c r="H12" s="145"/>
      <c r="I12" s="145"/>
      <c r="J12" s="150">
        <v>46023</v>
      </c>
      <c r="K12" s="150">
        <v>46054</v>
      </c>
      <c r="L12" s="150">
        <v>46082</v>
      </c>
      <c r="M12" s="150">
        <v>46113</v>
      </c>
      <c r="N12" s="150">
        <v>46143</v>
      </c>
      <c r="O12" s="150">
        <v>46174</v>
      </c>
      <c r="P12" s="150">
        <v>46204</v>
      </c>
      <c r="Q12" s="150">
        <v>46235</v>
      </c>
      <c r="R12" s="150">
        <v>46266</v>
      </c>
      <c r="S12" s="150">
        <v>46296</v>
      </c>
      <c r="T12" s="150">
        <v>46327</v>
      </c>
      <c r="U12" s="150">
        <v>46357</v>
      </c>
      <c r="V12" s="150">
        <v>46388</v>
      </c>
      <c r="W12" s="150">
        <v>46419</v>
      </c>
      <c r="X12" s="150">
        <v>46447</v>
      </c>
      <c r="Y12" s="150">
        <v>46478</v>
      </c>
      <c r="Z12" s="150">
        <v>46508</v>
      </c>
      <c r="AA12" s="150">
        <v>46539</v>
      </c>
      <c r="AB12" s="150">
        <v>46569</v>
      </c>
      <c r="AC12" s="150">
        <v>46600</v>
      </c>
      <c r="AD12" s="150">
        <v>46631</v>
      </c>
      <c r="AE12" s="150">
        <v>46661</v>
      </c>
      <c r="AF12" s="150">
        <v>46692</v>
      </c>
      <c r="AG12" s="150">
        <v>46722</v>
      </c>
      <c r="AH12" s="145"/>
      <c r="AI12" s="145"/>
      <c r="AJ12" s="145"/>
      <c r="AK12" s="147" t="str">
        <f>IF(COUNTA(Control!E10)=0,"",Control!E10)</f>
        <v>Increase Buy Used Reactivation</v>
      </c>
      <c r="AL12" s="147" t="str">
        <f>IF(COUNTA(Control!B10)=0,"",Control!B10)</f>
        <v>04A. Research - Design Validation</v>
      </c>
      <c r="AM12" s="145"/>
    </row>
    <row r="13" spans="1:39" ht="18" customHeight="1" x14ac:dyDescent="0.25">
      <c r="A13" s="215" t="s">
        <v>927</v>
      </c>
      <c r="B13" s="215"/>
      <c r="C13"/>
      <c r="D13"/>
      <c r="E13" s="145"/>
      <c r="F13" s="145"/>
      <c r="G13" s="145"/>
      <c r="H13" s="145"/>
      <c r="I13" s="145"/>
      <c r="J13" s="216">
        <v>2026</v>
      </c>
      <c r="K13" s="217"/>
      <c r="L13" s="217"/>
      <c r="M13" s="217"/>
      <c r="N13" s="217"/>
      <c r="O13" s="217"/>
      <c r="P13" s="217"/>
      <c r="Q13" s="217"/>
      <c r="R13" s="217"/>
      <c r="S13" s="217"/>
      <c r="T13" s="217"/>
      <c r="U13" s="217"/>
      <c r="V13" s="216">
        <v>2027</v>
      </c>
      <c r="W13" s="217"/>
      <c r="X13" s="217"/>
      <c r="Y13" s="217"/>
      <c r="Z13" s="217"/>
      <c r="AA13" s="217"/>
      <c r="AB13" s="217"/>
      <c r="AC13" s="217"/>
      <c r="AD13" s="217"/>
      <c r="AE13" s="217"/>
      <c r="AF13" s="217"/>
      <c r="AG13" s="217"/>
      <c r="AH13" s="145"/>
      <c r="AI13" s="145"/>
      <c r="AJ13" s="145"/>
      <c r="AK13" s="147" t="str">
        <f>IF(COUNTA(Control!E11)=0,"",Control!E11)</f>
        <v>Increase B2B Acquisition</v>
      </c>
      <c r="AL13" s="147" t="str">
        <f>IF(COUNTA(Control!B11)=0,"",Control!B11)</f>
        <v>05. Business Review</v>
      </c>
      <c r="AM13" s="145"/>
    </row>
    <row r="14" spans="1:39" ht="29" customHeight="1" x14ac:dyDescent="0.25">
      <c r="A14" s="215"/>
      <c r="B14" s="215"/>
      <c r="C14"/>
      <c r="D14"/>
      <c r="E14" s="145"/>
      <c r="F14" s="145"/>
      <c r="G14" s="145"/>
      <c r="H14" s="145"/>
      <c r="I14" s="145"/>
      <c r="J14" s="220" t="s">
        <v>20</v>
      </c>
      <c r="K14" s="221"/>
      <c r="L14" s="221"/>
      <c r="M14" s="220" t="s">
        <v>21</v>
      </c>
      <c r="N14" s="221"/>
      <c r="O14" s="221"/>
      <c r="P14" s="220" t="s">
        <v>22</v>
      </c>
      <c r="Q14" s="221"/>
      <c r="R14" s="221"/>
      <c r="S14" s="220" t="s">
        <v>23</v>
      </c>
      <c r="T14" s="221"/>
      <c r="U14" s="221"/>
      <c r="V14" s="220" t="s">
        <v>20</v>
      </c>
      <c r="W14" s="221"/>
      <c r="X14" s="221"/>
      <c r="Y14" s="220" t="s">
        <v>21</v>
      </c>
      <c r="Z14" s="221"/>
      <c r="AA14" s="221"/>
      <c r="AB14" s="220" t="s">
        <v>22</v>
      </c>
      <c r="AC14" s="221"/>
      <c r="AD14" s="221"/>
      <c r="AE14" s="220" t="s">
        <v>23</v>
      </c>
      <c r="AF14" s="221"/>
      <c r="AG14" s="221"/>
      <c r="AH14" s="145"/>
      <c r="AI14" s="145"/>
      <c r="AJ14" s="145"/>
      <c r="AK14" s="147" t="str">
        <f>IF(COUNTA(Control!E12)=0,"",Control!E12)</f>
        <v>Increase The Studio B&amp;H Awareness</v>
      </c>
      <c r="AL14" s="147" t="str">
        <f>IF(COUNTA(Control!B12)=0,"",Control!B12)</f>
        <v>06. Architecture</v>
      </c>
      <c r="AM14" s="145"/>
    </row>
    <row r="15" spans="1:39" ht="30" customHeight="1" thickBot="1" x14ac:dyDescent="0.3">
      <c r="A15" s="165" t="s">
        <v>24</v>
      </c>
      <c r="B15" s="165" t="s">
        <v>25</v>
      </c>
      <c r="C15" s="165" t="s">
        <v>26</v>
      </c>
      <c r="D15" s="165" t="s">
        <v>27</v>
      </c>
      <c r="E15" s="166" t="s">
        <v>28</v>
      </c>
      <c r="F15" s="166" t="s">
        <v>29</v>
      </c>
      <c r="G15" s="166" t="s">
        <v>30</v>
      </c>
      <c r="H15" s="166" t="s">
        <v>31</v>
      </c>
      <c r="I15" s="166" t="s">
        <v>32</v>
      </c>
      <c r="J15" s="167" t="s">
        <v>33</v>
      </c>
      <c r="K15" s="167" t="s">
        <v>34</v>
      </c>
      <c r="L15" s="167" t="s">
        <v>35</v>
      </c>
      <c r="M15" s="167" t="s">
        <v>36</v>
      </c>
      <c r="N15" s="167" t="s">
        <v>37</v>
      </c>
      <c r="O15" s="167" t="s">
        <v>38</v>
      </c>
      <c r="P15" s="167" t="s">
        <v>39</v>
      </c>
      <c r="Q15" s="167" t="s">
        <v>40</v>
      </c>
      <c r="R15" s="167" t="s">
        <v>41</v>
      </c>
      <c r="S15" s="167" t="s">
        <v>42</v>
      </c>
      <c r="T15" s="167" t="s">
        <v>43</v>
      </c>
      <c r="U15" s="167" t="s">
        <v>44</v>
      </c>
      <c r="V15" s="167" t="s">
        <v>33</v>
      </c>
      <c r="W15" s="167" t="s">
        <v>34</v>
      </c>
      <c r="X15" s="167" t="s">
        <v>35</v>
      </c>
      <c r="Y15" s="167" t="s">
        <v>36</v>
      </c>
      <c r="Z15" s="167" t="s">
        <v>37</v>
      </c>
      <c r="AA15" s="167" t="s">
        <v>38</v>
      </c>
      <c r="AB15" s="167" t="s">
        <v>39</v>
      </c>
      <c r="AC15" s="167" t="s">
        <v>40</v>
      </c>
      <c r="AD15" s="167" t="s">
        <v>41</v>
      </c>
      <c r="AE15" s="167" t="s">
        <v>42</v>
      </c>
      <c r="AF15" s="167" t="s">
        <v>43</v>
      </c>
      <c r="AG15" s="167" t="s">
        <v>44</v>
      </c>
      <c r="AH15" s="151" t="s">
        <v>45</v>
      </c>
      <c r="AI15" s="151" t="s">
        <v>46</v>
      </c>
      <c r="AJ15" s="145"/>
      <c r="AK15" s="147" t="str">
        <f>IF(COUNTA(Control!E13)=0,"",Control!E13)</f>
        <v>Improve The Studio B&amp;H Customer Experience</v>
      </c>
      <c r="AL15" s="147" t="str">
        <f>IF(COUNTA(Control!B13)=0,"",Control!B13)</f>
        <v>07. Grooming</v>
      </c>
      <c r="AM15" s="145"/>
    </row>
    <row r="16" spans="1:41" ht="20" customHeight="1" x14ac:dyDescent="0.25">
      <c r="A16" s="198" t="str">
        <f>IF($AI16="","",IF($AH16=$AH15,"",IF(INDEX('Roadmap Calc (Don’t Touch)'!$U$2:$U$151,$AI16)=0,$AH16,HYPERLINK("#'Control (Don’t Touch)'!E"&amp;INDEX('Roadmap Calc (Don’t Touch)'!$U$2:$U$151,$AI16),$AH16))))</f>
        <v>Increase Trade In Awareness</v>
      </c>
      <c r="B16" s="159" t="str">
        <f>IF($AI16="","",IF(INDEX('Roadmap Calc (Don’t Touch)'!$K$2:$K$151,$AI16)="",INDEX('Roadmap Calc (Don’t Touch)'!$B$2:$B$151,$AI16),HYPERLINK("https://jira.bnh.com/browse/"&amp;INDEX('Roadmap Calc (Don’t Touch)'!$K$2:$K$151,$AI16),INDEX('Roadmap Calc (Don’t Touch)'!$B$2:$B$151,$AI16))))</f>
        <v>Decouple Sell Used from Used Hub</v>
      </c>
      <c r="C16" s="159" t="str">
        <f>IF($AI16="","",IF(INDEX('Roadmap Calc (Don’t Touch)'!$E$2:$E$151,$AI16)="","",HYPERLINK("https://jira.bnh.com/browse/"&amp;INDEX('Roadmap Calc (Don’t Touch)'!$E$2:$E$151,$AI16),INDEX('Roadmap Calc (Don’t Touch)'!$E$2:$E$151,$AI16))))</f>
        <v>BHP-7431</v>
      </c>
      <c r="D16" s="161" t="str">
        <f>IF($AI16="","",INDEX('Roadmap Calc (Don’t Touch)'!$F$2:$F$151,$AI16))</f>
        <v>01. Prod Discovery</v>
      </c>
      <c r="E16" s="155" t="str">
        <f>IF($AI16="","",IF(ISNUMBER(INDEX('Roadmap Calc (Don’t Touch)'!$G$2:$G$151,$AI16)),INDEX('Roadmap Calc (Don’t Touch)'!$G$2:$G$151,$AI16),""))</f>
        <v/>
      </c>
      <c r="F16" s="155" t="str">
        <f>IF($AI16="","",IF(ISNUMBER(INDEX('Roadmap Calc (Don’t Touch)'!$H$2:$H$151,$AI16)),INDEX('Roadmap Calc (Don’t Touch)'!$H$2:$H$151,$AI16),""))</f>
        <v/>
      </c>
      <c r="G16" s="156">
        <f>IF($AI16="","",INDEX('Roadmap Calc (Don’t Touch)'!$T$2:$T$151,$AI16))</f>
        <v>0</v>
      </c>
      <c r="H16" s="157">
        <f ca="1">IF($AI16="","",IF(ISNUMBER(INDEX('Roadmap Calc (Don’t Touch)'!$I$2:$I$151,$AI16)),INDEX('Roadmap Calc (Don’t Touch)'!$I$2:$I$151,$AI16),""))</f>
        <v>46419</v>
      </c>
      <c r="I16" s="157">
        <f ca="1">IF($AI16="","",IF(ISNUMBER(INDEX('Roadmap Calc (Don’t Touch)'!$J$2:$J$151,$AI16)),INDEX('Roadmap Calc (Don’t Touch)'!$J$2:$J$151,$AI16),""))</f>
        <v>46446</v>
      </c>
      <c r="J16" s="158" t="str">
        <f>IF($AI16="","",IF(AND($AN16&lt;&gt;"",$AN16&lt;=EOMONTH(J$12,0),$AO16&gt;=J$12),IF(AND(INDEX('Roadmap Calc (Don’t Touch)'!$AA$2:$AX$151,$AI16,COLUMN()-COLUMN($J$16)+1)&gt;0,OR($D16="03. UX Discovery",$D16="04. UX Design")),IF(AND($H16&lt;&gt;"",$H16&lt;=EOMONTH(J$12,0),$I16&gt;=J$12),"ALL","PD+UX"),IF(AND($H16&lt;&gt;"",$H16&lt;=EOMONTH(J$12,0),$I16&gt;=J$12),"PD+DEV","PD")),IF(AND(INDEX('Roadmap Calc (Don’t Touch)'!$AA$2:$AX$151,$AI16,COLUMN()-COLUMN($J$16)+1)&gt;0,OR($D16="03. UX Discovery",$D16="04. UX Design")),IF(AND($H16&lt;&gt;"",$H16&lt;=EOMONTH(J$12,0),$I16&gt;=J$12),"UX+DEV","UX"),IF(AND($H16&lt;&gt;"",$H16&lt;=EOMONTH(J$12,0),$I16&gt;=J$12),"DEV",""))))</f>
      </c>
      <c r="K16" s="158" t="str">
        <f>IF($AI16="","",IF(AND($AN16&lt;&gt;"",$AN16&lt;=EOMONTH(K$12,0),$AO16&gt;=K$12),IF(AND(INDEX('Roadmap Calc (Don’t Touch)'!$AA$2:$AX$151,$AI16,COLUMN()-COLUMN($J$16)+1)&gt;0,OR($D16="03. UX Discovery",$D16="04. UX Design")),IF(AND($H16&lt;&gt;"",$H16&lt;=EOMONTH(K$12,0),$I16&gt;=K$12),"ALL","PD+UX"),IF(AND($H16&lt;&gt;"",$H16&lt;=EOMONTH(K$12,0),$I16&gt;=K$12),"PD+DEV","PD")),IF(AND(INDEX('Roadmap Calc (Don’t Touch)'!$AA$2:$AX$151,$AI16,COLUMN()-COLUMN($J$16)+1)&gt;0,OR($D16="03. UX Discovery",$D16="04. UX Design")),IF(AND($H16&lt;&gt;"",$H16&lt;=EOMONTH(K$12,0),$I16&gt;=K$12),"UX+DEV","UX"),IF(AND($H16&lt;&gt;"",$H16&lt;=EOMONTH(K$12,0),$I16&gt;=K$12),"DEV",""))))</f>
      </c>
      <c r="L16" s="158" t="str">
        <f>IF($AI16="","",IF(AND($AN16&lt;&gt;"",$AN16&lt;=EOMONTH(L$12,0),$AO16&gt;=L$12),IF(AND(INDEX('Roadmap Calc (Don’t Touch)'!$AA$2:$AX$151,$AI16,COLUMN()-COLUMN($J$16)+1)&gt;0,OR($D16="03. UX Discovery",$D16="04. UX Design")),IF(AND($H16&lt;&gt;"",$H16&lt;=EOMONTH(L$12,0),$I16&gt;=L$12),"ALL","PD+UX"),IF(AND($H16&lt;&gt;"",$H16&lt;=EOMONTH(L$12,0),$I16&gt;=L$12),"PD+DEV","PD")),IF(AND(INDEX('Roadmap Calc (Don’t Touch)'!$AA$2:$AX$151,$AI16,COLUMN()-COLUMN($J$16)+1)&gt;0,OR($D16="03. UX Discovery",$D16="04. UX Design")),IF(AND($H16&lt;&gt;"",$H16&lt;=EOMONTH(L$12,0),$I16&gt;=L$12),"UX+DEV","UX"),IF(AND($H16&lt;&gt;"",$H16&lt;=EOMONTH(L$12,0),$I16&gt;=L$12),"DEV",""))))</f>
      </c>
      <c r="M16" s="158" t="str">
        <f>IF($AI16="","",IF(AND($AN16&lt;&gt;"",$AN16&lt;=EOMONTH(M$12,0),$AO16&gt;=M$12),IF(AND(INDEX('Roadmap Calc (Don’t Touch)'!$AA$2:$AX$151,$AI16,COLUMN()-COLUMN($J$16)+1)&gt;0,OR($D16="03. UX Discovery",$D16="04. UX Design")),IF(AND($H16&lt;&gt;"",$H16&lt;=EOMONTH(M$12,0),$I16&gt;=M$12),"ALL","PD+UX"),IF(AND($H16&lt;&gt;"",$H16&lt;=EOMONTH(M$12,0),$I16&gt;=M$12),"PD+DEV","PD")),IF(AND(INDEX('Roadmap Calc (Don’t Touch)'!$AA$2:$AX$151,$AI16,COLUMN()-COLUMN($J$16)+1)&gt;0,OR($D16="03. UX Discovery",$D16="04. UX Design")),IF(AND($H16&lt;&gt;"",$H16&lt;=EOMONTH(M$12,0),$I16&gt;=M$12),"UX+DEV","UX"),IF(AND($H16&lt;&gt;"",$H16&lt;=EOMONTH(M$12,0),$I16&gt;=M$12),"DEV",""))))</f>
      </c>
      <c r="N16" s="158" t="str">
        <f>IF($AI16="","",IF(AND($AN16&lt;&gt;"",$AN16&lt;=EOMONTH(N$12,0),$AO16&gt;=N$12),IF(AND(INDEX('Roadmap Calc (Don’t Touch)'!$AA$2:$AX$151,$AI16,COLUMN()-COLUMN($J$16)+1)&gt;0,OR($D16="03. UX Discovery",$D16="04. UX Design")),IF(AND($H16&lt;&gt;"",$H16&lt;=EOMONTH(N$12,0),$I16&gt;=N$12),"ALL","PD+UX"),IF(AND($H16&lt;&gt;"",$H16&lt;=EOMONTH(N$12,0),$I16&gt;=N$12),"PD+DEV","PD")),IF(AND(INDEX('Roadmap Calc (Don’t Touch)'!$AA$2:$AX$151,$AI16,COLUMN()-COLUMN($J$16)+1)&gt;0,OR($D16="03. UX Discovery",$D16="04. UX Design")),IF(AND($H16&lt;&gt;"",$H16&lt;=EOMONTH(N$12,0),$I16&gt;=N$12),"UX+DEV","UX"),IF(AND($H16&lt;&gt;"",$H16&lt;=EOMONTH(N$12,0),$I16&gt;=N$12),"DEV",""))))</f>
      </c>
      <c r="O16" s="158" t="str">
        <f>IF($AI16="","",IF(AND($AN16&lt;&gt;"",$AN16&lt;=EOMONTH(O$12,0),$AO16&gt;=O$12),IF(AND(INDEX('Roadmap Calc (Don’t Touch)'!$AA$2:$AX$151,$AI16,COLUMN()-COLUMN($J$16)+1)&gt;0,OR($D16="03. UX Discovery",$D16="04. UX Design")),IF(AND($H16&lt;&gt;"",$H16&lt;=EOMONTH(O$12,0),$I16&gt;=O$12),"ALL","PD+UX"),IF(AND($H16&lt;&gt;"",$H16&lt;=EOMONTH(O$12,0),$I16&gt;=O$12),"PD+DEV","PD")),IF(AND(INDEX('Roadmap Calc (Don’t Touch)'!$AA$2:$AX$151,$AI16,COLUMN()-COLUMN($J$16)+1)&gt;0,OR($D16="03. UX Discovery",$D16="04. UX Design")),IF(AND($H16&lt;&gt;"",$H16&lt;=EOMONTH(O$12,0),$I16&gt;=O$12),"UX+DEV","UX"),IF(AND($H16&lt;&gt;"",$H16&lt;=EOMONTH(O$12,0),$I16&gt;=O$12),"DEV",""))))</f>
      </c>
      <c r="P16" s="158" t="str">
        <f>IF($AI16="","",IF(AND($AN16&lt;&gt;"",$AN16&lt;=EOMONTH(P$12,0),$AO16&gt;=P$12),IF(AND(INDEX('Roadmap Calc (Don’t Touch)'!$AA$2:$AX$151,$AI16,COLUMN()-COLUMN($J$16)+1)&gt;0,OR($D16="03. UX Discovery",$D16="04. UX Design")),IF(AND($H16&lt;&gt;"",$H16&lt;=EOMONTH(P$12,0),$I16&gt;=P$12),"ALL","PD+UX"),IF(AND($H16&lt;&gt;"",$H16&lt;=EOMONTH(P$12,0),$I16&gt;=P$12),"PD+DEV","PD")),IF(AND(INDEX('Roadmap Calc (Don’t Touch)'!$AA$2:$AX$151,$AI16,COLUMN()-COLUMN($J$16)+1)&gt;0,OR($D16="03. UX Discovery",$D16="04. UX Design")),IF(AND($H16&lt;&gt;"",$H16&lt;=EOMONTH(P$12,0),$I16&gt;=P$12),"UX+DEV","UX"),IF(AND($H16&lt;&gt;"",$H16&lt;=EOMONTH(P$12,0),$I16&gt;=P$12),"DEV",""))))</f>
      </c>
      <c r="Q16" s="158" t="str">
        <f>IF($AI16="","",IF(AND($AN16&lt;&gt;"",$AN16&lt;=EOMONTH(Q$12,0),$AO16&gt;=Q$12),IF(AND(INDEX('Roadmap Calc (Don’t Touch)'!$AA$2:$AX$151,$AI16,COLUMN()-COLUMN($J$16)+1)&gt;0,OR($D16="03. UX Discovery",$D16="04. UX Design")),IF(AND($H16&lt;&gt;"",$H16&lt;=EOMONTH(Q$12,0),$I16&gt;=Q$12),"ALL","PD+UX"),IF(AND($H16&lt;&gt;"",$H16&lt;=EOMONTH(Q$12,0),$I16&gt;=Q$12),"PD+DEV","PD")),IF(AND(INDEX('Roadmap Calc (Don’t Touch)'!$AA$2:$AX$151,$AI16,COLUMN()-COLUMN($J$16)+1)&gt;0,OR($D16="03. UX Discovery",$D16="04. UX Design")),IF(AND($H16&lt;&gt;"",$H16&lt;=EOMONTH(Q$12,0),$I16&gt;=Q$12),"UX+DEV","UX"),IF(AND($H16&lt;&gt;"",$H16&lt;=EOMONTH(Q$12,0),$I16&gt;=Q$12),"DEV",""))))</f>
      </c>
      <c r="R16" s="158" t="str">
        <f>IF($AI16="","",IF(AND($AN16&lt;&gt;"",$AN16&lt;=EOMONTH(R$12,0),$AO16&gt;=R$12),IF(AND(INDEX('Roadmap Calc (Don’t Touch)'!$AA$2:$AX$151,$AI16,COLUMN()-COLUMN($J$16)+1)&gt;0,OR($D16="03. UX Discovery",$D16="04. UX Design")),IF(AND($H16&lt;&gt;"",$H16&lt;=EOMONTH(R$12,0),$I16&gt;=R$12),"ALL","PD+UX"),IF(AND($H16&lt;&gt;"",$H16&lt;=EOMONTH(R$12,0),$I16&gt;=R$12),"PD+DEV","PD")),IF(AND(INDEX('Roadmap Calc (Don’t Touch)'!$AA$2:$AX$151,$AI16,COLUMN()-COLUMN($J$16)+1)&gt;0,OR($D16="03. UX Discovery",$D16="04. UX Design")),IF(AND($H16&lt;&gt;"",$H16&lt;=EOMONTH(R$12,0),$I16&gt;=R$12),"UX+DEV","UX"),IF(AND($H16&lt;&gt;"",$H16&lt;=EOMONTH(R$12,0),$I16&gt;=R$12),"DEV",""))))</f>
      </c>
      <c r="S16" s="158" t="str">
        <f>IF($AI16="","",IF(AND($AN16&lt;&gt;"",$AN16&lt;=EOMONTH(S$12,0),$AO16&gt;=S$12),IF(AND(INDEX('Roadmap Calc (Don’t Touch)'!$AA$2:$AX$151,$AI16,COLUMN()-COLUMN($J$16)+1)&gt;0,OR($D16="03. UX Discovery",$D16="04. UX Design")),IF(AND($H16&lt;&gt;"",$H16&lt;=EOMONTH(S$12,0),$I16&gt;=S$12),"ALL","PD+UX"),IF(AND($H16&lt;&gt;"",$H16&lt;=EOMONTH(S$12,0),$I16&gt;=S$12),"PD+DEV","PD")),IF(AND(INDEX('Roadmap Calc (Don’t Touch)'!$AA$2:$AX$151,$AI16,COLUMN()-COLUMN($J$16)+1)&gt;0,OR($D16="03. UX Discovery",$D16="04. UX Design")),IF(AND($H16&lt;&gt;"",$H16&lt;=EOMONTH(S$12,0),$I16&gt;=S$12),"UX+DEV","UX"),IF(AND($H16&lt;&gt;"",$H16&lt;=EOMONTH(S$12,0),$I16&gt;=S$12),"DEV",""))))</f>
      </c>
      <c r="T16" s="158" t="str">
        <f>IF($AI16="","",IF(AND($AN16&lt;&gt;"",$AN16&lt;=EOMONTH(T$12,0),$AO16&gt;=T$12),IF(AND(INDEX('Roadmap Calc (Don’t Touch)'!$AA$2:$AX$151,$AI16,COLUMN()-COLUMN($J$16)+1)&gt;0,OR($D16="03. UX Discovery",$D16="04. UX Design")),IF(AND($H16&lt;&gt;"",$H16&lt;=EOMONTH(T$12,0),$I16&gt;=T$12),"ALL","PD+UX"),IF(AND($H16&lt;&gt;"",$H16&lt;=EOMONTH(T$12,0),$I16&gt;=T$12),"PD+DEV","PD")),IF(AND(INDEX('Roadmap Calc (Don’t Touch)'!$AA$2:$AX$151,$AI16,COLUMN()-COLUMN($J$16)+1)&gt;0,OR($D16="03. UX Discovery",$D16="04. UX Design")),IF(AND($H16&lt;&gt;"",$H16&lt;=EOMONTH(T$12,0),$I16&gt;=T$12),"UX+DEV","UX"),IF(AND($H16&lt;&gt;"",$H16&lt;=EOMONTH(T$12,0),$I16&gt;=T$12),"DEV",""))))</f>
      </c>
      <c r="U16" s="158" t="str">
        <f>IF($AI16="","",IF(AND($AN16&lt;&gt;"",$AN16&lt;=EOMONTH(U$12,0),$AO16&gt;=U$12),IF(AND(INDEX('Roadmap Calc (Don’t Touch)'!$AA$2:$AX$151,$AI16,COLUMN()-COLUMN($J$16)+1)&gt;0,OR($D16="03. UX Discovery",$D16="04. UX Design")),IF(AND($H16&lt;&gt;"",$H16&lt;=EOMONTH(U$12,0),$I16&gt;=U$12),"ALL","PD+UX"),IF(AND($H16&lt;&gt;"",$H16&lt;=EOMONTH(U$12,0),$I16&gt;=U$12),"PD+DEV","PD")),IF(AND(INDEX('Roadmap Calc (Don’t Touch)'!$AA$2:$AX$151,$AI16,COLUMN()-COLUMN($J$16)+1)&gt;0,OR($D16="03. UX Discovery",$D16="04. UX Design")),IF(AND($H16&lt;&gt;"",$H16&lt;=EOMONTH(U$12,0),$I16&gt;=U$12),"UX+DEV","UX"),IF(AND($H16&lt;&gt;"",$H16&lt;=EOMONTH(U$12,0),$I16&gt;=U$12),"DEV",""))))</f>
      </c>
      <c r="V16" s="158" t="str">
        <f>IF($AI16="","",IF(AND($AN16&lt;&gt;"",$AN16&lt;=EOMONTH(V$12,0),$AO16&gt;=V$12),IF(AND(INDEX('Roadmap Calc (Don’t Touch)'!$AA$2:$AX$151,$AI16,COLUMN()-COLUMN($J$16)+1)&gt;0,OR($D16="03. UX Discovery",$D16="04. UX Design")),IF(AND($H16&lt;&gt;"",$H16&lt;=EOMONTH(V$12,0),$I16&gt;=V$12),"ALL","PD+UX"),IF(AND($H16&lt;&gt;"",$H16&lt;=EOMONTH(V$12,0),$I16&gt;=V$12),"PD+DEV","PD")),IF(AND(INDEX('Roadmap Calc (Don’t Touch)'!$AA$2:$AX$151,$AI16,COLUMN()-COLUMN($J$16)+1)&gt;0,OR($D16="03. UX Discovery",$D16="04. UX Design")),IF(AND($H16&lt;&gt;"",$H16&lt;=EOMONTH(V$12,0),$I16&gt;=V$12),"UX+DEV","UX"),IF(AND($H16&lt;&gt;"",$H16&lt;=EOMONTH(V$12,0),$I16&gt;=V$12),"DEV",""))))</f>
      </c>
      <c r="W16" s="158" t="str">
        <f>IF($AI16="","",IF(AND($AN16&lt;&gt;"",$AN16&lt;=EOMONTH(W$12,0),$AO16&gt;=W$12),IF(AND(INDEX('Roadmap Calc (Don’t Touch)'!$AA$2:$AX$151,$AI16,COLUMN()-COLUMN($J$16)+1)&gt;0,OR($D16="03. UX Discovery",$D16="04. UX Design")),IF(AND($H16&lt;&gt;"",$H16&lt;=EOMONTH(W$12,0),$I16&gt;=W$12),"ALL","PD+UX"),IF(AND($H16&lt;&gt;"",$H16&lt;=EOMONTH(W$12,0),$I16&gt;=W$12),"PD+DEV","PD")),IF(AND(INDEX('Roadmap Calc (Don’t Touch)'!$AA$2:$AX$151,$AI16,COLUMN()-COLUMN($J$16)+1)&gt;0,OR($D16="03. UX Discovery",$D16="04. UX Design")),IF(AND($H16&lt;&gt;"",$H16&lt;=EOMONTH(W$12,0),$I16&gt;=W$12),"UX+DEV","UX"),IF(AND($H16&lt;&gt;"",$H16&lt;=EOMONTH(W$12,0),$I16&gt;=W$12),"DEV",""))))</f>
      </c>
      <c r="X16" s="158" t="str">
        <f>IF($AI16="","",IF(AND($AN16&lt;&gt;"",$AN16&lt;=EOMONTH(X$12,0),$AO16&gt;=X$12),IF(AND(INDEX('Roadmap Calc (Don’t Touch)'!$AA$2:$AX$151,$AI16,COLUMN()-COLUMN($J$16)+1)&gt;0,OR($D16="03. UX Discovery",$D16="04. UX Design")),IF(AND($H16&lt;&gt;"",$H16&lt;=EOMONTH(X$12,0),$I16&gt;=X$12),"ALL","PD+UX"),IF(AND($H16&lt;&gt;"",$H16&lt;=EOMONTH(X$12,0),$I16&gt;=X$12),"PD+DEV","PD")),IF(AND(INDEX('Roadmap Calc (Don’t Touch)'!$AA$2:$AX$151,$AI16,COLUMN()-COLUMN($J$16)+1)&gt;0,OR($D16="03. UX Discovery",$D16="04. UX Design")),IF(AND($H16&lt;&gt;"",$H16&lt;=EOMONTH(X$12,0),$I16&gt;=X$12),"UX+DEV","UX"),IF(AND($H16&lt;&gt;"",$H16&lt;=EOMONTH(X$12,0),$I16&gt;=X$12),"DEV",""))))</f>
      </c>
      <c r="Y16" s="158" t="str">
        <f>IF($AI16="","",IF(AND($AN16&lt;&gt;"",$AN16&lt;=EOMONTH(Y$12,0),$AO16&gt;=Y$12),IF(AND(INDEX('Roadmap Calc (Don’t Touch)'!$AA$2:$AX$151,$AI16,COLUMN()-COLUMN($J$16)+1)&gt;0,OR($D16="03. UX Discovery",$D16="04. UX Design")),IF(AND($H16&lt;&gt;"",$H16&lt;=EOMONTH(Y$12,0),$I16&gt;=Y$12),"ALL","PD+UX"),IF(AND($H16&lt;&gt;"",$H16&lt;=EOMONTH(Y$12,0),$I16&gt;=Y$12),"PD+DEV","PD")),IF(AND(INDEX('Roadmap Calc (Don’t Touch)'!$AA$2:$AX$151,$AI16,COLUMN()-COLUMN($J$16)+1)&gt;0,OR($D16="03. UX Discovery",$D16="04. UX Design")),IF(AND($H16&lt;&gt;"",$H16&lt;=EOMONTH(Y$12,0),$I16&gt;=Y$12),"UX+DEV","UX"),IF(AND($H16&lt;&gt;"",$H16&lt;=EOMONTH(Y$12,0),$I16&gt;=Y$12),"DEV",""))))</f>
      </c>
      <c r="Z16" s="158" t="str">
        <f>IF($AI16="","",IF(AND($AN16&lt;&gt;"",$AN16&lt;=EOMONTH(Z$12,0),$AO16&gt;=Z$12),IF(AND(INDEX('Roadmap Calc (Don’t Touch)'!$AA$2:$AX$151,$AI16,COLUMN()-COLUMN($J$16)+1)&gt;0,OR($D16="03. UX Discovery",$D16="04. UX Design")),IF(AND($H16&lt;&gt;"",$H16&lt;=EOMONTH(Z$12,0),$I16&gt;=Z$12),"ALL","PD+UX"),IF(AND($H16&lt;&gt;"",$H16&lt;=EOMONTH(Z$12,0),$I16&gt;=Z$12),"PD+DEV","PD")),IF(AND(INDEX('Roadmap Calc (Don’t Touch)'!$AA$2:$AX$151,$AI16,COLUMN()-COLUMN($J$16)+1)&gt;0,OR($D16="03. UX Discovery",$D16="04. UX Design")),IF(AND($H16&lt;&gt;"",$H16&lt;=EOMONTH(Z$12,0),$I16&gt;=Z$12),"UX+DEV","UX"),IF(AND($H16&lt;&gt;"",$H16&lt;=EOMONTH(Z$12,0),$I16&gt;=Z$12),"DEV",""))))</f>
      </c>
      <c r="AA16" s="158" t="str">
        <f>IF($AI16="","",IF(AND($AN16&lt;&gt;"",$AN16&lt;=EOMONTH(AA$12,0),$AO16&gt;=AA$12),IF(AND(INDEX('Roadmap Calc (Don’t Touch)'!$AA$2:$AX$151,$AI16,COLUMN()-COLUMN($J$16)+1)&gt;0,OR($D16="03. UX Discovery",$D16="04. UX Design")),IF(AND($H16&lt;&gt;"",$H16&lt;=EOMONTH(AA$12,0),$I16&gt;=AA$12),"ALL","PD+UX"),IF(AND($H16&lt;&gt;"",$H16&lt;=EOMONTH(AA$12,0),$I16&gt;=AA$12),"PD+DEV","PD")),IF(AND(INDEX('Roadmap Calc (Don’t Touch)'!$AA$2:$AX$151,$AI16,COLUMN()-COLUMN($J$16)+1)&gt;0,OR($D16="03. UX Discovery",$D16="04. UX Design")),IF(AND($H16&lt;&gt;"",$H16&lt;=EOMONTH(AA$12,0),$I16&gt;=AA$12),"UX+DEV","UX"),IF(AND($H16&lt;&gt;"",$H16&lt;=EOMONTH(AA$12,0),$I16&gt;=AA$12),"DEV",""))))</f>
      </c>
      <c r="AB16" s="158" t="str">
        <f>IF($AI16="","",IF(AND($AN16&lt;&gt;"",$AN16&lt;=EOMONTH(AB$12,0),$AO16&gt;=AB$12),IF(AND(INDEX('Roadmap Calc (Don’t Touch)'!$AA$2:$AX$151,$AI16,COLUMN()-COLUMN($J$16)+1)&gt;0,OR($D16="03. UX Discovery",$D16="04. UX Design")),IF(AND($H16&lt;&gt;"",$H16&lt;=EOMONTH(AB$12,0),$I16&gt;=AB$12),"ALL","PD+UX"),IF(AND($H16&lt;&gt;"",$H16&lt;=EOMONTH(AB$12,0),$I16&gt;=AB$12),"PD+DEV","PD")),IF(AND(INDEX('Roadmap Calc (Don’t Touch)'!$AA$2:$AX$151,$AI16,COLUMN()-COLUMN($J$16)+1)&gt;0,OR($D16="03. UX Discovery",$D16="04. UX Design")),IF(AND($H16&lt;&gt;"",$H16&lt;=EOMONTH(AB$12,0),$I16&gt;=AB$12),"UX+DEV","UX"),IF(AND($H16&lt;&gt;"",$H16&lt;=EOMONTH(AB$12,0),$I16&gt;=AB$12),"DEV",""))))</f>
      </c>
      <c r="AC16" s="158" t="str">
        <f>IF($AI16="","",IF(AND($AN16&lt;&gt;"",$AN16&lt;=EOMONTH(AC$12,0),$AO16&gt;=AC$12),IF(AND(INDEX('Roadmap Calc (Don’t Touch)'!$AA$2:$AX$151,$AI16,COLUMN()-COLUMN($J$16)+1)&gt;0,OR($D16="03. UX Discovery",$D16="04. UX Design")),IF(AND($H16&lt;&gt;"",$H16&lt;=EOMONTH(AC$12,0),$I16&gt;=AC$12),"ALL","PD+UX"),IF(AND($H16&lt;&gt;"",$H16&lt;=EOMONTH(AC$12,0),$I16&gt;=AC$12),"PD+DEV","PD")),IF(AND(INDEX('Roadmap Calc (Don’t Touch)'!$AA$2:$AX$151,$AI16,COLUMN()-COLUMN($J$16)+1)&gt;0,OR($D16="03. UX Discovery",$D16="04. UX Design")),IF(AND($H16&lt;&gt;"",$H16&lt;=EOMONTH(AC$12,0),$I16&gt;=AC$12),"UX+DEV","UX"),IF(AND($H16&lt;&gt;"",$H16&lt;=EOMONTH(AC$12,0),$I16&gt;=AC$12),"DEV",""))))</f>
      </c>
      <c r="AD16" s="158" t="str">
        <f>IF($AI16="","",IF(AND($AN16&lt;&gt;"",$AN16&lt;=EOMONTH(AD$12,0),$AO16&gt;=AD$12),IF(AND(INDEX('Roadmap Calc (Don’t Touch)'!$AA$2:$AX$151,$AI16,COLUMN()-COLUMN($J$16)+1)&gt;0,OR($D16="03. UX Discovery",$D16="04. UX Design")),IF(AND($H16&lt;&gt;"",$H16&lt;=EOMONTH(AD$12,0),$I16&gt;=AD$12),"ALL","PD+UX"),IF(AND($H16&lt;&gt;"",$H16&lt;=EOMONTH(AD$12,0),$I16&gt;=AD$12),"PD+DEV","PD")),IF(AND(INDEX('Roadmap Calc (Don’t Touch)'!$AA$2:$AX$151,$AI16,COLUMN()-COLUMN($J$16)+1)&gt;0,OR($D16="03. UX Discovery",$D16="04. UX Design")),IF(AND($H16&lt;&gt;"",$H16&lt;=EOMONTH(AD$12,0),$I16&gt;=AD$12),"UX+DEV","UX"),IF(AND($H16&lt;&gt;"",$H16&lt;=EOMONTH(AD$12,0),$I16&gt;=AD$12),"DEV",""))))</f>
      </c>
      <c r="AE16" s="158" t="str">
        <f>IF($AI16="","",IF(AND($AN16&lt;&gt;"",$AN16&lt;=EOMONTH(AE$12,0),$AO16&gt;=AE$12),IF(AND(INDEX('Roadmap Calc (Don’t Touch)'!$AA$2:$AX$151,$AI16,COLUMN()-COLUMN($J$16)+1)&gt;0,OR($D16="03. UX Discovery",$D16="04. UX Design")),IF(AND($H16&lt;&gt;"",$H16&lt;=EOMONTH(AE$12,0),$I16&gt;=AE$12),"ALL","PD+UX"),IF(AND($H16&lt;&gt;"",$H16&lt;=EOMONTH(AE$12,0),$I16&gt;=AE$12),"PD+DEV","PD")),IF(AND(INDEX('Roadmap Calc (Don’t Touch)'!$AA$2:$AX$151,$AI16,COLUMN()-COLUMN($J$16)+1)&gt;0,OR($D16="03. UX Discovery",$D16="04. UX Design")),IF(AND($H16&lt;&gt;"",$H16&lt;=EOMONTH(AE$12,0),$I16&gt;=AE$12),"UX+DEV","UX"),IF(AND($H16&lt;&gt;"",$H16&lt;=EOMONTH(AE$12,0),$I16&gt;=AE$12),"DEV",""))))</f>
      </c>
      <c r="AF16" s="158" t="str">
        <f>IF($AI16="","",IF(AND($AN16&lt;&gt;"",$AN16&lt;=EOMONTH(AF$12,0),$AO16&gt;=AF$12),IF(AND(INDEX('Roadmap Calc (Don’t Touch)'!$AA$2:$AX$151,$AI16,COLUMN()-COLUMN($J$16)+1)&gt;0,OR($D16="03. UX Discovery",$D16="04. UX Design")),IF(AND($H16&lt;&gt;"",$H16&lt;=EOMONTH(AF$12,0),$I16&gt;=AF$12),"ALL","PD+UX"),IF(AND($H16&lt;&gt;"",$H16&lt;=EOMONTH(AF$12,0),$I16&gt;=AF$12),"PD+DEV","PD")),IF(AND(INDEX('Roadmap Calc (Don’t Touch)'!$AA$2:$AX$151,$AI16,COLUMN()-COLUMN($J$16)+1)&gt;0,OR($D16="03. UX Discovery",$D16="04. UX Design")),IF(AND($H16&lt;&gt;"",$H16&lt;=EOMONTH(AF$12,0),$I16&gt;=AF$12),"UX+DEV","UX"),IF(AND($H16&lt;&gt;"",$H16&lt;=EOMONTH(AF$12,0),$I16&gt;=AF$12),"DEV",""))))</f>
      </c>
      <c r="AG16" s="158" t="str">
        <f>IF($AI16="","",IF(AND($AN16&lt;&gt;"",$AN16&lt;=EOMONTH(AG$12,0),$AO16&gt;=AG$12),IF(AND(INDEX('Roadmap Calc (Don’t Touch)'!$AA$2:$AX$151,$AI16,COLUMN()-COLUMN($J$16)+1)&gt;0,OR($D16="03. UX Discovery",$D16="04. UX Design")),IF(AND($H16&lt;&gt;"",$H16&lt;=EOMONTH(AG$12,0),$I16&gt;=AG$12),"ALL","PD+UX"),IF(AND($H16&lt;&gt;"",$H16&lt;=EOMONTH(AG$12,0),$I16&gt;=AG$12),"PD+DEV","PD")),IF(AND(INDEX('Roadmap Calc (Don’t Touch)'!$AA$2:$AX$151,$AI16,COLUMN()-COLUMN($J$16)+1)&gt;0,OR($D16="03. UX Discovery",$D16="04. UX Design")),IF(AND($H16&lt;&gt;"",$H16&lt;=EOMONTH(AG$12,0),$I16&gt;=AG$12),"UX+DEV","UX"),IF(AND($H16&lt;&gt;"",$H16&lt;=EOMONTH(AG$12,0),$I16&gt;=AG$12),"DEV",""))))</f>
      </c>
      <c r="AH16" s="145" t="str">
        <f>IF($AI16="","",INDEX('Roadmap Calc (Don’t Touch)'!$D$2:$D$151,$AI16))</f>
        <v>Increase Trade In Awareness</v>
      </c>
      <c r="AI16" s="145">
        <f>IFERROR(MATCH(1,'Roadmap Calc (Don’t Touch)'!$O$2:$O$151,0),"")</f>
        <v>7</v>
      </c>
      <c r="AJ16" s="145"/>
      <c r="AK16" s="147" t="str">
        <f>IF(COUNTA(Control!E14)=0,"",Control!E14)</f>
        <v>Increase Trust &amp; Condition Transparency</v>
      </c>
      <c r="AL16" s="147" t="str">
        <f>IF(COUNTA(Control!B14)=0,"",Control!B14)</f>
        <v>08. Ready for Dev</v>
      </c>
      <c r="AM16" s="145"/>
      <c r="AN16">
        <f>IF($AI16="","",IF(ISNUMBER(INDEX('Roadmap Calc (Don’t Touch)'!$BB$2:$BB$151,$AI16)),INDEX('Roadmap Calc (Don’t Touch)'!$BB$2:$BB$151,$AI16),""))</f>
      </c>
      <c r="AO16">
        <f>IF($AI16="","",IF(ISNUMBER(INDEX('Roadmap Calc (Don’t Touch)'!$BC$2:$BC$151,$AI16)),INDEX('Roadmap Calc (Don’t Touch)'!$BC$2:$BC$151,$AI16),""))</f>
      </c>
    </row>
    <row r="17" spans="1:41" ht="20" customHeight="1" x14ac:dyDescent="0.25">
      <c r="A17" s="198" t="str">
        <f>IF($AI17="","",IF($AH17=$AH16,"",IF(INDEX('Roadmap Calc (Don’t Touch)'!$U$2:$U$151,$AI17)=0,$AH17,HYPERLINK("#'Control (Don’t Touch)'!E"&amp;INDEX('Roadmap Calc (Don’t Touch)'!$U$2:$U$151,$AI17),$AH17))))</f>
        <v/>
      </c>
      <c r="B17" s="159" t="str">
        <f>IF($AI17="","",IF(INDEX('Roadmap Calc (Don’t Touch)'!$K$2:$K$151,$AI17)="",INDEX('Roadmap Calc (Don’t Touch)'!$B$2:$B$151,$AI17),HYPERLINK("https://jira.bnh.com/browse/"&amp;INDEX('Roadmap Calc (Don’t Touch)'!$K$2:$K$151,$AI17),INDEX('Roadmap Calc (Don’t Touch)'!$B$2:$B$151,$AI17))))</f>
        <v>Sell Used Mega Menu</v>
      </c>
      <c r="C17" s="159" t="str">
        <f>IF($AI17="","",IF(INDEX('Roadmap Calc (Don’t Touch)'!$E$2:$E$151,$AI17)="","",HYPERLINK("https://jira.bnh.com/browse/"&amp;INDEX('Roadmap Calc (Don’t Touch)'!$E$2:$E$151,$AI17),INDEX('Roadmap Calc (Don’t Touch)'!$E$2:$E$151,$AI17))))</f>
        <v>BHP-7430</v>
      </c>
      <c r="D17" s="161" t="str">
        <f>IF($AI17="","",INDEX('Roadmap Calc (Don’t Touch)'!$F$2:$F$151,$AI17))</f>
        <v>01. Prod Discovery</v>
      </c>
      <c r="E17" s="155">
        <f>IF($AI17="","",IF(ISNUMBER(INDEX('Roadmap Calc (Don’t Touch)'!$G$2:$G$151,$AI17)),INDEX('Roadmap Calc (Don’t Touch)'!$G$2:$G$151,$AI17),""))</f>
        <v>46286</v>
      </c>
      <c r="F17" s="155">
        <f>IF($AI17="","",IF(ISNUMBER(INDEX('Roadmap Calc (Don’t Touch)'!$H$2:$H$151,$AI17)),INDEX('Roadmap Calc (Don’t Touch)'!$H$2:$H$151,$AI17),""))</f>
        <v>46293</v>
      </c>
      <c r="G17" s="156">
        <f>IF($AI17="","",INDEX('Roadmap Calc (Don’t Touch)'!$T$2:$T$151,$AI17))</f>
        <v>2</v>
      </c>
      <c r="H17" s="157" t="str">
        <f ca="1">IF($AI17="","",IF(ISNUMBER(INDEX('Roadmap Calc (Don’t Touch)'!$I$2:$I$151,$AI17)),INDEX('Roadmap Calc (Don’t Touch)'!$I$2:$I$151,$AI17),""))</f>
        <v/>
      </c>
      <c r="I17" s="157" t="str">
        <f ca="1">IF($AI17="","",IF(ISNUMBER(INDEX('Roadmap Calc (Don’t Touch)'!$J$2:$J$151,$AI17)),INDEX('Roadmap Calc (Don’t Touch)'!$J$2:$J$151,$AI17),""))</f>
        <v/>
      </c>
      <c r="J17" s="158" t="str">
        <f>IF($AI17="","",IF(AND($AN17&lt;&gt;"",$AN17&lt;=EOMONTH(J$12,0),$AO17&gt;=J$12),IF(AND(INDEX('Roadmap Calc (Don’t Touch)'!$AA$2:$AX$151,$AI17,COLUMN()-COLUMN($J$16)+1)&gt;0,OR($D17="03. UX Discovery",$D17="04. UX Design")),IF(AND($H17&lt;&gt;"",$H17&lt;=EOMONTH(J$12,0),$I17&gt;=J$12),"ALL","PD+UX"),IF(AND($H17&lt;&gt;"",$H17&lt;=EOMONTH(J$12,0),$I17&gt;=J$12),"PD+DEV","PD")),IF(AND(INDEX('Roadmap Calc (Don’t Touch)'!$AA$2:$AX$151,$AI17,COLUMN()-COLUMN($J$16)+1)&gt;0,OR($D17="03. UX Discovery",$D17="04. UX Design")),IF(AND($H17&lt;&gt;"",$H17&lt;=EOMONTH(J$12,0),$I17&gt;=J$12),"UX+DEV","UX"),IF(AND($H17&lt;&gt;"",$H17&lt;=EOMONTH(J$12,0),$I17&gt;=J$12),"DEV",""))))</f>
      </c>
      <c r="K17" s="158" t="str">
        <f>IF($AI17="","",IF(AND($AN17&lt;&gt;"",$AN17&lt;=EOMONTH(K$12,0),$AO17&gt;=K$12),IF(AND(INDEX('Roadmap Calc (Don’t Touch)'!$AA$2:$AX$151,$AI17,COLUMN()-COLUMN($J$16)+1)&gt;0,OR($D17="03. UX Discovery",$D17="04. UX Design")),IF(AND($H17&lt;&gt;"",$H17&lt;=EOMONTH(K$12,0),$I17&gt;=K$12),"ALL","PD+UX"),IF(AND($H17&lt;&gt;"",$H17&lt;=EOMONTH(K$12,0),$I17&gt;=K$12),"PD+DEV","PD")),IF(AND(INDEX('Roadmap Calc (Don’t Touch)'!$AA$2:$AX$151,$AI17,COLUMN()-COLUMN($J$16)+1)&gt;0,OR($D17="03. UX Discovery",$D17="04. UX Design")),IF(AND($H17&lt;&gt;"",$H17&lt;=EOMONTH(K$12,0),$I17&gt;=K$12),"UX+DEV","UX"),IF(AND($H17&lt;&gt;"",$H17&lt;=EOMONTH(K$12,0),$I17&gt;=K$12),"DEV",""))))</f>
      </c>
      <c r="L17" s="158" t="str">
        <f>IF($AI17="","",IF(AND($AN17&lt;&gt;"",$AN17&lt;=EOMONTH(L$12,0),$AO17&gt;=L$12),IF(AND(INDEX('Roadmap Calc (Don’t Touch)'!$AA$2:$AX$151,$AI17,COLUMN()-COLUMN($J$16)+1)&gt;0,OR($D17="03. UX Discovery",$D17="04. UX Design")),IF(AND($H17&lt;&gt;"",$H17&lt;=EOMONTH(L$12,0),$I17&gt;=L$12),"ALL","PD+UX"),IF(AND($H17&lt;&gt;"",$H17&lt;=EOMONTH(L$12,0),$I17&gt;=L$12),"PD+DEV","PD")),IF(AND(INDEX('Roadmap Calc (Don’t Touch)'!$AA$2:$AX$151,$AI17,COLUMN()-COLUMN($J$16)+1)&gt;0,OR($D17="03. UX Discovery",$D17="04. UX Design")),IF(AND($H17&lt;&gt;"",$H17&lt;=EOMONTH(L$12,0),$I17&gt;=L$12),"UX+DEV","UX"),IF(AND($H17&lt;&gt;"",$H17&lt;=EOMONTH(L$12,0),$I17&gt;=L$12),"DEV",""))))</f>
      </c>
      <c r="M17" s="158" t="str">
        <f>IF($AI17="","",IF(AND($AN17&lt;&gt;"",$AN17&lt;=EOMONTH(M$12,0),$AO17&gt;=M$12),IF(AND(INDEX('Roadmap Calc (Don’t Touch)'!$AA$2:$AX$151,$AI17,COLUMN()-COLUMN($J$16)+1)&gt;0,OR($D17="03. UX Discovery",$D17="04. UX Design")),IF(AND($H17&lt;&gt;"",$H17&lt;=EOMONTH(M$12,0),$I17&gt;=M$12),"ALL","PD+UX"),IF(AND($H17&lt;&gt;"",$H17&lt;=EOMONTH(M$12,0),$I17&gt;=M$12),"PD+DEV","PD")),IF(AND(INDEX('Roadmap Calc (Don’t Touch)'!$AA$2:$AX$151,$AI17,COLUMN()-COLUMN($J$16)+1)&gt;0,OR($D17="03. UX Discovery",$D17="04. UX Design")),IF(AND($H17&lt;&gt;"",$H17&lt;=EOMONTH(M$12,0),$I17&gt;=M$12),"UX+DEV","UX"),IF(AND($H17&lt;&gt;"",$H17&lt;=EOMONTH(M$12,0),$I17&gt;=M$12),"DEV",""))))</f>
      </c>
      <c r="N17" s="158" t="str">
        <f>IF($AI17="","",IF(AND($AN17&lt;&gt;"",$AN17&lt;=EOMONTH(N$12,0),$AO17&gt;=N$12),IF(AND(INDEX('Roadmap Calc (Don’t Touch)'!$AA$2:$AX$151,$AI17,COLUMN()-COLUMN($J$16)+1)&gt;0,OR($D17="03. UX Discovery",$D17="04. UX Design")),IF(AND($H17&lt;&gt;"",$H17&lt;=EOMONTH(N$12,0),$I17&gt;=N$12),"ALL","PD+UX"),IF(AND($H17&lt;&gt;"",$H17&lt;=EOMONTH(N$12,0),$I17&gt;=N$12),"PD+DEV","PD")),IF(AND(INDEX('Roadmap Calc (Don’t Touch)'!$AA$2:$AX$151,$AI17,COLUMN()-COLUMN($J$16)+1)&gt;0,OR($D17="03. UX Discovery",$D17="04. UX Design")),IF(AND($H17&lt;&gt;"",$H17&lt;=EOMONTH(N$12,0),$I17&gt;=N$12),"UX+DEV","UX"),IF(AND($H17&lt;&gt;"",$H17&lt;=EOMONTH(N$12,0),$I17&gt;=N$12),"DEV",""))))</f>
      </c>
      <c r="O17" s="158" t="str">
        <f>IF($AI17="","",IF(AND($AN17&lt;&gt;"",$AN17&lt;=EOMONTH(O$12,0),$AO17&gt;=O$12),IF(AND(INDEX('Roadmap Calc (Don’t Touch)'!$AA$2:$AX$151,$AI17,COLUMN()-COLUMN($J$16)+1)&gt;0,OR($D17="03. UX Discovery",$D17="04. UX Design")),IF(AND($H17&lt;&gt;"",$H17&lt;=EOMONTH(O$12,0),$I17&gt;=O$12),"ALL","PD+UX"),IF(AND($H17&lt;&gt;"",$H17&lt;=EOMONTH(O$12,0),$I17&gt;=O$12),"PD+DEV","PD")),IF(AND(INDEX('Roadmap Calc (Don’t Touch)'!$AA$2:$AX$151,$AI17,COLUMN()-COLUMN($J$16)+1)&gt;0,OR($D17="03. UX Discovery",$D17="04. UX Design")),IF(AND($H17&lt;&gt;"",$H17&lt;=EOMONTH(O$12,0),$I17&gt;=O$12),"UX+DEV","UX"),IF(AND($H17&lt;&gt;"",$H17&lt;=EOMONTH(O$12,0),$I17&gt;=O$12),"DEV",""))))</f>
      </c>
      <c r="P17" s="158" t="str">
        <f>IF($AI17="","",IF(AND($AN17&lt;&gt;"",$AN17&lt;=EOMONTH(P$12,0),$AO17&gt;=P$12),IF(AND(INDEX('Roadmap Calc (Don’t Touch)'!$AA$2:$AX$151,$AI17,COLUMN()-COLUMN($J$16)+1)&gt;0,OR($D17="03. UX Discovery",$D17="04. UX Design")),IF(AND($H17&lt;&gt;"",$H17&lt;=EOMONTH(P$12,0),$I17&gt;=P$12),"ALL","PD+UX"),IF(AND($H17&lt;&gt;"",$H17&lt;=EOMONTH(P$12,0),$I17&gt;=P$12),"PD+DEV","PD")),IF(AND(INDEX('Roadmap Calc (Don’t Touch)'!$AA$2:$AX$151,$AI17,COLUMN()-COLUMN($J$16)+1)&gt;0,OR($D17="03. UX Discovery",$D17="04. UX Design")),IF(AND($H17&lt;&gt;"",$H17&lt;=EOMONTH(P$12,0),$I17&gt;=P$12),"UX+DEV","UX"),IF(AND($H17&lt;&gt;"",$H17&lt;=EOMONTH(P$12,0),$I17&gt;=P$12),"DEV",""))))</f>
      </c>
      <c r="Q17" s="158" t="str">
        <f>IF($AI17="","",IF(AND($AN17&lt;&gt;"",$AN17&lt;=EOMONTH(Q$12,0),$AO17&gt;=Q$12),IF(AND(INDEX('Roadmap Calc (Don’t Touch)'!$AA$2:$AX$151,$AI17,COLUMN()-COLUMN($J$16)+1)&gt;0,OR($D17="03. UX Discovery",$D17="04. UX Design")),IF(AND($H17&lt;&gt;"",$H17&lt;=EOMONTH(Q$12,0),$I17&gt;=Q$12),"ALL","PD+UX"),IF(AND($H17&lt;&gt;"",$H17&lt;=EOMONTH(Q$12,0),$I17&gt;=Q$12),"PD+DEV","PD")),IF(AND(INDEX('Roadmap Calc (Don’t Touch)'!$AA$2:$AX$151,$AI17,COLUMN()-COLUMN($J$16)+1)&gt;0,OR($D17="03. UX Discovery",$D17="04. UX Design")),IF(AND($H17&lt;&gt;"",$H17&lt;=EOMONTH(Q$12,0),$I17&gt;=Q$12),"UX+DEV","UX"),IF(AND($H17&lt;&gt;"",$H17&lt;=EOMONTH(Q$12,0),$I17&gt;=Q$12),"DEV",""))))</f>
      </c>
      <c r="R17" s="158" t="str">
        <f>IF($AI17="","",IF(AND($AN17&lt;&gt;"",$AN17&lt;=EOMONTH(R$12,0),$AO17&gt;=R$12),IF(AND(INDEX('Roadmap Calc (Don’t Touch)'!$AA$2:$AX$151,$AI17,COLUMN()-COLUMN($J$16)+1)&gt;0,OR($D17="03. UX Discovery",$D17="04. UX Design")),IF(AND($H17&lt;&gt;"",$H17&lt;=EOMONTH(R$12,0),$I17&gt;=R$12),"ALL","PD+UX"),IF(AND($H17&lt;&gt;"",$H17&lt;=EOMONTH(R$12,0),$I17&gt;=R$12),"PD+DEV","PD")),IF(AND(INDEX('Roadmap Calc (Don’t Touch)'!$AA$2:$AX$151,$AI17,COLUMN()-COLUMN($J$16)+1)&gt;0,OR($D17="03. UX Discovery",$D17="04. UX Design")),IF(AND($H17&lt;&gt;"",$H17&lt;=EOMONTH(R$12,0),$I17&gt;=R$12),"UX+DEV","UX"),IF(AND($H17&lt;&gt;"",$H17&lt;=EOMONTH(R$12,0),$I17&gt;=R$12),"DEV",""))))</f>
      </c>
      <c r="S17" s="158" t="str">
        <f>IF($AI17="","",IF(AND($AN17&lt;&gt;"",$AN17&lt;=EOMONTH(S$12,0),$AO17&gt;=S$12),IF(AND(INDEX('Roadmap Calc (Don’t Touch)'!$AA$2:$AX$151,$AI17,COLUMN()-COLUMN($J$16)+1)&gt;0,OR($D17="03. UX Discovery",$D17="04. UX Design")),IF(AND($H17&lt;&gt;"",$H17&lt;=EOMONTH(S$12,0),$I17&gt;=S$12),"ALL","PD+UX"),IF(AND($H17&lt;&gt;"",$H17&lt;=EOMONTH(S$12,0),$I17&gt;=S$12),"PD+DEV","PD")),IF(AND(INDEX('Roadmap Calc (Don’t Touch)'!$AA$2:$AX$151,$AI17,COLUMN()-COLUMN($J$16)+1)&gt;0,OR($D17="03. UX Discovery",$D17="04. UX Design")),IF(AND($H17&lt;&gt;"",$H17&lt;=EOMONTH(S$12,0),$I17&gt;=S$12),"UX+DEV","UX"),IF(AND($H17&lt;&gt;"",$H17&lt;=EOMONTH(S$12,0),$I17&gt;=S$12),"DEV",""))))</f>
      </c>
      <c r="T17" s="158" t="str">
        <f>IF($AI17="","",IF(AND($AN17&lt;&gt;"",$AN17&lt;=EOMONTH(T$12,0),$AO17&gt;=T$12),IF(AND(INDEX('Roadmap Calc (Don’t Touch)'!$AA$2:$AX$151,$AI17,COLUMN()-COLUMN($J$16)+1)&gt;0,OR($D17="03. UX Discovery",$D17="04. UX Design")),IF(AND($H17&lt;&gt;"",$H17&lt;=EOMONTH(T$12,0),$I17&gt;=T$12),"ALL","PD+UX"),IF(AND($H17&lt;&gt;"",$H17&lt;=EOMONTH(T$12,0),$I17&gt;=T$12),"PD+DEV","PD")),IF(AND(INDEX('Roadmap Calc (Don’t Touch)'!$AA$2:$AX$151,$AI17,COLUMN()-COLUMN($J$16)+1)&gt;0,OR($D17="03. UX Discovery",$D17="04. UX Design")),IF(AND($H17&lt;&gt;"",$H17&lt;=EOMONTH(T$12,0),$I17&gt;=T$12),"UX+DEV","UX"),IF(AND($H17&lt;&gt;"",$H17&lt;=EOMONTH(T$12,0),$I17&gt;=T$12),"DEV",""))))</f>
      </c>
      <c r="U17" s="158" t="str">
        <f>IF($AI17="","",IF(AND($AN17&lt;&gt;"",$AN17&lt;=EOMONTH(U$12,0),$AO17&gt;=U$12),IF(AND(INDEX('Roadmap Calc (Don’t Touch)'!$AA$2:$AX$151,$AI17,COLUMN()-COLUMN($J$16)+1)&gt;0,OR($D17="03. UX Discovery",$D17="04. UX Design")),IF(AND($H17&lt;&gt;"",$H17&lt;=EOMONTH(U$12,0),$I17&gt;=U$12),"ALL","PD+UX"),IF(AND($H17&lt;&gt;"",$H17&lt;=EOMONTH(U$12,0),$I17&gt;=U$12),"PD+DEV","PD")),IF(AND(INDEX('Roadmap Calc (Don’t Touch)'!$AA$2:$AX$151,$AI17,COLUMN()-COLUMN($J$16)+1)&gt;0,OR($D17="03. UX Discovery",$D17="04. UX Design")),IF(AND($H17&lt;&gt;"",$H17&lt;=EOMONTH(U$12,0),$I17&gt;=U$12),"UX+DEV","UX"),IF(AND($H17&lt;&gt;"",$H17&lt;=EOMONTH(U$12,0),$I17&gt;=U$12),"DEV",""))))</f>
      </c>
      <c r="V17" s="158" t="str">
        <f>IF($AI17="","",IF(AND($AN17&lt;&gt;"",$AN17&lt;=EOMONTH(V$12,0),$AO17&gt;=V$12),IF(AND(INDEX('Roadmap Calc (Don’t Touch)'!$AA$2:$AX$151,$AI17,COLUMN()-COLUMN($J$16)+1)&gt;0,OR($D17="03. UX Discovery",$D17="04. UX Design")),IF(AND($H17&lt;&gt;"",$H17&lt;=EOMONTH(V$12,0),$I17&gt;=V$12),"ALL","PD+UX"),IF(AND($H17&lt;&gt;"",$H17&lt;=EOMONTH(V$12,0),$I17&gt;=V$12),"PD+DEV","PD")),IF(AND(INDEX('Roadmap Calc (Don’t Touch)'!$AA$2:$AX$151,$AI17,COLUMN()-COLUMN($J$16)+1)&gt;0,OR($D17="03. UX Discovery",$D17="04. UX Design")),IF(AND($H17&lt;&gt;"",$H17&lt;=EOMONTH(V$12,0),$I17&gt;=V$12),"UX+DEV","UX"),IF(AND($H17&lt;&gt;"",$H17&lt;=EOMONTH(V$12,0),$I17&gt;=V$12),"DEV",""))))</f>
      </c>
      <c r="W17" s="158" t="str">
        <f>IF($AI17="","",IF(AND($AN17&lt;&gt;"",$AN17&lt;=EOMONTH(W$12,0),$AO17&gt;=W$12),IF(AND(INDEX('Roadmap Calc (Don’t Touch)'!$AA$2:$AX$151,$AI17,COLUMN()-COLUMN($J$16)+1)&gt;0,OR($D17="03. UX Discovery",$D17="04. UX Design")),IF(AND($H17&lt;&gt;"",$H17&lt;=EOMONTH(W$12,0),$I17&gt;=W$12),"ALL","PD+UX"),IF(AND($H17&lt;&gt;"",$H17&lt;=EOMONTH(W$12,0),$I17&gt;=W$12),"PD+DEV","PD")),IF(AND(INDEX('Roadmap Calc (Don’t Touch)'!$AA$2:$AX$151,$AI17,COLUMN()-COLUMN($J$16)+1)&gt;0,OR($D17="03. UX Discovery",$D17="04. UX Design")),IF(AND($H17&lt;&gt;"",$H17&lt;=EOMONTH(W$12,0),$I17&gt;=W$12),"UX+DEV","UX"),IF(AND($H17&lt;&gt;"",$H17&lt;=EOMONTH(W$12,0),$I17&gt;=W$12),"DEV",""))))</f>
      </c>
      <c r="X17" s="158" t="str">
        <f>IF($AI17="","",IF(AND($AN17&lt;&gt;"",$AN17&lt;=EOMONTH(X$12,0),$AO17&gt;=X$12),IF(AND(INDEX('Roadmap Calc (Don’t Touch)'!$AA$2:$AX$151,$AI17,COLUMN()-COLUMN($J$16)+1)&gt;0,OR($D17="03. UX Discovery",$D17="04. UX Design")),IF(AND($H17&lt;&gt;"",$H17&lt;=EOMONTH(X$12,0),$I17&gt;=X$12),"ALL","PD+UX"),IF(AND($H17&lt;&gt;"",$H17&lt;=EOMONTH(X$12,0),$I17&gt;=X$12),"PD+DEV","PD")),IF(AND(INDEX('Roadmap Calc (Don’t Touch)'!$AA$2:$AX$151,$AI17,COLUMN()-COLUMN($J$16)+1)&gt;0,OR($D17="03. UX Discovery",$D17="04. UX Design")),IF(AND($H17&lt;&gt;"",$H17&lt;=EOMONTH(X$12,0),$I17&gt;=X$12),"UX+DEV","UX"),IF(AND($H17&lt;&gt;"",$H17&lt;=EOMONTH(X$12,0),$I17&gt;=X$12),"DEV",""))))</f>
      </c>
      <c r="Y17" s="158" t="str">
        <f>IF($AI17="","",IF(AND($AN17&lt;&gt;"",$AN17&lt;=EOMONTH(Y$12,0),$AO17&gt;=Y$12),IF(AND(INDEX('Roadmap Calc (Don’t Touch)'!$AA$2:$AX$151,$AI17,COLUMN()-COLUMN($J$16)+1)&gt;0,OR($D17="03. UX Discovery",$D17="04. UX Design")),IF(AND($H17&lt;&gt;"",$H17&lt;=EOMONTH(Y$12,0),$I17&gt;=Y$12),"ALL","PD+UX"),IF(AND($H17&lt;&gt;"",$H17&lt;=EOMONTH(Y$12,0),$I17&gt;=Y$12),"PD+DEV","PD")),IF(AND(INDEX('Roadmap Calc (Don’t Touch)'!$AA$2:$AX$151,$AI17,COLUMN()-COLUMN($J$16)+1)&gt;0,OR($D17="03. UX Discovery",$D17="04. UX Design")),IF(AND($H17&lt;&gt;"",$H17&lt;=EOMONTH(Y$12,0),$I17&gt;=Y$12),"UX+DEV","UX"),IF(AND($H17&lt;&gt;"",$H17&lt;=EOMONTH(Y$12,0),$I17&gt;=Y$12),"DEV",""))))</f>
      </c>
      <c r="Z17" s="158" t="str">
        <f>IF($AI17="","",IF(AND($AN17&lt;&gt;"",$AN17&lt;=EOMONTH(Z$12,0),$AO17&gt;=Z$12),IF(AND(INDEX('Roadmap Calc (Don’t Touch)'!$AA$2:$AX$151,$AI17,COLUMN()-COLUMN($J$16)+1)&gt;0,OR($D17="03. UX Discovery",$D17="04. UX Design")),IF(AND($H17&lt;&gt;"",$H17&lt;=EOMONTH(Z$12,0),$I17&gt;=Z$12),"ALL","PD+UX"),IF(AND($H17&lt;&gt;"",$H17&lt;=EOMONTH(Z$12,0),$I17&gt;=Z$12),"PD+DEV","PD")),IF(AND(INDEX('Roadmap Calc (Don’t Touch)'!$AA$2:$AX$151,$AI17,COLUMN()-COLUMN($J$16)+1)&gt;0,OR($D17="03. UX Discovery",$D17="04. UX Design")),IF(AND($H17&lt;&gt;"",$H17&lt;=EOMONTH(Z$12,0),$I17&gt;=Z$12),"UX+DEV","UX"),IF(AND($H17&lt;&gt;"",$H17&lt;=EOMONTH(Z$12,0),$I17&gt;=Z$12),"DEV",""))))</f>
      </c>
      <c r="AA17" s="158" t="str">
        <f>IF($AI17="","",IF(AND($AN17&lt;&gt;"",$AN17&lt;=EOMONTH(AA$12,0),$AO17&gt;=AA$12),IF(AND(INDEX('Roadmap Calc (Don’t Touch)'!$AA$2:$AX$151,$AI17,COLUMN()-COLUMN($J$16)+1)&gt;0,OR($D17="03. UX Discovery",$D17="04. UX Design")),IF(AND($H17&lt;&gt;"",$H17&lt;=EOMONTH(AA$12,0),$I17&gt;=AA$12),"ALL","PD+UX"),IF(AND($H17&lt;&gt;"",$H17&lt;=EOMONTH(AA$12,0),$I17&gt;=AA$12),"PD+DEV","PD")),IF(AND(INDEX('Roadmap Calc (Don’t Touch)'!$AA$2:$AX$151,$AI17,COLUMN()-COLUMN($J$16)+1)&gt;0,OR($D17="03. UX Discovery",$D17="04. UX Design")),IF(AND($H17&lt;&gt;"",$H17&lt;=EOMONTH(AA$12,0),$I17&gt;=AA$12),"UX+DEV","UX"),IF(AND($H17&lt;&gt;"",$H17&lt;=EOMONTH(AA$12,0),$I17&gt;=AA$12),"DEV",""))))</f>
      </c>
      <c r="AB17" s="158" t="str">
        <f>IF($AI17="","",IF(AND($AN17&lt;&gt;"",$AN17&lt;=EOMONTH(AB$12,0),$AO17&gt;=AB$12),IF(AND(INDEX('Roadmap Calc (Don’t Touch)'!$AA$2:$AX$151,$AI17,COLUMN()-COLUMN($J$16)+1)&gt;0,OR($D17="03. UX Discovery",$D17="04. UX Design")),IF(AND($H17&lt;&gt;"",$H17&lt;=EOMONTH(AB$12,0),$I17&gt;=AB$12),"ALL","PD+UX"),IF(AND($H17&lt;&gt;"",$H17&lt;=EOMONTH(AB$12,0),$I17&gt;=AB$12),"PD+DEV","PD")),IF(AND(INDEX('Roadmap Calc (Don’t Touch)'!$AA$2:$AX$151,$AI17,COLUMN()-COLUMN($J$16)+1)&gt;0,OR($D17="03. UX Discovery",$D17="04. UX Design")),IF(AND($H17&lt;&gt;"",$H17&lt;=EOMONTH(AB$12,0),$I17&gt;=AB$12),"UX+DEV","UX"),IF(AND($H17&lt;&gt;"",$H17&lt;=EOMONTH(AB$12,0),$I17&gt;=AB$12),"DEV",""))))</f>
      </c>
      <c r="AC17" s="158" t="str">
        <f>IF($AI17="","",IF(AND($AN17&lt;&gt;"",$AN17&lt;=EOMONTH(AC$12,0),$AO17&gt;=AC$12),IF(AND(INDEX('Roadmap Calc (Don’t Touch)'!$AA$2:$AX$151,$AI17,COLUMN()-COLUMN($J$16)+1)&gt;0,OR($D17="03. UX Discovery",$D17="04. UX Design")),IF(AND($H17&lt;&gt;"",$H17&lt;=EOMONTH(AC$12,0),$I17&gt;=AC$12),"ALL","PD+UX"),IF(AND($H17&lt;&gt;"",$H17&lt;=EOMONTH(AC$12,0),$I17&gt;=AC$12),"PD+DEV","PD")),IF(AND(INDEX('Roadmap Calc (Don’t Touch)'!$AA$2:$AX$151,$AI17,COLUMN()-COLUMN($J$16)+1)&gt;0,OR($D17="03. UX Discovery",$D17="04. UX Design")),IF(AND($H17&lt;&gt;"",$H17&lt;=EOMONTH(AC$12,0),$I17&gt;=AC$12),"UX+DEV","UX"),IF(AND($H17&lt;&gt;"",$H17&lt;=EOMONTH(AC$12,0),$I17&gt;=AC$12),"DEV",""))))</f>
      </c>
      <c r="AD17" s="158" t="str">
        <f>IF($AI17="","",IF(AND($AN17&lt;&gt;"",$AN17&lt;=EOMONTH(AD$12,0),$AO17&gt;=AD$12),IF(AND(INDEX('Roadmap Calc (Don’t Touch)'!$AA$2:$AX$151,$AI17,COLUMN()-COLUMN($J$16)+1)&gt;0,OR($D17="03. UX Discovery",$D17="04. UX Design")),IF(AND($H17&lt;&gt;"",$H17&lt;=EOMONTH(AD$12,0),$I17&gt;=AD$12),"ALL","PD+UX"),IF(AND($H17&lt;&gt;"",$H17&lt;=EOMONTH(AD$12,0),$I17&gt;=AD$12),"PD+DEV","PD")),IF(AND(INDEX('Roadmap Calc (Don’t Touch)'!$AA$2:$AX$151,$AI17,COLUMN()-COLUMN($J$16)+1)&gt;0,OR($D17="03. UX Discovery",$D17="04. UX Design")),IF(AND($H17&lt;&gt;"",$H17&lt;=EOMONTH(AD$12,0),$I17&gt;=AD$12),"UX+DEV","UX"),IF(AND($H17&lt;&gt;"",$H17&lt;=EOMONTH(AD$12,0),$I17&gt;=AD$12),"DEV",""))))</f>
      </c>
      <c r="AE17" s="158" t="str">
        <f>IF($AI17="","",IF(AND($AN17&lt;&gt;"",$AN17&lt;=EOMONTH(AE$12,0),$AO17&gt;=AE$12),IF(AND(INDEX('Roadmap Calc (Don’t Touch)'!$AA$2:$AX$151,$AI17,COLUMN()-COLUMN($J$16)+1)&gt;0,OR($D17="03. UX Discovery",$D17="04. UX Design")),IF(AND($H17&lt;&gt;"",$H17&lt;=EOMONTH(AE$12,0),$I17&gt;=AE$12),"ALL","PD+UX"),IF(AND($H17&lt;&gt;"",$H17&lt;=EOMONTH(AE$12,0),$I17&gt;=AE$12),"PD+DEV","PD")),IF(AND(INDEX('Roadmap Calc (Don’t Touch)'!$AA$2:$AX$151,$AI17,COLUMN()-COLUMN($J$16)+1)&gt;0,OR($D17="03. UX Discovery",$D17="04. UX Design")),IF(AND($H17&lt;&gt;"",$H17&lt;=EOMONTH(AE$12,0),$I17&gt;=AE$12),"UX+DEV","UX"),IF(AND($H17&lt;&gt;"",$H17&lt;=EOMONTH(AE$12,0),$I17&gt;=AE$12),"DEV",""))))</f>
      </c>
      <c r="AF17" s="158" t="str">
        <f>IF($AI17="","",IF(AND($AN17&lt;&gt;"",$AN17&lt;=EOMONTH(AF$12,0),$AO17&gt;=AF$12),IF(AND(INDEX('Roadmap Calc (Don’t Touch)'!$AA$2:$AX$151,$AI17,COLUMN()-COLUMN($J$16)+1)&gt;0,OR($D17="03. UX Discovery",$D17="04. UX Design")),IF(AND($H17&lt;&gt;"",$H17&lt;=EOMONTH(AF$12,0),$I17&gt;=AF$12),"ALL","PD+UX"),IF(AND($H17&lt;&gt;"",$H17&lt;=EOMONTH(AF$12,0),$I17&gt;=AF$12),"PD+DEV","PD")),IF(AND(INDEX('Roadmap Calc (Don’t Touch)'!$AA$2:$AX$151,$AI17,COLUMN()-COLUMN($J$16)+1)&gt;0,OR($D17="03. UX Discovery",$D17="04. UX Design")),IF(AND($H17&lt;&gt;"",$H17&lt;=EOMONTH(AF$12,0),$I17&gt;=AF$12),"UX+DEV","UX"),IF(AND($H17&lt;&gt;"",$H17&lt;=EOMONTH(AF$12,0),$I17&gt;=AF$12),"DEV",""))))</f>
      </c>
      <c r="AG17" s="158" t="str">
        <f>IF($AI17="","",IF(AND($AN17&lt;&gt;"",$AN17&lt;=EOMONTH(AG$12,0),$AO17&gt;=AG$12),IF(AND(INDEX('Roadmap Calc (Don’t Touch)'!$AA$2:$AX$151,$AI17,COLUMN()-COLUMN($J$16)+1)&gt;0,OR($D17="03. UX Discovery",$D17="04. UX Design")),IF(AND($H17&lt;&gt;"",$H17&lt;=EOMONTH(AG$12,0),$I17&gt;=AG$12),"ALL","PD+UX"),IF(AND($H17&lt;&gt;"",$H17&lt;=EOMONTH(AG$12,0),$I17&gt;=AG$12),"PD+DEV","PD")),IF(AND(INDEX('Roadmap Calc (Don’t Touch)'!$AA$2:$AX$151,$AI17,COLUMN()-COLUMN($J$16)+1)&gt;0,OR($D17="03. UX Discovery",$D17="04. UX Design")),IF(AND($H17&lt;&gt;"",$H17&lt;=EOMONTH(AG$12,0),$I17&gt;=AG$12),"UX+DEV","UX"),IF(AND($H17&lt;&gt;"",$H17&lt;=EOMONTH(AG$12,0),$I17&gt;=AG$12),"DEV",""))))</f>
      </c>
      <c r="AH17" s="145" t="str">
        <f>IF($AI17="","",INDEX('Roadmap Calc (Don’t Touch)'!$D$2:$D$151,$AI17))</f>
        <v>Increase Trade In Awareness</v>
      </c>
      <c r="AI17" s="145">
        <f>IFERROR(MATCH(2,'Roadmap Calc (Don’t Touch)'!$O$2:$O$151,0),"")</f>
        <v>8</v>
      </c>
      <c r="AJ17" s="145"/>
      <c r="AK17" s="147" t="str">
        <f>IF(COUNTA(Control!E15)=0,"",Control!E15)</f>
        <v>Improve Search &amp; Findability</v>
      </c>
      <c r="AL17" s="147" t="str">
        <f>IF(COUNTA(Control!B15)=0,"",Control!B15)</f>
        <v>09. In Dev</v>
      </c>
      <c r="AM17" s="145"/>
      <c r="AN17">
        <f>IF($AI17="","",IF(ISNUMBER(INDEX('Roadmap Calc (Don’t Touch)'!$BB$2:$BB$151,$AI17)),INDEX('Roadmap Calc (Don’t Touch)'!$BB$2:$BB$151,$AI17),""))</f>
      </c>
      <c r="AO17">
        <f>IF($AI17="","",IF(ISNUMBER(INDEX('Roadmap Calc (Don’t Touch)'!$BC$2:$BC$151,$AI17)),INDEX('Roadmap Calc (Don’t Touch)'!$BC$2:$BC$151,$AI17),""))</f>
      </c>
    </row>
    <row r="18" spans="1:41" ht="20" customHeight="1" x14ac:dyDescent="0.25">
      <c r="A18" s="198" t="str">
        <f>IF($AI18="","",IF($AH18=$AH17,"",IF(INDEX('Roadmap Calc (Don’t Touch)'!$U$2:$U$151,$AI18)=0,$AH18,HYPERLINK("#'Control (Don’t Touch)'!E"&amp;INDEX('Roadmap Calc (Don’t Touch)'!$U$2:$U$151,$AI18),$AH18))))</f>
        <v/>
      </c>
      <c r="B18" s="159" t="str">
        <f>IF($AI18="","",IF(INDEX('Roadmap Calc (Don’t Touch)'!$K$2:$K$151,$AI18)="",INDEX('Roadmap Calc (Don’t Touch)'!$B$2:$B$151,$AI18),HYPERLINK("https://jira.bnh.com/browse/"&amp;INDEX('Roadmap Calc (Don’t Touch)'!$K$2:$K$151,$AI18),INDEX('Roadmap Calc (Don’t Touch)'!$B$2:$B$151,$AI18))))</f>
        <v>Used Activity Notification</v>
      </c>
      <c r="C18" s="159" t="str">
        <f>IF($AI18="","",IF(INDEX('Roadmap Calc (Don’t Touch)'!$E$2:$E$151,$AI18)="","",HYPERLINK("https://jira.bnh.com/browse/"&amp;INDEX('Roadmap Calc (Don’t Touch)'!$E$2:$E$151,$AI18),INDEX('Roadmap Calc (Don’t Touch)'!$E$2:$E$151,$AI18))))</f>
        <v>BHP-7237</v>
      </c>
      <c r="D18" s="161" t="str">
        <f>IF($AI18="","",INDEX('Roadmap Calc (Don’t Touch)'!$F$2:$F$151,$AI18))</f>
        <v>02. UX Req</v>
      </c>
      <c r="E18" s="155">
        <f>IF($AI18="","",IF(ISNUMBER(INDEX('Roadmap Calc (Don’t Touch)'!$G$2:$G$151,$AI18)),INDEX('Roadmap Calc (Don’t Touch)'!$G$2:$G$151,$AI18),""))</f>
        <v>46279</v>
      </c>
      <c r="F18" s="155">
        <f>IF($AI18="","",IF(ISNUMBER(INDEX('Roadmap Calc (Don’t Touch)'!$H$2:$H$151,$AI18)),INDEX('Roadmap Calc (Don’t Touch)'!$H$2:$H$151,$AI18),""))</f>
        <v>46293</v>
      </c>
      <c r="G18" s="156">
        <f>IF($AI18="","",INDEX('Roadmap Calc (Don’t Touch)'!$T$2:$T$151,$AI18))</f>
        <v>3</v>
      </c>
      <c r="H18" s="157">
        <f ca="1">IF($AI18="","",IF(ISNUMBER(INDEX('Roadmap Calc (Don’t Touch)'!$I$2:$I$151,$AI18)),INDEX('Roadmap Calc (Don’t Touch)'!$I$2:$I$151,$AI18),""))</f>
        <v>46357</v>
      </c>
      <c r="I18" s="157">
        <f ca="1">IF($AI18="","",IF(ISNUMBER(INDEX('Roadmap Calc (Don’t Touch)'!$J$2:$J$151,$AI18)),INDEX('Roadmap Calc (Don’t Touch)'!$J$2:$J$151,$AI18),""))</f>
        <v>46418</v>
      </c>
      <c r="J18" s="158" t="str">
        <f>IF($AI18="","",IF(AND($AN18&lt;&gt;"",$AN18&lt;=EOMONTH(J$12,0),$AO18&gt;=J$12),IF(AND(INDEX('Roadmap Calc (Don’t Touch)'!$AA$2:$AX$151,$AI18,COLUMN()-COLUMN($J$16)+1)&gt;0,OR($D18="03. UX Discovery",$D18="04. UX Design")),IF(AND($H18&lt;&gt;"",$H18&lt;=EOMONTH(J$12,0),$I18&gt;=J$12),"ALL","PD+UX"),IF(AND($H18&lt;&gt;"",$H18&lt;=EOMONTH(J$12,0),$I18&gt;=J$12),"PD+DEV","PD")),IF(AND(INDEX('Roadmap Calc (Don’t Touch)'!$AA$2:$AX$151,$AI18,COLUMN()-COLUMN($J$16)+1)&gt;0,OR($D18="03. UX Discovery",$D18="04. UX Design")),IF(AND($H18&lt;&gt;"",$H18&lt;=EOMONTH(J$12,0),$I18&gt;=J$12),"UX+DEV","UX"),IF(AND($H18&lt;&gt;"",$H18&lt;=EOMONTH(J$12,0),$I18&gt;=J$12),"DEV",""))))</f>
      </c>
      <c r="K18" s="158" t="str">
        <f>IF($AI18="","",IF(AND($AN18&lt;&gt;"",$AN18&lt;=EOMONTH(K$12,0),$AO18&gt;=K$12),IF(AND(INDEX('Roadmap Calc (Don’t Touch)'!$AA$2:$AX$151,$AI18,COLUMN()-COLUMN($J$16)+1)&gt;0,OR($D18="03. UX Discovery",$D18="04. UX Design")),IF(AND($H18&lt;&gt;"",$H18&lt;=EOMONTH(K$12,0),$I18&gt;=K$12),"ALL","PD+UX"),IF(AND($H18&lt;&gt;"",$H18&lt;=EOMONTH(K$12,0),$I18&gt;=K$12),"PD+DEV","PD")),IF(AND(INDEX('Roadmap Calc (Don’t Touch)'!$AA$2:$AX$151,$AI18,COLUMN()-COLUMN($J$16)+1)&gt;0,OR($D18="03. UX Discovery",$D18="04. UX Design")),IF(AND($H18&lt;&gt;"",$H18&lt;=EOMONTH(K$12,0),$I18&gt;=K$12),"UX+DEV","UX"),IF(AND($H18&lt;&gt;"",$H18&lt;=EOMONTH(K$12,0),$I18&gt;=K$12),"DEV",""))))</f>
      </c>
      <c r="L18" s="158" t="str">
        <f>IF($AI18="","",IF(AND($AN18&lt;&gt;"",$AN18&lt;=EOMONTH(L$12,0),$AO18&gt;=L$12),IF(AND(INDEX('Roadmap Calc (Don’t Touch)'!$AA$2:$AX$151,$AI18,COLUMN()-COLUMN($J$16)+1)&gt;0,OR($D18="03. UX Discovery",$D18="04. UX Design")),IF(AND($H18&lt;&gt;"",$H18&lt;=EOMONTH(L$12,0),$I18&gt;=L$12),"ALL","PD+UX"),IF(AND($H18&lt;&gt;"",$H18&lt;=EOMONTH(L$12,0),$I18&gt;=L$12),"PD+DEV","PD")),IF(AND(INDEX('Roadmap Calc (Don’t Touch)'!$AA$2:$AX$151,$AI18,COLUMN()-COLUMN($J$16)+1)&gt;0,OR($D18="03. UX Discovery",$D18="04. UX Design")),IF(AND($H18&lt;&gt;"",$H18&lt;=EOMONTH(L$12,0),$I18&gt;=L$12),"UX+DEV","UX"),IF(AND($H18&lt;&gt;"",$H18&lt;=EOMONTH(L$12,0),$I18&gt;=L$12),"DEV",""))))</f>
      </c>
      <c r="M18" s="158" t="str">
        <f>IF($AI18="","",IF(AND($AN18&lt;&gt;"",$AN18&lt;=EOMONTH(M$12,0),$AO18&gt;=M$12),IF(AND(INDEX('Roadmap Calc (Don’t Touch)'!$AA$2:$AX$151,$AI18,COLUMN()-COLUMN($J$16)+1)&gt;0,OR($D18="03. UX Discovery",$D18="04. UX Design")),IF(AND($H18&lt;&gt;"",$H18&lt;=EOMONTH(M$12,0),$I18&gt;=M$12),"ALL","PD+UX"),IF(AND($H18&lt;&gt;"",$H18&lt;=EOMONTH(M$12,0),$I18&gt;=M$12),"PD+DEV","PD")),IF(AND(INDEX('Roadmap Calc (Don’t Touch)'!$AA$2:$AX$151,$AI18,COLUMN()-COLUMN($J$16)+1)&gt;0,OR($D18="03. UX Discovery",$D18="04. UX Design")),IF(AND($H18&lt;&gt;"",$H18&lt;=EOMONTH(M$12,0),$I18&gt;=M$12),"UX+DEV","UX"),IF(AND($H18&lt;&gt;"",$H18&lt;=EOMONTH(M$12,0),$I18&gt;=M$12),"DEV",""))))</f>
      </c>
      <c r="N18" s="158" t="str">
        <f>IF($AI18="","",IF(AND($AN18&lt;&gt;"",$AN18&lt;=EOMONTH(N$12,0),$AO18&gt;=N$12),IF(AND(INDEX('Roadmap Calc (Don’t Touch)'!$AA$2:$AX$151,$AI18,COLUMN()-COLUMN($J$16)+1)&gt;0,OR($D18="03. UX Discovery",$D18="04. UX Design")),IF(AND($H18&lt;&gt;"",$H18&lt;=EOMONTH(N$12,0),$I18&gt;=N$12),"ALL","PD+UX"),IF(AND($H18&lt;&gt;"",$H18&lt;=EOMONTH(N$12,0),$I18&gt;=N$12),"PD+DEV","PD")),IF(AND(INDEX('Roadmap Calc (Don’t Touch)'!$AA$2:$AX$151,$AI18,COLUMN()-COLUMN($J$16)+1)&gt;0,OR($D18="03. UX Discovery",$D18="04. UX Design")),IF(AND($H18&lt;&gt;"",$H18&lt;=EOMONTH(N$12,0),$I18&gt;=N$12),"UX+DEV","UX"),IF(AND($H18&lt;&gt;"",$H18&lt;=EOMONTH(N$12,0),$I18&gt;=N$12),"DEV",""))))</f>
      </c>
      <c r="O18" s="158" t="str">
        <f>IF($AI18="","",IF(AND($AN18&lt;&gt;"",$AN18&lt;=EOMONTH(O$12,0),$AO18&gt;=O$12),IF(AND(INDEX('Roadmap Calc (Don’t Touch)'!$AA$2:$AX$151,$AI18,COLUMN()-COLUMN($J$16)+1)&gt;0,OR($D18="03. UX Discovery",$D18="04. UX Design")),IF(AND($H18&lt;&gt;"",$H18&lt;=EOMONTH(O$12,0),$I18&gt;=O$12),"ALL","PD+UX"),IF(AND($H18&lt;&gt;"",$H18&lt;=EOMONTH(O$12,0),$I18&gt;=O$12),"PD+DEV","PD")),IF(AND(INDEX('Roadmap Calc (Don’t Touch)'!$AA$2:$AX$151,$AI18,COLUMN()-COLUMN($J$16)+1)&gt;0,OR($D18="03. UX Discovery",$D18="04. UX Design")),IF(AND($H18&lt;&gt;"",$H18&lt;=EOMONTH(O$12,0),$I18&gt;=O$12),"UX+DEV","UX"),IF(AND($H18&lt;&gt;"",$H18&lt;=EOMONTH(O$12,0),$I18&gt;=O$12),"DEV",""))))</f>
      </c>
      <c r="P18" s="158" t="str">
        <f>IF($AI18="","",IF(AND($AN18&lt;&gt;"",$AN18&lt;=EOMONTH(P$12,0),$AO18&gt;=P$12),IF(AND(INDEX('Roadmap Calc (Don’t Touch)'!$AA$2:$AX$151,$AI18,COLUMN()-COLUMN($J$16)+1)&gt;0,OR($D18="03. UX Discovery",$D18="04. UX Design")),IF(AND($H18&lt;&gt;"",$H18&lt;=EOMONTH(P$12,0),$I18&gt;=P$12),"ALL","PD+UX"),IF(AND($H18&lt;&gt;"",$H18&lt;=EOMONTH(P$12,0),$I18&gt;=P$12),"PD+DEV","PD")),IF(AND(INDEX('Roadmap Calc (Don’t Touch)'!$AA$2:$AX$151,$AI18,COLUMN()-COLUMN($J$16)+1)&gt;0,OR($D18="03. UX Discovery",$D18="04. UX Design")),IF(AND($H18&lt;&gt;"",$H18&lt;=EOMONTH(P$12,0),$I18&gt;=P$12),"UX+DEV","UX"),IF(AND($H18&lt;&gt;"",$H18&lt;=EOMONTH(P$12,0),$I18&gt;=P$12),"DEV",""))))</f>
      </c>
      <c r="Q18" s="158" t="str">
        <f>IF($AI18="","",IF(AND($AN18&lt;&gt;"",$AN18&lt;=EOMONTH(Q$12,0),$AO18&gt;=Q$12),IF(AND(INDEX('Roadmap Calc (Don’t Touch)'!$AA$2:$AX$151,$AI18,COLUMN()-COLUMN($J$16)+1)&gt;0,OR($D18="03. UX Discovery",$D18="04. UX Design")),IF(AND($H18&lt;&gt;"",$H18&lt;=EOMONTH(Q$12,0),$I18&gt;=Q$12),"ALL","PD+UX"),IF(AND($H18&lt;&gt;"",$H18&lt;=EOMONTH(Q$12,0),$I18&gt;=Q$12),"PD+DEV","PD")),IF(AND(INDEX('Roadmap Calc (Don’t Touch)'!$AA$2:$AX$151,$AI18,COLUMN()-COLUMN($J$16)+1)&gt;0,OR($D18="03. UX Discovery",$D18="04. UX Design")),IF(AND($H18&lt;&gt;"",$H18&lt;=EOMONTH(Q$12,0),$I18&gt;=Q$12),"UX+DEV","UX"),IF(AND($H18&lt;&gt;"",$H18&lt;=EOMONTH(Q$12,0),$I18&gt;=Q$12),"DEV",""))))</f>
      </c>
      <c r="R18" s="158" t="str">
        <f>IF($AI18="","",IF(AND($AN18&lt;&gt;"",$AN18&lt;=EOMONTH(R$12,0),$AO18&gt;=R$12),IF(AND(INDEX('Roadmap Calc (Don’t Touch)'!$AA$2:$AX$151,$AI18,COLUMN()-COLUMN($J$16)+1)&gt;0,OR($D18="03. UX Discovery",$D18="04. UX Design")),IF(AND($H18&lt;&gt;"",$H18&lt;=EOMONTH(R$12,0),$I18&gt;=R$12),"ALL","PD+UX"),IF(AND($H18&lt;&gt;"",$H18&lt;=EOMONTH(R$12,0),$I18&gt;=R$12),"PD+DEV","PD")),IF(AND(INDEX('Roadmap Calc (Don’t Touch)'!$AA$2:$AX$151,$AI18,COLUMN()-COLUMN($J$16)+1)&gt;0,OR($D18="03. UX Discovery",$D18="04. UX Design")),IF(AND($H18&lt;&gt;"",$H18&lt;=EOMONTH(R$12,0),$I18&gt;=R$12),"UX+DEV","UX"),IF(AND($H18&lt;&gt;"",$H18&lt;=EOMONTH(R$12,0),$I18&gt;=R$12),"DEV",""))))</f>
      </c>
      <c r="S18" s="158" t="str">
        <f>IF($AI18="","",IF(AND($AN18&lt;&gt;"",$AN18&lt;=EOMONTH(S$12,0),$AO18&gt;=S$12),IF(AND(INDEX('Roadmap Calc (Don’t Touch)'!$AA$2:$AX$151,$AI18,COLUMN()-COLUMN($J$16)+1)&gt;0,OR($D18="03. UX Discovery",$D18="04. UX Design")),IF(AND($H18&lt;&gt;"",$H18&lt;=EOMONTH(S$12,0),$I18&gt;=S$12),"ALL","PD+UX"),IF(AND($H18&lt;&gt;"",$H18&lt;=EOMONTH(S$12,0),$I18&gt;=S$12),"PD+DEV","PD")),IF(AND(INDEX('Roadmap Calc (Don’t Touch)'!$AA$2:$AX$151,$AI18,COLUMN()-COLUMN($J$16)+1)&gt;0,OR($D18="03. UX Discovery",$D18="04. UX Design")),IF(AND($H18&lt;&gt;"",$H18&lt;=EOMONTH(S$12,0),$I18&gt;=S$12),"UX+DEV","UX"),IF(AND($H18&lt;&gt;"",$H18&lt;=EOMONTH(S$12,0),$I18&gt;=S$12),"DEV",""))))</f>
      </c>
      <c r="T18" s="158" t="str">
        <f>IF($AI18="","",IF(AND($AN18&lt;&gt;"",$AN18&lt;=EOMONTH(T$12,0),$AO18&gt;=T$12),IF(AND(INDEX('Roadmap Calc (Don’t Touch)'!$AA$2:$AX$151,$AI18,COLUMN()-COLUMN($J$16)+1)&gt;0,OR($D18="03. UX Discovery",$D18="04. UX Design")),IF(AND($H18&lt;&gt;"",$H18&lt;=EOMONTH(T$12,0),$I18&gt;=T$12),"ALL","PD+UX"),IF(AND($H18&lt;&gt;"",$H18&lt;=EOMONTH(T$12,0),$I18&gt;=T$12),"PD+DEV","PD")),IF(AND(INDEX('Roadmap Calc (Don’t Touch)'!$AA$2:$AX$151,$AI18,COLUMN()-COLUMN($J$16)+1)&gt;0,OR($D18="03. UX Discovery",$D18="04. UX Design")),IF(AND($H18&lt;&gt;"",$H18&lt;=EOMONTH(T$12,0),$I18&gt;=T$12),"UX+DEV","UX"),IF(AND($H18&lt;&gt;"",$H18&lt;=EOMONTH(T$12,0),$I18&gt;=T$12),"DEV",""))))</f>
      </c>
      <c r="U18" s="158" t="str">
        <f>IF($AI18="","",IF(AND($AN18&lt;&gt;"",$AN18&lt;=EOMONTH(U$12,0),$AO18&gt;=U$12),IF(AND(INDEX('Roadmap Calc (Don’t Touch)'!$AA$2:$AX$151,$AI18,COLUMN()-COLUMN($J$16)+1)&gt;0,OR($D18="03. UX Discovery",$D18="04. UX Design")),IF(AND($H18&lt;&gt;"",$H18&lt;=EOMONTH(U$12,0),$I18&gt;=U$12),"ALL","PD+UX"),IF(AND($H18&lt;&gt;"",$H18&lt;=EOMONTH(U$12,0),$I18&gt;=U$12),"PD+DEV","PD")),IF(AND(INDEX('Roadmap Calc (Don’t Touch)'!$AA$2:$AX$151,$AI18,COLUMN()-COLUMN($J$16)+1)&gt;0,OR($D18="03. UX Discovery",$D18="04. UX Design")),IF(AND($H18&lt;&gt;"",$H18&lt;=EOMONTH(U$12,0),$I18&gt;=U$12),"UX+DEV","UX"),IF(AND($H18&lt;&gt;"",$H18&lt;=EOMONTH(U$12,0),$I18&gt;=U$12),"DEV",""))))</f>
      </c>
      <c r="V18" s="158" t="str">
        <f>IF($AI18="","",IF(AND($AN18&lt;&gt;"",$AN18&lt;=EOMONTH(V$12,0),$AO18&gt;=V$12),IF(AND(INDEX('Roadmap Calc (Don’t Touch)'!$AA$2:$AX$151,$AI18,COLUMN()-COLUMN($J$16)+1)&gt;0,OR($D18="03. UX Discovery",$D18="04. UX Design")),IF(AND($H18&lt;&gt;"",$H18&lt;=EOMONTH(V$12,0),$I18&gt;=V$12),"ALL","PD+UX"),IF(AND($H18&lt;&gt;"",$H18&lt;=EOMONTH(V$12,0),$I18&gt;=V$12),"PD+DEV","PD")),IF(AND(INDEX('Roadmap Calc (Don’t Touch)'!$AA$2:$AX$151,$AI18,COLUMN()-COLUMN($J$16)+1)&gt;0,OR($D18="03. UX Discovery",$D18="04. UX Design")),IF(AND($H18&lt;&gt;"",$H18&lt;=EOMONTH(V$12,0),$I18&gt;=V$12),"UX+DEV","UX"),IF(AND($H18&lt;&gt;"",$H18&lt;=EOMONTH(V$12,0),$I18&gt;=V$12),"DEV",""))))</f>
      </c>
      <c r="W18" s="158" t="str">
        <f>IF($AI18="","",IF(AND($AN18&lt;&gt;"",$AN18&lt;=EOMONTH(W$12,0),$AO18&gt;=W$12),IF(AND(INDEX('Roadmap Calc (Don’t Touch)'!$AA$2:$AX$151,$AI18,COLUMN()-COLUMN($J$16)+1)&gt;0,OR($D18="03. UX Discovery",$D18="04. UX Design")),IF(AND($H18&lt;&gt;"",$H18&lt;=EOMONTH(W$12,0),$I18&gt;=W$12),"ALL","PD+UX"),IF(AND($H18&lt;&gt;"",$H18&lt;=EOMONTH(W$12,0),$I18&gt;=W$12),"PD+DEV","PD")),IF(AND(INDEX('Roadmap Calc (Don’t Touch)'!$AA$2:$AX$151,$AI18,COLUMN()-COLUMN($J$16)+1)&gt;0,OR($D18="03. UX Discovery",$D18="04. UX Design")),IF(AND($H18&lt;&gt;"",$H18&lt;=EOMONTH(W$12,0),$I18&gt;=W$12),"UX+DEV","UX"),IF(AND($H18&lt;&gt;"",$H18&lt;=EOMONTH(W$12,0),$I18&gt;=W$12),"DEV",""))))</f>
      </c>
      <c r="X18" s="158" t="str">
        <f>IF($AI18="","",IF(AND($AN18&lt;&gt;"",$AN18&lt;=EOMONTH(X$12,0),$AO18&gt;=X$12),IF(AND(INDEX('Roadmap Calc (Don’t Touch)'!$AA$2:$AX$151,$AI18,COLUMN()-COLUMN($J$16)+1)&gt;0,OR($D18="03. UX Discovery",$D18="04. UX Design")),IF(AND($H18&lt;&gt;"",$H18&lt;=EOMONTH(X$12,0),$I18&gt;=X$12),"ALL","PD+UX"),IF(AND($H18&lt;&gt;"",$H18&lt;=EOMONTH(X$12,0),$I18&gt;=X$12),"PD+DEV","PD")),IF(AND(INDEX('Roadmap Calc (Don’t Touch)'!$AA$2:$AX$151,$AI18,COLUMN()-COLUMN($J$16)+1)&gt;0,OR($D18="03. UX Discovery",$D18="04. UX Design")),IF(AND($H18&lt;&gt;"",$H18&lt;=EOMONTH(X$12,0),$I18&gt;=X$12),"UX+DEV","UX"),IF(AND($H18&lt;&gt;"",$H18&lt;=EOMONTH(X$12,0),$I18&gt;=X$12),"DEV",""))))</f>
      </c>
      <c r="Y18" s="158" t="str">
        <f>IF($AI18="","",IF(AND($AN18&lt;&gt;"",$AN18&lt;=EOMONTH(Y$12,0),$AO18&gt;=Y$12),IF(AND(INDEX('Roadmap Calc (Don’t Touch)'!$AA$2:$AX$151,$AI18,COLUMN()-COLUMN($J$16)+1)&gt;0,OR($D18="03. UX Discovery",$D18="04. UX Design")),IF(AND($H18&lt;&gt;"",$H18&lt;=EOMONTH(Y$12,0),$I18&gt;=Y$12),"ALL","PD+UX"),IF(AND($H18&lt;&gt;"",$H18&lt;=EOMONTH(Y$12,0),$I18&gt;=Y$12),"PD+DEV","PD")),IF(AND(INDEX('Roadmap Calc (Don’t Touch)'!$AA$2:$AX$151,$AI18,COLUMN()-COLUMN($J$16)+1)&gt;0,OR($D18="03. UX Discovery",$D18="04. UX Design")),IF(AND($H18&lt;&gt;"",$H18&lt;=EOMONTH(Y$12,0),$I18&gt;=Y$12),"UX+DEV","UX"),IF(AND($H18&lt;&gt;"",$H18&lt;=EOMONTH(Y$12,0),$I18&gt;=Y$12),"DEV",""))))</f>
      </c>
      <c r="Z18" s="158" t="str">
        <f>IF($AI18="","",IF(AND($AN18&lt;&gt;"",$AN18&lt;=EOMONTH(Z$12,0),$AO18&gt;=Z$12),IF(AND(INDEX('Roadmap Calc (Don’t Touch)'!$AA$2:$AX$151,$AI18,COLUMN()-COLUMN($J$16)+1)&gt;0,OR($D18="03. UX Discovery",$D18="04. UX Design")),IF(AND($H18&lt;&gt;"",$H18&lt;=EOMONTH(Z$12,0),$I18&gt;=Z$12),"ALL","PD+UX"),IF(AND($H18&lt;&gt;"",$H18&lt;=EOMONTH(Z$12,0),$I18&gt;=Z$12),"PD+DEV","PD")),IF(AND(INDEX('Roadmap Calc (Don’t Touch)'!$AA$2:$AX$151,$AI18,COLUMN()-COLUMN($J$16)+1)&gt;0,OR($D18="03. UX Discovery",$D18="04. UX Design")),IF(AND($H18&lt;&gt;"",$H18&lt;=EOMONTH(Z$12,0),$I18&gt;=Z$12),"UX+DEV","UX"),IF(AND($H18&lt;&gt;"",$H18&lt;=EOMONTH(Z$12,0),$I18&gt;=Z$12),"DEV",""))))</f>
      </c>
      <c r="AA18" s="158" t="str">
        <f>IF($AI18="","",IF(AND($AN18&lt;&gt;"",$AN18&lt;=EOMONTH(AA$12,0),$AO18&gt;=AA$12),IF(AND(INDEX('Roadmap Calc (Don’t Touch)'!$AA$2:$AX$151,$AI18,COLUMN()-COLUMN($J$16)+1)&gt;0,OR($D18="03. UX Discovery",$D18="04. UX Design")),IF(AND($H18&lt;&gt;"",$H18&lt;=EOMONTH(AA$12,0),$I18&gt;=AA$12),"ALL","PD+UX"),IF(AND($H18&lt;&gt;"",$H18&lt;=EOMONTH(AA$12,0),$I18&gt;=AA$12),"PD+DEV","PD")),IF(AND(INDEX('Roadmap Calc (Don’t Touch)'!$AA$2:$AX$151,$AI18,COLUMN()-COLUMN($J$16)+1)&gt;0,OR($D18="03. UX Discovery",$D18="04. UX Design")),IF(AND($H18&lt;&gt;"",$H18&lt;=EOMONTH(AA$12,0),$I18&gt;=AA$12),"UX+DEV","UX"),IF(AND($H18&lt;&gt;"",$H18&lt;=EOMONTH(AA$12,0),$I18&gt;=AA$12),"DEV",""))))</f>
      </c>
      <c r="AB18" s="158" t="str">
        <f>IF($AI18="","",IF(AND($AN18&lt;&gt;"",$AN18&lt;=EOMONTH(AB$12,0),$AO18&gt;=AB$12),IF(AND(INDEX('Roadmap Calc (Don’t Touch)'!$AA$2:$AX$151,$AI18,COLUMN()-COLUMN($J$16)+1)&gt;0,OR($D18="03. UX Discovery",$D18="04. UX Design")),IF(AND($H18&lt;&gt;"",$H18&lt;=EOMONTH(AB$12,0),$I18&gt;=AB$12),"ALL","PD+UX"),IF(AND($H18&lt;&gt;"",$H18&lt;=EOMONTH(AB$12,0),$I18&gt;=AB$12),"PD+DEV","PD")),IF(AND(INDEX('Roadmap Calc (Don’t Touch)'!$AA$2:$AX$151,$AI18,COLUMN()-COLUMN($J$16)+1)&gt;0,OR($D18="03. UX Discovery",$D18="04. UX Design")),IF(AND($H18&lt;&gt;"",$H18&lt;=EOMONTH(AB$12,0),$I18&gt;=AB$12),"UX+DEV","UX"),IF(AND($H18&lt;&gt;"",$H18&lt;=EOMONTH(AB$12,0),$I18&gt;=AB$12),"DEV",""))))</f>
      </c>
      <c r="AC18" s="158" t="str">
        <f>IF($AI18="","",IF(AND($AN18&lt;&gt;"",$AN18&lt;=EOMONTH(AC$12,0),$AO18&gt;=AC$12),IF(AND(INDEX('Roadmap Calc (Don’t Touch)'!$AA$2:$AX$151,$AI18,COLUMN()-COLUMN($J$16)+1)&gt;0,OR($D18="03. UX Discovery",$D18="04. UX Design")),IF(AND($H18&lt;&gt;"",$H18&lt;=EOMONTH(AC$12,0),$I18&gt;=AC$12),"ALL","PD+UX"),IF(AND($H18&lt;&gt;"",$H18&lt;=EOMONTH(AC$12,0),$I18&gt;=AC$12),"PD+DEV","PD")),IF(AND(INDEX('Roadmap Calc (Don’t Touch)'!$AA$2:$AX$151,$AI18,COLUMN()-COLUMN($J$16)+1)&gt;0,OR($D18="03. UX Discovery",$D18="04. UX Design")),IF(AND($H18&lt;&gt;"",$H18&lt;=EOMONTH(AC$12,0),$I18&gt;=AC$12),"UX+DEV","UX"),IF(AND($H18&lt;&gt;"",$H18&lt;=EOMONTH(AC$12,0),$I18&gt;=AC$12),"DEV",""))))</f>
      </c>
      <c r="AD18" s="158" t="str">
        <f>IF($AI18="","",IF(AND($AN18&lt;&gt;"",$AN18&lt;=EOMONTH(AD$12,0),$AO18&gt;=AD$12),IF(AND(INDEX('Roadmap Calc (Don’t Touch)'!$AA$2:$AX$151,$AI18,COLUMN()-COLUMN($J$16)+1)&gt;0,OR($D18="03. UX Discovery",$D18="04. UX Design")),IF(AND($H18&lt;&gt;"",$H18&lt;=EOMONTH(AD$12,0),$I18&gt;=AD$12),"ALL","PD+UX"),IF(AND($H18&lt;&gt;"",$H18&lt;=EOMONTH(AD$12,0),$I18&gt;=AD$12),"PD+DEV","PD")),IF(AND(INDEX('Roadmap Calc (Don’t Touch)'!$AA$2:$AX$151,$AI18,COLUMN()-COLUMN($J$16)+1)&gt;0,OR($D18="03. UX Discovery",$D18="04. UX Design")),IF(AND($H18&lt;&gt;"",$H18&lt;=EOMONTH(AD$12,0),$I18&gt;=AD$12),"UX+DEV","UX"),IF(AND($H18&lt;&gt;"",$H18&lt;=EOMONTH(AD$12,0),$I18&gt;=AD$12),"DEV",""))))</f>
      </c>
      <c r="AE18" s="158" t="str">
        <f>IF($AI18="","",IF(AND($AN18&lt;&gt;"",$AN18&lt;=EOMONTH(AE$12,0),$AO18&gt;=AE$12),IF(AND(INDEX('Roadmap Calc (Don’t Touch)'!$AA$2:$AX$151,$AI18,COLUMN()-COLUMN($J$16)+1)&gt;0,OR($D18="03. UX Discovery",$D18="04. UX Design")),IF(AND($H18&lt;&gt;"",$H18&lt;=EOMONTH(AE$12,0),$I18&gt;=AE$12),"ALL","PD+UX"),IF(AND($H18&lt;&gt;"",$H18&lt;=EOMONTH(AE$12,0),$I18&gt;=AE$12),"PD+DEV","PD")),IF(AND(INDEX('Roadmap Calc (Don’t Touch)'!$AA$2:$AX$151,$AI18,COLUMN()-COLUMN($J$16)+1)&gt;0,OR($D18="03. UX Discovery",$D18="04. UX Design")),IF(AND($H18&lt;&gt;"",$H18&lt;=EOMONTH(AE$12,0),$I18&gt;=AE$12),"UX+DEV","UX"),IF(AND($H18&lt;&gt;"",$H18&lt;=EOMONTH(AE$12,0),$I18&gt;=AE$12),"DEV",""))))</f>
      </c>
      <c r="AF18" s="158" t="str">
        <f>IF($AI18="","",IF(AND($AN18&lt;&gt;"",$AN18&lt;=EOMONTH(AF$12,0),$AO18&gt;=AF$12),IF(AND(INDEX('Roadmap Calc (Don’t Touch)'!$AA$2:$AX$151,$AI18,COLUMN()-COLUMN($J$16)+1)&gt;0,OR($D18="03. UX Discovery",$D18="04. UX Design")),IF(AND($H18&lt;&gt;"",$H18&lt;=EOMONTH(AF$12,0),$I18&gt;=AF$12),"ALL","PD+UX"),IF(AND($H18&lt;&gt;"",$H18&lt;=EOMONTH(AF$12,0),$I18&gt;=AF$12),"PD+DEV","PD")),IF(AND(INDEX('Roadmap Calc (Don’t Touch)'!$AA$2:$AX$151,$AI18,COLUMN()-COLUMN($J$16)+1)&gt;0,OR($D18="03. UX Discovery",$D18="04. UX Design")),IF(AND($H18&lt;&gt;"",$H18&lt;=EOMONTH(AF$12,0),$I18&gt;=AF$12),"UX+DEV","UX"),IF(AND($H18&lt;&gt;"",$H18&lt;=EOMONTH(AF$12,0),$I18&gt;=AF$12),"DEV",""))))</f>
      </c>
      <c r="AG18" s="158" t="str">
        <f>IF($AI18="","",IF(AND($AN18&lt;&gt;"",$AN18&lt;=EOMONTH(AG$12,0),$AO18&gt;=AG$12),IF(AND(INDEX('Roadmap Calc (Don’t Touch)'!$AA$2:$AX$151,$AI18,COLUMN()-COLUMN($J$16)+1)&gt;0,OR($D18="03. UX Discovery",$D18="04. UX Design")),IF(AND($H18&lt;&gt;"",$H18&lt;=EOMONTH(AG$12,0),$I18&gt;=AG$12),"ALL","PD+UX"),IF(AND($H18&lt;&gt;"",$H18&lt;=EOMONTH(AG$12,0),$I18&gt;=AG$12),"PD+DEV","PD")),IF(AND(INDEX('Roadmap Calc (Don’t Touch)'!$AA$2:$AX$151,$AI18,COLUMN()-COLUMN($J$16)+1)&gt;0,OR($D18="03. UX Discovery",$D18="04. UX Design")),IF(AND($H18&lt;&gt;"",$H18&lt;=EOMONTH(AG$12,0),$I18&gt;=AG$12),"UX+DEV","UX"),IF(AND($H18&lt;&gt;"",$H18&lt;=EOMONTH(AG$12,0),$I18&gt;=AG$12),"DEV",""))))</f>
      </c>
      <c r="AH18" s="145" t="str">
        <f>IF($AI18="","",INDEX('Roadmap Calc (Don’t Touch)'!$D$2:$D$151,$AI18))</f>
        <v>Increase Trade In Awareness</v>
      </c>
      <c r="AI18" s="145">
        <f>IFERROR(MATCH(3,'Roadmap Calc (Don’t Touch)'!$O$2:$O$151,0),"")</f>
        <v>11</v>
      </c>
      <c r="AJ18" s="145"/>
      <c r="AK18" s="147" t="str">
        <f>IF(COUNTA(Control!E16)=0,"",Control!E16)</f>
        <v/>
      </c>
      <c r="AL18" s="147" t="str">
        <f>IF(COUNTA(Control!B16)=0,"",Control!B16)</f>
        <v>10. QA</v>
      </c>
      <c r="AM18" s="145"/>
      <c r="AN18">
        <f>IF($AI18="","",IF(ISNUMBER(INDEX('Roadmap Calc (Don’t Touch)'!$BB$2:$BB$151,$AI18)),INDEX('Roadmap Calc (Don’t Touch)'!$BB$2:$BB$151,$AI18),""))</f>
      </c>
      <c r="AO18">
        <f>IF($AI18="","",IF(ISNUMBER(INDEX('Roadmap Calc (Don’t Touch)'!$BC$2:$BC$151,$AI18)),INDEX('Roadmap Calc (Don’t Touch)'!$BC$2:$BC$151,$AI18),""))</f>
      </c>
    </row>
    <row r="19" spans="1:41" ht="20" customHeight="1" x14ac:dyDescent="0.25">
      <c r="A19" s="198" t="str">
        <f>IF($AI19="","",IF($AH19=$AH18,"",IF(INDEX('Roadmap Calc (Don’t Touch)'!$U$2:$U$151,$AI19)=0,$AH19,HYPERLINK("#'Control (Don’t Touch)'!E"&amp;INDEX('Roadmap Calc (Don’t Touch)'!$U$2:$U$151,$AI19),$AH19))))</f>
        <v/>
      </c>
      <c r="B19" s="159" t="str">
        <f>IF($AI19="","",IF(INDEX('Roadmap Calc (Don’t Touch)'!$K$2:$K$151,$AI19)="",INDEX('Roadmap Calc (Don’t Touch)'!$B$2:$B$151,$AI19),HYPERLINK("https://jira.bnh.com/browse/"&amp;INDEX('Roadmap Calc (Don’t Touch)'!$K$2:$K$151,$AI19),INDEX('Roadmap Calc (Don’t Touch)'!$B$2:$B$151,$AI19))))</f>
        <v>Increase Awareness of Trade In Offers - Best Buy Inspiration/Competitive Effort</v>
      </c>
      <c r="C19" s="159" t="str">
        <f>IF($AI19="","",IF(INDEX('Roadmap Calc (Don’t Touch)'!$E$2:$E$151,$AI19)="","",HYPERLINK("https://jira.bnh.com/browse/"&amp;INDEX('Roadmap Calc (Don’t Touch)'!$E$2:$E$151,$AI19),INDEX('Roadmap Calc (Don’t Touch)'!$E$2:$E$151,$AI19))))</f>
        <v>BHP-6827</v>
      </c>
      <c r="D19" s="161" t="str">
        <f>IF($AI19="","",INDEX('Roadmap Calc (Don’t Touch)'!$F$2:$F$151,$AI19))</f>
        <v>03. UX Discovery</v>
      </c>
      <c r="E19" s="155" t="str">
        <f>IF($AI19="","",IF(ISNUMBER(INDEX('Roadmap Calc (Don’t Touch)'!$G$2:$G$151,$AI19)),INDEX('Roadmap Calc (Don’t Touch)'!$G$2:$G$151,$AI19),""))</f>
        <v/>
      </c>
      <c r="F19" s="155" t="str">
        <f>IF($AI19="","",IF(ISNUMBER(INDEX('Roadmap Calc (Don’t Touch)'!$H$2:$H$151,$AI19)),INDEX('Roadmap Calc (Don’t Touch)'!$H$2:$H$151,$AI19),""))</f>
        <v/>
      </c>
      <c r="G19" s="156">
        <f>IF($AI19="","",INDEX('Roadmap Calc (Don’t Touch)'!$T$2:$T$151,$AI19))</f>
        <v>0</v>
      </c>
      <c r="H19" s="157">
        <f ca="1">IF($AI19="","",IF(ISNUMBER(INDEX('Roadmap Calc (Don’t Touch)'!$I$2:$I$151,$AI19)),INDEX('Roadmap Calc (Don’t Touch)'!$I$2:$I$151,$AI19),""))</f>
        <v>46296</v>
      </c>
      <c r="I19" s="157">
        <f ca="1">IF($AI19="","",IF(ISNUMBER(INDEX('Roadmap Calc (Don’t Touch)'!$J$2:$J$151,$AI19)),INDEX('Roadmap Calc (Don’t Touch)'!$J$2:$J$151,$AI19),""))</f>
        <v>46326</v>
      </c>
      <c r="J19" s="158" t="str">
        <f>IF($AI19="","",IF(AND($AN19&lt;&gt;"",$AN19&lt;=EOMONTH(J$12,0),$AO19&gt;=J$12),IF(AND(INDEX('Roadmap Calc (Don’t Touch)'!$AA$2:$AX$151,$AI19,COLUMN()-COLUMN($J$16)+1)&gt;0,OR($D19="03. UX Discovery",$D19="04. UX Design")),IF(AND($H19&lt;&gt;"",$H19&lt;=EOMONTH(J$12,0),$I19&gt;=J$12),"ALL","PD+UX"),IF(AND($H19&lt;&gt;"",$H19&lt;=EOMONTH(J$12,0),$I19&gt;=J$12),"PD+DEV","PD")),IF(AND(INDEX('Roadmap Calc (Don’t Touch)'!$AA$2:$AX$151,$AI19,COLUMN()-COLUMN($J$16)+1)&gt;0,OR($D19="03. UX Discovery",$D19="04. UX Design")),IF(AND($H19&lt;&gt;"",$H19&lt;=EOMONTH(J$12,0),$I19&gt;=J$12),"UX+DEV","UX"),IF(AND($H19&lt;&gt;"",$H19&lt;=EOMONTH(J$12,0),$I19&gt;=J$12),"DEV",""))))</f>
      </c>
      <c r="K19" s="158" t="str">
        <f>IF($AI19="","",IF(AND($AN19&lt;&gt;"",$AN19&lt;=EOMONTH(K$12,0),$AO19&gt;=K$12),IF(AND(INDEX('Roadmap Calc (Don’t Touch)'!$AA$2:$AX$151,$AI19,COLUMN()-COLUMN($J$16)+1)&gt;0,OR($D19="03. UX Discovery",$D19="04. UX Design")),IF(AND($H19&lt;&gt;"",$H19&lt;=EOMONTH(K$12,0),$I19&gt;=K$12),"ALL","PD+UX"),IF(AND($H19&lt;&gt;"",$H19&lt;=EOMONTH(K$12,0),$I19&gt;=K$12),"PD+DEV","PD")),IF(AND(INDEX('Roadmap Calc (Don’t Touch)'!$AA$2:$AX$151,$AI19,COLUMN()-COLUMN($J$16)+1)&gt;0,OR($D19="03. UX Discovery",$D19="04. UX Design")),IF(AND($H19&lt;&gt;"",$H19&lt;=EOMONTH(K$12,0),$I19&gt;=K$12),"UX+DEV","UX"),IF(AND($H19&lt;&gt;"",$H19&lt;=EOMONTH(K$12,0),$I19&gt;=K$12),"DEV",""))))</f>
      </c>
      <c r="L19" s="158" t="str">
        <f>IF($AI19="","",IF(AND($AN19&lt;&gt;"",$AN19&lt;=EOMONTH(L$12,0),$AO19&gt;=L$12),IF(AND(INDEX('Roadmap Calc (Don’t Touch)'!$AA$2:$AX$151,$AI19,COLUMN()-COLUMN($J$16)+1)&gt;0,OR($D19="03. UX Discovery",$D19="04. UX Design")),IF(AND($H19&lt;&gt;"",$H19&lt;=EOMONTH(L$12,0),$I19&gt;=L$12),"ALL","PD+UX"),IF(AND($H19&lt;&gt;"",$H19&lt;=EOMONTH(L$12,0),$I19&gt;=L$12),"PD+DEV","PD")),IF(AND(INDEX('Roadmap Calc (Don’t Touch)'!$AA$2:$AX$151,$AI19,COLUMN()-COLUMN($J$16)+1)&gt;0,OR($D19="03. UX Discovery",$D19="04. UX Design")),IF(AND($H19&lt;&gt;"",$H19&lt;=EOMONTH(L$12,0),$I19&gt;=L$12),"UX+DEV","UX"),IF(AND($H19&lt;&gt;"",$H19&lt;=EOMONTH(L$12,0),$I19&gt;=L$12),"DEV",""))))</f>
      </c>
      <c r="M19" s="158" t="str">
        <f>IF($AI19="","",IF(AND($AN19&lt;&gt;"",$AN19&lt;=EOMONTH(M$12,0),$AO19&gt;=M$12),IF(AND(INDEX('Roadmap Calc (Don’t Touch)'!$AA$2:$AX$151,$AI19,COLUMN()-COLUMN($J$16)+1)&gt;0,OR($D19="03. UX Discovery",$D19="04. UX Design")),IF(AND($H19&lt;&gt;"",$H19&lt;=EOMONTH(M$12,0),$I19&gt;=M$12),"ALL","PD+UX"),IF(AND($H19&lt;&gt;"",$H19&lt;=EOMONTH(M$12,0),$I19&gt;=M$12),"PD+DEV","PD")),IF(AND(INDEX('Roadmap Calc (Don’t Touch)'!$AA$2:$AX$151,$AI19,COLUMN()-COLUMN($J$16)+1)&gt;0,OR($D19="03. UX Discovery",$D19="04. UX Design")),IF(AND($H19&lt;&gt;"",$H19&lt;=EOMONTH(M$12,0),$I19&gt;=M$12),"UX+DEV","UX"),IF(AND($H19&lt;&gt;"",$H19&lt;=EOMONTH(M$12,0),$I19&gt;=M$12),"DEV",""))))</f>
      </c>
      <c r="N19" s="158" t="str">
        <f>IF($AI19="","",IF(AND($AN19&lt;&gt;"",$AN19&lt;=EOMONTH(N$12,0),$AO19&gt;=N$12),IF(AND(INDEX('Roadmap Calc (Don’t Touch)'!$AA$2:$AX$151,$AI19,COLUMN()-COLUMN($J$16)+1)&gt;0,OR($D19="03. UX Discovery",$D19="04. UX Design")),IF(AND($H19&lt;&gt;"",$H19&lt;=EOMONTH(N$12,0),$I19&gt;=N$12),"ALL","PD+UX"),IF(AND($H19&lt;&gt;"",$H19&lt;=EOMONTH(N$12,0),$I19&gt;=N$12),"PD+DEV","PD")),IF(AND(INDEX('Roadmap Calc (Don’t Touch)'!$AA$2:$AX$151,$AI19,COLUMN()-COLUMN($J$16)+1)&gt;0,OR($D19="03. UX Discovery",$D19="04. UX Design")),IF(AND($H19&lt;&gt;"",$H19&lt;=EOMONTH(N$12,0),$I19&gt;=N$12),"UX+DEV","UX"),IF(AND($H19&lt;&gt;"",$H19&lt;=EOMONTH(N$12,0),$I19&gt;=N$12),"DEV",""))))</f>
      </c>
      <c r="O19" s="158" t="str">
        <f>IF($AI19="","",IF(AND($AN19&lt;&gt;"",$AN19&lt;=EOMONTH(O$12,0),$AO19&gt;=O$12),IF(AND(INDEX('Roadmap Calc (Don’t Touch)'!$AA$2:$AX$151,$AI19,COLUMN()-COLUMN($J$16)+1)&gt;0,OR($D19="03. UX Discovery",$D19="04. UX Design")),IF(AND($H19&lt;&gt;"",$H19&lt;=EOMONTH(O$12,0),$I19&gt;=O$12),"ALL","PD+UX"),IF(AND($H19&lt;&gt;"",$H19&lt;=EOMONTH(O$12,0),$I19&gt;=O$12),"PD+DEV","PD")),IF(AND(INDEX('Roadmap Calc (Don’t Touch)'!$AA$2:$AX$151,$AI19,COLUMN()-COLUMN($J$16)+1)&gt;0,OR($D19="03. UX Discovery",$D19="04. UX Design")),IF(AND($H19&lt;&gt;"",$H19&lt;=EOMONTH(O$12,0),$I19&gt;=O$12),"UX+DEV","UX"),IF(AND($H19&lt;&gt;"",$H19&lt;=EOMONTH(O$12,0),$I19&gt;=O$12),"DEV",""))))</f>
      </c>
      <c r="P19" s="158" t="str">
        <f>IF($AI19="","",IF(AND($AN19&lt;&gt;"",$AN19&lt;=EOMONTH(P$12,0),$AO19&gt;=P$12),IF(AND(INDEX('Roadmap Calc (Don’t Touch)'!$AA$2:$AX$151,$AI19,COLUMN()-COLUMN($J$16)+1)&gt;0,OR($D19="03. UX Discovery",$D19="04. UX Design")),IF(AND($H19&lt;&gt;"",$H19&lt;=EOMONTH(P$12,0),$I19&gt;=P$12),"ALL","PD+UX"),IF(AND($H19&lt;&gt;"",$H19&lt;=EOMONTH(P$12,0),$I19&gt;=P$12),"PD+DEV","PD")),IF(AND(INDEX('Roadmap Calc (Don’t Touch)'!$AA$2:$AX$151,$AI19,COLUMN()-COLUMN($J$16)+1)&gt;0,OR($D19="03. UX Discovery",$D19="04. UX Design")),IF(AND($H19&lt;&gt;"",$H19&lt;=EOMONTH(P$12,0),$I19&gt;=P$12),"UX+DEV","UX"),IF(AND($H19&lt;&gt;"",$H19&lt;=EOMONTH(P$12,0),$I19&gt;=P$12),"DEV",""))))</f>
      </c>
      <c r="Q19" s="158" t="str">
        <f>IF($AI19="","",IF(AND($AN19&lt;&gt;"",$AN19&lt;=EOMONTH(Q$12,0),$AO19&gt;=Q$12),IF(AND(INDEX('Roadmap Calc (Don’t Touch)'!$AA$2:$AX$151,$AI19,COLUMN()-COLUMN($J$16)+1)&gt;0,OR($D19="03. UX Discovery",$D19="04. UX Design")),IF(AND($H19&lt;&gt;"",$H19&lt;=EOMONTH(Q$12,0),$I19&gt;=Q$12),"ALL","PD+UX"),IF(AND($H19&lt;&gt;"",$H19&lt;=EOMONTH(Q$12,0),$I19&gt;=Q$12),"PD+DEV","PD")),IF(AND(INDEX('Roadmap Calc (Don’t Touch)'!$AA$2:$AX$151,$AI19,COLUMN()-COLUMN($J$16)+1)&gt;0,OR($D19="03. UX Discovery",$D19="04. UX Design")),IF(AND($H19&lt;&gt;"",$H19&lt;=EOMONTH(Q$12,0),$I19&gt;=Q$12),"UX+DEV","UX"),IF(AND($H19&lt;&gt;"",$H19&lt;=EOMONTH(Q$12,0),$I19&gt;=Q$12),"DEV",""))))</f>
      </c>
      <c r="R19" s="158" t="str">
        <f>IF($AI19="","",IF(AND($AN19&lt;&gt;"",$AN19&lt;=EOMONTH(R$12,0),$AO19&gt;=R$12),IF(AND(INDEX('Roadmap Calc (Don’t Touch)'!$AA$2:$AX$151,$AI19,COLUMN()-COLUMN($J$16)+1)&gt;0,OR($D19="03. UX Discovery",$D19="04. UX Design")),IF(AND($H19&lt;&gt;"",$H19&lt;=EOMONTH(R$12,0),$I19&gt;=R$12),"ALL","PD+UX"),IF(AND($H19&lt;&gt;"",$H19&lt;=EOMONTH(R$12,0),$I19&gt;=R$12),"PD+DEV","PD")),IF(AND(INDEX('Roadmap Calc (Don’t Touch)'!$AA$2:$AX$151,$AI19,COLUMN()-COLUMN($J$16)+1)&gt;0,OR($D19="03. UX Discovery",$D19="04. UX Design")),IF(AND($H19&lt;&gt;"",$H19&lt;=EOMONTH(R$12,0),$I19&gt;=R$12),"UX+DEV","UX"),IF(AND($H19&lt;&gt;"",$H19&lt;=EOMONTH(R$12,0),$I19&gt;=R$12),"DEV",""))))</f>
      </c>
      <c r="S19" s="158" t="str">
        <f>IF($AI19="","",IF(AND($AN19&lt;&gt;"",$AN19&lt;=EOMONTH(S$12,0),$AO19&gt;=S$12),IF(AND(INDEX('Roadmap Calc (Don’t Touch)'!$AA$2:$AX$151,$AI19,COLUMN()-COLUMN($J$16)+1)&gt;0,OR($D19="03. UX Discovery",$D19="04. UX Design")),IF(AND($H19&lt;&gt;"",$H19&lt;=EOMONTH(S$12,0),$I19&gt;=S$12),"ALL","PD+UX"),IF(AND($H19&lt;&gt;"",$H19&lt;=EOMONTH(S$12,0),$I19&gt;=S$12),"PD+DEV","PD")),IF(AND(INDEX('Roadmap Calc (Don’t Touch)'!$AA$2:$AX$151,$AI19,COLUMN()-COLUMN($J$16)+1)&gt;0,OR($D19="03. UX Discovery",$D19="04. UX Design")),IF(AND($H19&lt;&gt;"",$H19&lt;=EOMONTH(S$12,0),$I19&gt;=S$12),"UX+DEV","UX"),IF(AND($H19&lt;&gt;"",$H19&lt;=EOMONTH(S$12,0),$I19&gt;=S$12),"DEV",""))))</f>
      </c>
      <c r="T19" s="158" t="str">
        <f>IF($AI19="","",IF(AND($AN19&lt;&gt;"",$AN19&lt;=EOMONTH(T$12,0),$AO19&gt;=T$12),IF(AND(INDEX('Roadmap Calc (Don’t Touch)'!$AA$2:$AX$151,$AI19,COLUMN()-COLUMN($J$16)+1)&gt;0,OR($D19="03. UX Discovery",$D19="04. UX Design")),IF(AND($H19&lt;&gt;"",$H19&lt;=EOMONTH(T$12,0),$I19&gt;=T$12),"ALL","PD+UX"),IF(AND($H19&lt;&gt;"",$H19&lt;=EOMONTH(T$12,0),$I19&gt;=T$12),"PD+DEV","PD")),IF(AND(INDEX('Roadmap Calc (Don’t Touch)'!$AA$2:$AX$151,$AI19,COLUMN()-COLUMN($J$16)+1)&gt;0,OR($D19="03. UX Discovery",$D19="04. UX Design")),IF(AND($H19&lt;&gt;"",$H19&lt;=EOMONTH(T$12,0),$I19&gt;=T$12),"UX+DEV","UX"),IF(AND($H19&lt;&gt;"",$H19&lt;=EOMONTH(T$12,0),$I19&gt;=T$12),"DEV",""))))</f>
      </c>
      <c r="U19" s="158" t="str">
        <f>IF($AI19="","",IF(AND($AN19&lt;&gt;"",$AN19&lt;=EOMONTH(U$12,0),$AO19&gt;=U$12),IF(AND(INDEX('Roadmap Calc (Don’t Touch)'!$AA$2:$AX$151,$AI19,COLUMN()-COLUMN($J$16)+1)&gt;0,OR($D19="03. UX Discovery",$D19="04. UX Design")),IF(AND($H19&lt;&gt;"",$H19&lt;=EOMONTH(U$12,0),$I19&gt;=U$12),"ALL","PD+UX"),IF(AND($H19&lt;&gt;"",$H19&lt;=EOMONTH(U$12,0),$I19&gt;=U$12),"PD+DEV","PD")),IF(AND(INDEX('Roadmap Calc (Don’t Touch)'!$AA$2:$AX$151,$AI19,COLUMN()-COLUMN($J$16)+1)&gt;0,OR($D19="03. UX Discovery",$D19="04. UX Design")),IF(AND($H19&lt;&gt;"",$H19&lt;=EOMONTH(U$12,0),$I19&gt;=U$12),"UX+DEV","UX"),IF(AND($H19&lt;&gt;"",$H19&lt;=EOMONTH(U$12,0),$I19&gt;=U$12),"DEV",""))))</f>
      </c>
      <c r="V19" s="158" t="str">
        <f>IF($AI19="","",IF(AND($AN19&lt;&gt;"",$AN19&lt;=EOMONTH(V$12,0),$AO19&gt;=V$12),IF(AND(INDEX('Roadmap Calc (Don’t Touch)'!$AA$2:$AX$151,$AI19,COLUMN()-COLUMN($J$16)+1)&gt;0,OR($D19="03. UX Discovery",$D19="04. UX Design")),IF(AND($H19&lt;&gt;"",$H19&lt;=EOMONTH(V$12,0),$I19&gt;=V$12),"ALL","PD+UX"),IF(AND($H19&lt;&gt;"",$H19&lt;=EOMONTH(V$12,0),$I19&gt;=V$12),"PD+DEV","PD")),IF(AND(INDEX('Roadmap Calc (Don’t Touch)'!$AA$2:$AX$151,$AI19,COLUMN()-COLUMN($J$16)+1)&gt;0,OR($D19="03. UX Discovery",$D19="04. UX Design")),IF(AND($H19&lt;&gt;"",$H19&lt;=EOMONTH(V$12,0),$I19&gt;=V$12),"UX+DEV","UX"),IF(AND($H19&lt;&gt;"",$H19&lt;=EOMONTH(V$12,0),$I19&gt;=V$12),"DEV",""))))</f>
      </c>
      <c r="W19" s="158" t="str">
        <f>IF($AI19="","",IF(AND($AN19&lt;&gt;"",$AN19&lt;=EOMONTH(W$12,0),$AO19&gt;=W$12),IF(AND(INDEX('Roadmap Calc (Don’t Touch)'!$AA$2:$AX$151,$AI19,COLUMN()-COLUMN($J$16)+1)&gt;0,OR($D19="03. UX Discovery",$D19="04. UX Design")),IF(AND($H19&lt;&gt;"",$H19&lt;=EOMONTH(W$12,0),$I19&gt;=W$12),"ALL","PD+UX"),IF(AND($H19&lt;&gt;"",$H19&lt;=EOMONTH(W$12,0),$I19&gt;=W$12),"PD+DEV","PD")),IF(AND(INDEX('Roadmap Calc (Don’t Touch)'!$AA$2:$AX$151,$AI19,COLUMN()-COLUMN($J$16)+1)&gt;0,OR($D19="03. UX Discovery",$D19="04. UX Design")),IF(AND($H19&lt;&gt;"",$H19&lt;=EOMONTH(W$12,0),$I19&gt;=W$12),"UX+DEV","UX"),IF(AND($H19&lt;&gt;"",$H19&lt;=EOMONTH(W$12,0),$I19&gt;=W$12),"DEV",""))))</f>
      </c>
      <c r="X19" s="158" t="str">
        <f>IF($AI19="","",IF(AND($AN19&lt;&gt;"",$AN19&lt;=EOMONTH(X$12,0),$AO19&gt;=X$12),IF(AND(INDEX('Roadmap Calc (Don’t Touch)'!$AA$2:$AX$151,$AI19,COLUMN()-COLUMN($J$16)+1)&gt;0,OR($D19="03. UX Discovery",$D19="04. UX Design")),IF(AND($H19&lt;&gt;"",$H19&lt;=EOMONTH(X$12,0),$I19&gt;=X$12),"ALL","PD+UX"),IF(AND($H19&lt;&gt;"",$H19&lt;=EOMONTH(X$12,0),$I19&gt;=X$12),"PD+DEV","PD")),IF(AND(INDEX('Roadmap Calc (Don’t Touch)'!$AA$2:$AX$151,$AI19,COLUMN()-COLUMN($J$16)+1)&gt;0,OR($D19="03. UX Discovery",$D19="04. UX Design")),IF(AND($H19&lt;&gt;"",$H19&lt;=EOMONTH(X$12,0),$I19&gt;=X$12),"UX+DEV","UX"),IF(AND($H19&lt;&gt;"",$H19&lt;=EOMONTH(X$12,0),$I19&gt;=X$12),"DEV",""))))</f>
      </c>
      <c r="Y19" s="158" t="str">
        <f>IF($AI19="","",IF(AND($AN19&lt;&gt;"",$AN19&lt;=EOMONTH(Y$12,0),$AO19&gt;=Y$12),IF(AND(INDEX('Roadmap Calc (Don’t Touch)'!$AA$2:$AX$151,$AI19,COLUMN()-COLUMN($J$16)+1)&gt;0,OR($D19="03. UX Discovery",$D19="04. UX Design")),IF(AND($H19&lt;&gt;"",$H19&lt;=EOMONTH(Y$12,0),$I19&gt;=Y$12),"ALL","PD+UX"),IF(AND($H19&lt;&gt;"",$H19&lt;=EOMONTH(Y$12,0),$I19&gt;=Y$12),"PD+DEV","PD")),IF(AND(INDEX('Roadmap Calc (Don’t Touch)'!$AA$2:$AX$151,$AI19,COLUMN()-COLUMN($J$16)+1)&gt;0,OR($D19="03. UX Discovery",$D19="04. UX Design")),IF(AND($H19&lt;&gt;"",$H19&lt;=EOMONTH(Y$12,0),$I19&gt;=Y$12),"UX+DEV","UX"),IF(AND($H19&lt;&gt;"",$H19&lt;=EOMONTH(Y$12,0),$I19&gt;=Y$12),"DEV",""))))</f>
      </c>
      <c r="Z19" s="158" t="str">
        <f>IF($AI19="","",IF(AND($AN19&lt;&gt;"",$AN19&lt;=EOMONTH(Z$12,0),$AO19&gt;=Z$12),IF(AND(INDEX('Roadmap Calc (Don’t Touch)'!$AA$2:$AX$151,$AI19,COLUMN()-COLUMN($J$16)+1)&gt;0,OR($D19="03. UX Discovery",$D19="04. UX Design")),IF(AND($H19&lt;&gt;"",$H19&lt;=EOMONTH(Z$12,0),$I19&gt;=Z$12),"ALL","PD+UX"),IF(AND($H19&lt;&gt;"",$H19&lt;=EOMONTH(Z$12,0),$I19&gt;=Z$12),"PD+DEV","PD")),IF(AND(INDEX('Roadmap Calc (Don’t Touch)'!$AA$2:$AX$151,$AI19,COLUMN()-COLUMN($J$16)+1)&gt;0,OR($D19="03. UX Discovery",$D19="04. UX Design")),IF(AND($H19&lt;&gt;"",$H19&lt;=EOMONTH(Z$12,0),$I19&gt;=Z$12),"UX+DEV","UX"),IF(AND($H19&lt;&gt;"",$H19&lt;=EOMONTH(Z$12,0),$I19&gt;=Z$12),"DEV",""))))</f>
      </c>
      <c r="AA19" s="158" t="str">
        <f>IF($AI19="","",IF(AND($AN19&lt;&gt;"",$AN19&lt;=EOMONTH(AA$12,0),$AO19&gt;=AA$12),IF(AND(INDEX('Roadmap Calc (Don’t Touch)'!$AA$2:$AX$151,$AI19,COLUMN()-COLUMN($J$16)+1)&gt;0,OR($D19="03. UX Discovery",$D19="04. UX Design")),IF(AND($H19&lt;&gt;"",$H19&lt;=EOMONTH(AA$12,0),$I19&gt;=AA$12),"ALL","PD+UX"),IF(AND($H19&lt;&gt;"",$H19&lt;=EOMONTH(AA$12,0),$I19&gt;=AA$12),"PD+DEV","PD")),IF(AND(INDEX('Roadmap Calc (Don’t Touch)'!$AA$2:$AX$151,$AI19,COLUMN()-COLUMN($J$16)+1)&gt;0,OR($D19="03. UX Discovery",$D19="04. UX Design")),IF(AND($H19&lt;&gt;"",$H19&lt;=EOMONTH(AA$12,0),$I19&gt;=AA$12),"UX+DEV","UX"),IF(AND($H19&lt;&gt;"",$H19&lt;=EOMONTH(AA$12,0),$I19&gt;=AA$12),"DEV",""))))</f>
      </c>
      <c r="AB19" s="158" t="str">
        <f>IF($AI19="","",IF(AND($AN19&lt;&gt;"",$AN19&lt;=EOMONTH(AB$12,0),$AO19&gt;=AB$12),IF(AND(INDEX('Roadmap Calc (Don’t Touch)'!$AA$2:$AX$151,$AI19,COLUMN()-COLUMN($J$16)+1)&gt;0,OR($D19="03. UX Discovery",$D19="04. UX Design")),IF(AND($H19&lt;&gt;"",$H19&lt;=EOMONTH(AB$12,0),$I19&gt;=AB$12),"ALL","PD+UX"),IF(AND($H19&lt;&gt;"",$H19&lt;=EOMONTH(AB$12,0),$I19&gt;=AB$12),"PD+DEV","PD")),IF(AND(INDEX('Roadmap Calc (Don’t Touch)'!$AA$2:$AX$151,$AI19,COLUMN()-COLUMN($J$16)+1)&gt;0,OR($D19="03. UX Discovery",$D19="04. UX Design")),IF(AND($H19&lt;&gt;"",$H19&lt;=EOMONTH(AB$12,0),$I19&gt;=AB$12),"UX+DEV","UX"),IF(AND($H19&lt;&gt;"",$H19&lt;=EOMONTH(AB$12,0),$I19&gt;=AB$12),"DEV",""))))</f>
      </c>
      <c r="AC19" s="158" t="str">
        <f>IF($AI19="","",IF(AND($AN19&lt;&gt;"",$AN19&lt;=EOMONTH(AC$12,0),$AO19&gt;=AC$12),IF(AND(INDEX('Roadmap Calc (Don’t Touch)'!$AA$2:$AX$151,$AI19,COLUMN()-COLUMN($J$16)+1)&gt;0,OR($D19="03. UX Discovery",$D19="04. UX Design")),IF(AND($H19&lt;&gt;"",$H19&lt;=EOMONTH(AC$12,0),$I19&gt;=AC$12),"ALL","PD+UX"),IF(AND($H19&lt;&gt;"",$H19&lt;=EOMONTH(AC$12,0),$I19&gt;=AC$12),"PD+DEV","PD")),IF(AND(INDEX('Roadmap Calc (Don’t Touch)'!$AA$2:$AX$151,$AI19,COLUMN()-COLUMN($J$16)+1)&gt;0,OR($D19="03. UX Discovery",$D19="04. UX Design")),IF(AND($H19&lt;&gt;"",$H19&lt;=EOMONTH(AC$12,0),$I19&gt;=AC$12),"UX+DEV","UX"),IF(AND($H19&lt;&gt;"",$H19&lt;=EOMONTH(AC$12,0),$I19&gt;=AC$12),"DEV",""))))</f>
      </c>
      <c r="AD19" s="158" t="str">
        <f>IF($AI19="","",IF(AND($AN19&lt;&gt;"",$AN19&lt;=EOMONTH(AD$12,0),$AO19&gt;=AD$12),IF(AND(INDEX('Roadmap Calc (Don’t Touch)'!$AA$2:$AX$151,$AI19,COLUMN()-COLUMN($J$16)+1)&gt;0,OR($D19="03. UX Discovery",$D19="04. UX Design")),IF(AND($H19&lt;&gt;"",$H19&lt;=EOMONTH(AD$12,0),$I19&gt;=AD$12),"ALL","PD+UX"),IF(AND($H19&lt;&gt;"",$H19&lt;=EOMONTH(AD$12,0),$I19&gt;=AD$12),"PD+DEV","PD")),IF(AND(INDEX('Roadmap Calc (Don’t Touch)'!$AA$2:$AX$151,$AI19,COLUMN()-COLUMN($J$16)+1)&gt;0,OR($D19="03. UX Discovery",$D19="04. UX Design")),IF(AND($H19&lt;&gt;"",$H19&lt;=EOMONTH(AD$12,0),$I19&gt;=AD$12),"UX+DEV","UX"),IF(AND($H19&lt;&gt;"",$H19&lt;=EOMONTH(AD$12,0),$I19&gt;=AD$12),"DEV",""))))</f>
      </c>
      <c r="AE19" s="158" t="str">
        <f>IF($AI19="","",IF(AND($AN19&lt;&gt;"",$AN19&lt;=EOMONTH(AE$12,0),$AO19&gt;=AE$12),IF(AND(INDEX('Roadmap Calc (Don’t Touch)'!$AA$2:$AX$151,$AI19,COLUMN()-COLUMN($J$16)+1)&gt;0,OR($D19="03. UX Discovery",$D19="04. UX Design")),IF(AND($H19&lt;&gt;"",$H19&lt;=EOMONTH(AE$12,0),$I19&gt;=AE$12),"ALL","PD+UX"),IF(AND($H19&lt;&gt;"",$H19&lt;=EOMONTH(AE$12,0),$I19&gt;=AE$12),"PD+DEV","PD")),IF(AND(INDEX('Roadmap Calc (Don’t Touch)'!$AA$2:$AX$151,$AI19,COLUMN()-COLUMN($J$16)+1)&gt;0,OR($D19="03. UX Discovery",$D19="04. UX Design")),IF(AND($H19&lt;&gt;"",$H19&lt;=EOMONTH(AE$12,0),$I19&gt;=AE$12),"UX+DEV","UX"),IF(AND($H19&lt;&gt;"",$H19&lt;=EOMONTH(AE$12,0),$I19&gt;=AE$12),"DEV",""))))</f>
      </c>
      <c r="AF19" s="158" t="str">
        <f>IF($AI19="","",IF(AND($AN19&lt;&gt;"",$AN19&lt;=EOMONTH(AF$12,0),$AO19&gt;=AF$12),IF(AND(INDEX('Roadmap Calc (Don’t Touch)'!$AA$2:$AX$151,$AI19,COLUMN()-COLUMN($J$16)+1)&gt;0,OR($D19="03. UX Discovery",$D19="04. UX Design")),IF(AND($H19&lt;&gt;"",$H19&lt;=EOMONTH(AF$12,0),$I19&gt;=AF$12),"ALL","PD+UX"),IF(AND($H19&lt;&gt;"",$H19&lt;=EOMONTH(AF$12,0),$I19&gt;=AF$12),"PD+DEV","PD")),IF(AND(INDEX('Roadmap Calc (Don’t Touch)'!$AA$2:$AX$151,$AI19,COLUMN()-COLUMN($J$16)+1)&gt;0,OR($D19="03. UX Discovery",$D19="04. UX Design")),IF(AND($H19&lt;&gt;"",$H19&lt;=EOMONTH(AF$12,0),$I19&gt;=AF$12),"UX+DEV","UX"),IF(AND($H19&lt;&gt;"",$H19&lt;=EOMONTH(AF$12,0),$I19&gt;=AF$12),"DEV",""))))</f>
      </c>
      <c r="AG19" s="158" t="str">
        <f>IF($AI19="","",IF(AND($AN19&lt;&gt;"",$AN19&lt;=EOMONTH(AG$12,0),$AO19&gt;=AG$12),IF(AND(INDEX('Roadmap Calc (Don’t Touch)'!$AA$2:$AX$151,$AI19,COLUMN()-COLUMN($J$16)+1)&gt;0,OR($D19="03. UX Discovery",$D19="04. UX Design")),IF(AND($H19&lt;&gt;"",$H19&lt;=EOMONTH(AG$12,0),$I19&gt;=AG$12),"ALL","PD+UX"),IF(AND($H19&lt;&gt;"",$H19&lt;=EOMONTH(AG$12,0),$I19&gt;=AG$12),"PD+DEV","PD")),IF(AND(INDEX('Roadmap Calc (Don’t Touch)'!$AA$2:$AX$151,$AI19,COLUMN()-COLUMN($J$16)+1)&gt;0,OR($D19="03. UX Discovery",$D19="04. UX Design")),IF(AND($H19&lt;&gt;"",$H19&lt;=EOMONTH(AG$12,0),$I19&gt;=AG$12),"UX+DEV","UX"),IF(AND($H19&lt;&gt;"",$H19&lt;=EOMONTH(AG$12,0),$I19&gt;=AG$12),"DEV",""))))</f>
      </c>
      <c r="AH19" s="145" t="str">
        <f>IF($AI19="","",INDEX('Roadmap Calc (Don’t Touch)'!$D$2:$D$151,$AI19))</f>
        <v>Increase Trade In Awareness</v>
      </c>
      <c r="AI19" s="145">
        <f>IFERROR(MATCH(4,'Roadmap Calc (Don’t Touch)'!$O$2:$O$151,0),"")</f>
        <v>15</v>
      </c>
      <c r="AJ19" s="145"/>
      <c r="AK19" s="147" t="str">
        <f>IF(COUNTA(Control!E17)=0,"",Control!E17)</f>
        <v/>
      </c>
      <c r="AL19" s="147" t="str">
        <f>IF(COUNTA(Control!B17)=0,"",Control!B17)</f>
        <v>11. UAT</v>
      </c>
      <c r="AM19" s="145"/>
      <c r="AN19">
        <f>IF($AI19="","",IF(ISNUMBER(INDEX('Roadmap Calc (Don’t Touch)'!$BB$2:$BB$151,$AI19)),INDEX('Roadmap Calc (Don’t Touch)'!$BB$2:$BB$151,$AI19),""))</f>
      </c>
      <c r="AO19">
        <f>IF($AI19="","",IF(ISNUMBER(INDEX('Roadmap Calc (Don’t Touch)'!$BC$2:$BC$151,$AI19)),INDEX('Roadmap Calc (Don’t Touch)'!$BC$2:$BC$151,$AI19),""))</f>
      </c>
    </row>
    <row r="20" spans="1:41" ht="20" customHeight="1" x14ac:dyDescent="0.25">
      <c r="A20" s="198" t="str">
        <f>IF($AI20="","",IF($AH20=$AH19,"",IF(INDEX('Roadmap Calc (Don’t Touch)'!$U$2:$U$151,$AI20)=0,$AH20,HYPERLINK("#'Control (Don’t Touch)'!E"&amp;INDEX('Roadmap Calc (Don’t Touch)'!$U$2:$U$151,$AI20),$AH20))))</f>
        <v/>
      </c>
      <c r="B20" s="159" t="str">
        <f>IF($AI20="","",IF(INDEX('Roadmap Calc (Don’t Touch)'!$K$2:$K$151,$AI20)="",INDEX('Roadmap Calc (Don’t Touch)'!$B$2:$B$151,$AI20),HYPERLINK("https://jira.bnh.com/browse/"&amp;INDEX('Roadmap Calc (Don’t Touch)'!$K$2:$K$151,$AI20),INDEX('Roadmap Calc (Don’t Touch)'!$B$2:$B$151,$AI20))))</f>
        <v>B2B &amp; Used Visibility in the Nav</v>
      </c>
      <c r="C20" s="159" t="str">
        <f>IF($AI20="","",IF(INDEX('Roadmap Calc (Don’t Touch)'!$E$2:$E$151,$AI20)="","",HYPERLINK("https://jira.bnh.com/browse/"&amp;INDEX('Roadmap Calc (Don’t Touch)'!$E$2:$E$151,$AI20),INDEX('Roadmap Calc (Don’t Touch)'!$E$2:$E$151,$AI20))))</f>
        <v>BHUX-34378</v>
      </c>
      <c r="D20" s="161" t="str">
        <f>IF($AI20="","",INDEX('Roadmap Calc (Don’t Touch)'!$F$2:$F$151,$AI20))</f>
        <v>04. UX Design</v>
      </c>
      <c r="E20" s="155">
        <f>IF($AI20="","",IF(ISNUMBER(INDEX('Roadmap Calc (Don’t Touch)'!$G$2:$G$151,$AI20)),INDEX('Roadmap Calc (Don’t Touch)'!$G$2:$G$151,$AI20),""))</f>
        <v>46174</v>
      </c>
      <c r="F20" s="155">
        <f>IF($AI20="","",IF(ISNUMBER(INDEX('Roadmap Calc (Don’t Touch)'!$H$2:$H$151,$AI20)),INDEX('Roadmap Calc (Don’t Touch)'!$H$2:$H$151,$AI20),""))</f>
        <v>46293</v>
      </c>
      <c r="G20" s="156">
        <f>IF($AI20="","",INDEX('Roadmap Calc (Don’t Touch)'!$T$2:$T$151,$AI20))</f>
        <v>18</v>
      </c>
      <c r="H20" s="157">
        <f ca="1">IF($AI20="","",IF(ISNUMBER(INDEX('Roadmap Calc (Don’t Touch)'!$I$2:$I$151,$AI20)),INDEX('Roadmap Calc (Don’t Touch)'!$I$2:$I$151,$AI20),""))</f>
        <v>46419</v>
      </c>
      <c r="I20" s="157">
        <f ca="1">IF($AI20="","",IF(ISNUMBER(INDEX('Roadmap Calc (Don’t Touch)'!$J$2:$J$151,$AI20)),INDEX('Roadmap Calc (Don’t Touch)'!$J$2:$J$151,$AI20),""))</f>
        <v>46446</v>
      </c>
      <c r="J20" s="158" t="str">
        <f>IF($AI20="","",IF(AND($AN20&lt;&gt;"",$AN20&lt;=EOMONTH(J$12,0),$AO20&gt;=J$12),IF(AND(INDEX('Roadmap Calc (Don’t Touch)'!$AA$2:$AX$151,$AI20,COLUMN()-COLUMN($J$16)+1)&gt;0,OR($D20="03. UX Discovery",$D20="04. UX Design")),IF(AND($H20&lt;&gt;"",$H20&lt;=EOMONTH(J$12,0),$I20&gt;=J$12),"ALL","PD+UX"),IF(AND($H20&lt;&gt;"",$H20&lt;=EOMONTH(J$12,0),$I20&gt;=J$12),"PD+DEV","PD")),IF(AND(INDEX('Roadmap Calc (Don’t Touch)'!$AA$2:$AX$151,$AI20,COLUMN()-COLUMN($J$16)+1)&gt;0,OR($D20="03. UX Discovery",$D20="04. UX Design")),IF(AND($H20&lt;&gt;"",$H20&lt;=EOMONTH(J$12,0),$I20&gt;=J$12),"UX+DEV","UX"),IF(AND($H20&lt;&gt;"",$H20&lt;=EOMONTH(J$12,0),$I20&gt;=J$12),"DEV",""))))</f>
      </c>
      <c r="K20" s="158" t="str">
        <f>IF($AI20="","",IF(AND($AN20&lt;&gt;"",$AN20&lt;=EOMONTH(K$12,0),$AO20&gt;=K$12),IF(AND(INDEX('Roadmap Calc (Don’t Touch)'!$AA$2:$AX$151,$AI20,COLUMN()-COLUMN($J$16)+1)&gt;0,OR($D20="03. UX Discovery",$D20="04. UX Design")),IF(AND($H20&lt;&gt;"",$H20&lt;=EOMONTH(K$12,0),$I20&gt;=K$12),"ALL","PD+UX"),IF(AND($H20&lt;&gt;"",$H20&lt;=EOMONTH(K$12,0),$I20&gt;=K$12),"PD+DEV","PD")),IF(AND(INDEX('Roadmap Calc (Don’t Touch)'!$AA$2:$AX$151,$AI20,COLUMN()-COLUMN($J$16)+1)&gt;0,OR($D20="03. UX Discovery",$D20="04. UX Design")),IF(AND($H20&lt;&gt;"",$H20&lt;=EOMONTH(K$12,0),$I20&gt;=K$12),"UX+DEV","UX"),IF(AND($H20&lt;&gt;"",$H20&lt;=EOMONTH(K$12,0),$I20&gt;=K$12),"DEV",""))))</f>
      </c>
      <c r="L20" s="158" t="str">
        <f>IF($AI20="","",IF(AND($AN20&lt;&gt;"",$AN20&lt;=EOMONTH(L$12,0),$AO20&gt;=L$12),IF(AND(INDEX('Roadmap Calc (Don’t Touch)'!$AA$2:$AX$151,$AI20,COLUMN()-COLUMN($J$16)+1)&gt;0,OR($D20="03. UX Discovery",$D20="04. UX Design")),IF(AND($H20&lt;&gt;"",$H20&lt;=EOMONTH(L$12,0),$I20&gt;=L$12),"ALL","PD+UX"),IF(AND($H20&lt;&gt;"",$H20&lt;=EOMONTH(L$12,0),$I20&gt;=L$12),"PD+DEV","PD")),IF(AND(INDEX('Roadmap Calc (Don’t Touch)'!$AA$2:$AX$151,$AI20,COLUMN()-COLUMN($J$16)+1)&gt;0,OR($D20="03. UX Discovery",$D20="04. UX Design")),IF(AND($H20&lt;&gt;"",$H20&lt;=EOMONTH(L$12,0),$I20&gt;=L$12),"UX+DEV","UX"),IF(AND($H20&lt;&gt;"",$H20&lt;=EOMONTH(L$12,0),$I20&gt;=L$12),"DEV",""))))</f>
      </c>
      <c r="M20" s="158" t="str">
        <f>IF($AI20="","",IF(AND($AN20&lt;&gt;"",$AN20&lt;=EOMONTH(M$12,0),$AO20&gt;=M$12),IF(AND(INDEX('Roadmap Calc (Don’t Touch)'!$AA$2:$AX$151,$AI20,COLUMN()-COLUMN($J$16)+1)&gt;0,OR($D20="03. UX Discovery",$D20="04. UX Design")),IF(AND($H20&lt;&gt;"",$H20&lt;=EOMONTH(M$12,0),$I20&gt;=M$12),"ALL","PD+UX"),IF(AND($H20&lt;&gt;"",$H20&lt;=EOMONTH(M$12,0),$I20&gt;=M$12),"PD+DEV","PD")),IF(AND(INDEX('Roadmap Calc (Don’t Touch)'!$AA$2:$AX$151,$AI20,COLUMN()-COLUMN($J$16)+1)&gt;0,OR($D20="03. UX Discovery",$D20="04. UX Design")),IF(AND($H20&lt;&gt;"",$H20&lt;=EOMONTH(M$12,0),$I20&gt;=M$12),"UX+DEV","UX"),IF(AND($H20&lt;&gt;"",$H20&lt;=EOMONTH(M$12,0),$I20&gt;=M$12),"DEV",""))))</f>
      </c>
      <c r="N20" s="158" t="str">
        <f>IF($AI20="","",IF(AND($AN20&lt;&gt;"",$AN20&lt;=EOMONTH(N$12,0),$AO20&gt;=N$12),IF(AND(INDEX('Roadmap Calc (Don’t Touch)'!$AA$2:$AX$151,$AI20,COLUMN()-COLUMN($J$16)+1)&gt;0,OR($D20="03. UX Discovery",$D20="04. UX Design")),IF(AND($H20&lt;&gt;"",$H20&lt;=EOMONTH(N$12,0),$I20&gt;=N$12),"ALL","PD+UX"),IF(AND($H20&lt;&gt;"",$H20&lt;=EOMONTH(N$12,0),$I20&gt;=N$12),"PD+DEV","PD")),IF(AND(INDEX('Roadmap Calc (Don’t Touch)'!$AA$2:$AX$151,$AI20,COLUMN()-COLUMN($J$16)+1)&gt;0,OR($D20="03. UX Discovery",$D20="04. UX Design")),IF(AND($H20&lt;&gt;"",$H20&lt;=EOMONTH(N$12,0),$I20&gt;=N$12),"UX+DEV","UX"),IF(AND($H20&lt;&gt;"",$H20&lt;=EOMONTH(N$12,0),$I20&gt;=N$12),"DEV",""))))</f>
      </c>
      <c r="O20" s="158" t="str">
        <f>IF($AI20="","",IF(AND($AN20&lt;&gt;"",$AN20&lt;=EOMONTH(O$12,0),$AO20&gt;=O$12),IF(AND(INDEX('Roadmap Calc (Don’t Touch)'!$AA$2:$AX$151,$AI20,COLUMN()-COLUMN($J$16)+1)&gt;0,OR($D20="03. UX Discovery",$D20="04. UX Design")),IF(AND($H20&lt;&gt;"",$H20&lt;=EOMONTH(O$12,0),$I20&gt;=O$12),"ALL","PD+UX"),IF(AND($H20&lt;&gt;"",$H20&lt;=EOMONTH(O$12,0),$I20&gt;=O$12),"PD+DEV","PD")),IF(AND(INDEX('Roadmap Calc (Don’t Touch)'!$AA$2:$AX$151,$AI20,COLUMN()-COLUMN($J$16)+1)&gt;0,OR($D20="03. UX Discovery",$D20="04. UX Design")),IF(AND($H20&lt;&gt;"",$H20&lt;=EOMONTH(O$12,0),$I20&gt;=O$12),"UX+DEV","UX"),IF(AND($H20&lt;&gt;"",$H20&lt;=EOMONTH(O$12,0),$I20&gt;=O$12),"DEV",""))))</f>
      </c>
      <c r="P20" s="158" t="str">
        <f>IF($AI20="","",IF(AND($AN20&lt;&gt;"",$AN20&lt;=EOMONTH(P$12,0),$AO20&gt;=P$12),IF(AND(INDEX('Roadmap Calc (Don’t Touch)'!$AA$2:$AX$151,$AI20,COLUMN()-COLUMN($J$16)+1)&gt;0,OR($D20="03. UX Discovery",$D20="04. UX Design")),IF(AND($H20&lt;&gt;"",$H20&lt;=EOMONTH(P$12,0),$I20&gt;=P$12),"ALL","PD+UX"),IF(AND($H20&lt;&gt;"",$H20&lt;=EOMONTH(P$12,0),$I20&gt;=P$12),"PD+DEV","PD")),IF(AND(INDEX('Roadmap Calc (Don’t Touch)'!$AA$2:$AX$151,$AI20,COLUMN()-COLUMN($J$16)+1)&gt;0,OR($D20="03. UX Discovery",$D20="04. UX Design")),IF(AND($H20&lt;&gt;"",$H20&lt;=EOMONTH(P$12,0),$I20&gt;=P$12),"UX+DEV","UX"),IF(AND($H20&lt;&gt;"",$H20&lt;=EOMONTH(P$12,0),$I20&gt;=P$12),"DEV",""))))</f>
      </c>
      <c r="Q20" s="158" t="str">
        <f>IF($AI20="","",IF(AND($AN20&lt;&gt;"",$AN20&lt;=EOMONTH(Q$12,0),$AO20&gt;=Q$12),IF(AND(INDEX('Roadmap Calc (Don’t Touch)'!$AA$2:$AX$151,$AI20,COLUMN()-COLUMN($J$16)+1)&gt;0,OR($D20="03. UX Discovery",$D20="04. UX Design")),IF(AND($H20&lt;&gt;"",$H20&lt;=EOMONTH(Q$12,0),$I20&gt;=Q$12),"ALL","PD+UX"),IF(AND($H20&lt;&gt;"",$H20&lt;=EOMONTH(Q$12,0),$I20&gt;=Q$12),"PD+DEV","PD")),IF(AND(INDEX('Roadmap Calc (Don’t Touch)'!$AA$2:$AX$151,$AI20,COLUMN()-COLUMN($J$16)+1)&gt;0,OR($D20="03. UX Discovery",$D20="04. UX Design")),IF(AND($H20&lt;&gt;"",$H20&lt;=EOMONTH(Q$12,0),$I20&gt;=Q$12),"UX+DEV","UX"),IF(AND($H20&lt;&gt;"",$H20&lt;=EOMONTH(Q$12,0),$I20&gt;=Q$12),"DEV",""))))</f>
      </c>
      <c r="R20" s="158" t="str">
        <f>IF($AI20="","",IF(AND($AN20&lt;&gt;"",$AN20&lt;=EOMONTH(R$12,0),$AO20&gt;=R$12),IF(AND(INDEX('Roadmap Calc (Don’t Touch)'!$AA$2:$AX$151,$AI20,COLUMN()-COLUMN($J$16)+1)&gt;0,OR($D20="03. UX Discovery",$D20="04. UX Design")),IF(AND($H20&lt;&gt;"",$H20&lt;=EOMONTH(R$12,0),$I20&gt;=R$12),"ALL","PD+UX"),IF(AND($H20&lt;&gt;"",$H20&lt;=EOMONTH(R$12,0),$I20&gt;=R$12),"PD+DEV","PD")),IF(AND(INDEX('Roadmap Calc (Don’t Touch)'!$AA$2:$AX$151,$AI20,COLUMN()-COLUMN($J$16)+1)&gt;0,OR($D20="03. UX Discovery",$D20="04. UX Design")),IF(AND($H20&lt;&gt;"",$H20&lt;=EOMONTH(R$12,0),$I20&gt;=R$12),"UX+DEV","UX"),IF(AND($H20&lt;&gt;"",$H20&lt;=EOMONTH(R$12,0),$I20&gt;=R$12),"DEV",""))))</f>
      </c>
      <c r="S20" s="158" t="str">
        <f>IF($AI20="","",IF(AND($AN20&lt;&gt;"",$AN20&lt;=EOMONTH(S$12,0),$AO20&gt;=S$12),IF(AND(INDEX('Roadmap Calc (Don’t Touch)'!$AA$2:$AX$151,$AI20,COLUMN()-COLUMN($J$16)+1)&gt;0,OR($D20="03. UX Discovery",$D20="04. UX Design")),IF(AND($H20&lt;&gt;"",$H20&lt;=EOMONTH(S$12,0),$I20&gt;=S$12),"ALL","PD+UX"),IF(AND($H20&lt;&gt;"",$H20&lt;=EOMONTH(S$12,0),$I20&gt;=S$12),"PD+DEV","PD")),IF(AND(INDEX('Roadmap Calc (Don’t Touch)'!$AA$2:$AX$151,$AI20,COLUMN()-COLUMN($J$16)+1)&gt;0,OR($D20="03. UX Discovery",$D20="04. UX Design")),IF(AND($H20&lt;&gt;"",$H20&lt;=EOMONTH(S$12,0),$I20&gt;=S$12),"UX+DEV","UX"),IF(AND($H20&lt;&gt;"",$H20&lt;=EOMONTH(S$12,0),$I20&gt;=S$12),"DEV",""))))</f>
      </c>
      <c r="T20" s="158" t="str">
        <f>IF($AI20="","",IF(AND($AN20&lt;&gt;"",$AN20&lt;=EOMONTH(T$12,0),$AO20&gt;=T$12),IF(AND(INDEX('Roadmap Calc (Don’t Touch)'!$AA$2:$AX$151,$AI20,COLUMN()-COLUMN($J$16)+1)&gt;0,OR($D20="03. UX Discovery",$D20="04. UX Design")),IF(AND($H20&lt;&gt;"",$H20&lt;=EOMONTH(T$12,0),$I20&gt;=T$12),"ALL","PD+UX"),IF(AND($H20&lt;&gt;"",$H20&lt;=EOMONTH(T$12,0),$I20&gt;=T$12),"PD+DEV","PD")),IF(AND(INDEX('Roadmap Calc (Don’t Touch)'!$AA$2:$AX$151,$AI20,COLUMN()-COLUMN($J$16)+1)&gt;0,OR($D20="03. UX Discovery",$D20="04. UX Design")),IF(AND($H20&lt;&gt;"",$H20&lt;=EOMONTH(T$12,0),$I20&gt;=T$12),"UX+DEV","UX"),IF(AND($H20&lt;&gt;"",$H20&lt;=EOMONTH(T$12,0),$I20&gt;=T$12),"DEV",""))))</f>
      </c>
      <c r="U20" s="158" t="str">
        <f>IF($AI20="","",IF(AND($AN20&lt;&gt;"",$AN20&lt;=EOMONTH(U$12,0),$AO20&gt;=U$12),IF(AND(INDEX('Roadmap Calc (Don’t Touch)'!$AA$2:$AX$151,$AI20,COLUMN()-COLUMN($J$16)+1)&gt;0,OR($D20="03. UX Discovery",$D20="04. UX Design")),IF(AND($H20&lt;&gt;"",$H20&lt;=EOMONTH(U$12,0),$I20&gt;=U$12),"ALL","PD+UX"),IF(AND($H20&lt;&gt;"",$H20&lt;=EOMONTH(U$12,0),$I20&gt;=U$12),"PD+DEV","PD")),IF(AND(INDEX('Roadmap Calc (Don’t Touch)'!$AA$2:$AX$151,$AI20,COLUMN()-COLUMN($J$16)+1)&gt;0,OR($D20="03. UX Discovery",$D20="04. UX Design")),IF(AND($H20&lt;&gt;"",$H20&lt;=EOMONTH(U$12,0),$I20&gt;=U$12),"UX+DEV","UX"),IF(AND($H20&lt;&gt;"",$H20&lt;=EOMONTH(U$12,0),$I20&gt;=U$12),"DEV",""))))</f>
      </c>
      <c r="V20" s="158" t="str">
        <f>IF($AI20="","",IF(AND($AN20&lt;&gt;"",$AN20&lt;=EOMONTH(V$12,0),$AO20&gt;=V$12),IF(AND(INDEX('Roadmap Calc (Don’t Touch)'!$AA$2:$AX$151,$AI20,COLUMN()-COLUMN($J$16)+1)&gt;0,OR($D20="03. UX Discovery",$D20="04. UX Design")),IF(AND($H20&lt;&gt;"",$H20&lt;=EOMONTH(V$12,0),$I20&gt;=V$12),"ALL","PD+UX"),IF(AND($H20&lt;&gt;"",$H20&lt;=EOMONTH(V$12,0),$I20&gt;=V$12),"PD+DEV","PD")),IF(AND(INDEX('Roadmap Calc (Don’t Touch)'!$AA$2:$AX$151,$AI20,COLUMN()-COLUMN($J$16)+1)&gt;0,OR($D20="03. UX Discovery",$D20="04. UX Design")),IF(AND($H20&lt;&gt;"",$H20&lt;=EOMONTH(V$12,0),$I20&gt;=V$12),"UX+DEV","UX"),IF(AND($H20&lt;&gt;"",$H20&lt;=EOMONTH(V$12,0),$I20&gt;=V$12),"DEV",""))))</f>
      </c>
      <c r="W20" s="158" t="str">
        <f>IF($AI20="","",IF(AND($AN20&lt;&gt;"",$AN20&lt;=EOMONTH(W$12,0),$AO20&gt;=W$12),IF(AND(INDEX('Roadmap Calc (Don’t Touch)'!$AA$2:$AX$151,$AI20,COLUMN()-COLUMN($J$16)+1)&gt;0,OR($D20="03. UX Discovery",$D20="04. UX Design")),IF(AND($H20&lt;&gt;"",$H20&lt;=EOMONTH(W$12,0),$I20&gt;=W$12),"ALL","PD+UX"),IF(AND($H20&lt;&gt;"",$H20&lt;=EOMONTH(W$12,0),$I20&gt;=W$12),"PD+DEV","PD")),IF(AND(INDEX('Roadmap Calc (Don’t Touch)'!$AA$2:$AX$151,$AI20,COLUMN()-COLUMN($J$16)+1)&gt;0,OR($D20="03. UX Discovery",$D20="04. UX Design")),IF(AND($H20&lt;&gt;"",$H20&lt;=EOMONTH(W$12,0),$I20&gt;=W$12),"UX+DEV","UX"),IF(AND($H20&lt;&gt;"",$H20&lt;=EOMONTH(W$12,0),$I20&gt;=W$12),"DEV",""))))</f>
      </c>
      <c r="X20" s="158" t="str">
        <f>IF($AI20="","",IF(AND($AN20&lt;&gt;"",$AN20&lt;=EOMONTH(X$12,0),$AO20&gt;=X$12),IF(AND(INDEX('Roadmap Calc (Don’t Touch)'!$AA$2:$AX$151,$AI20,COLUMN()-COLUMN($J$16)+1)&gt;0,OR($D20="03. UX Discovery",$D20="04. UX Design")),IF(AND($H20&lt;&gt;"",$H20&lt;=EOMONTH(X$12,0),$I20&gt;=X$12),"ALL","PD+UX"),IF(AND($H20&lt;&gt;"",$H20&lt;=EOMONTH(X$12,0),$I20&gt;=X$12),"PD+DEV","PD")),IF(AND(INDEX('Roadmap Calc (Don’t Touch)'!$AA$2:$AX$151,$AI20,COLUMN()-COLUMN($J$16)+1)&gt;0,OR($D20="03. UX Discovery",$D20="04. UX Design")),IF(AND($H20&lt;&gt;"",$H20&lt;=EOMONTH(X$12,0),$I20&gt;=X$12),"UX+DEV","UX"),IF(AND($H20&lt;&gt;"",$H20&lt;=EOMONTH(X$12,0),$I20&gt;=X$12),"DEV",""))))</f>
      </c>
      <c r="Y20" s="158" t="str">
        <f>IF($AI20="","",IF(AND($AN20&lt;&gt;"",$AN20&lt;=EOMONTH(Y$12,0),$AO20&gt;=Y$12),IF(AND(INDEX('Roadmap Calc (Don’t Touch)'!$AA$2:$AX$151,$AI20,COLUMN()-COLUMN($J$16)+1)&gt;0,OR($D20="03. UX Discovery",$D20="04. UX Design")),IF(AND($H20&lt;&gt;"",$H20&lt;=EOMONTH(Y$12,0),$I20&gt;=Y$12),"ALL","PD+UX"),IF(AND($H20&lt;&gt;"",$H20&lt;=EOMONTH(Y$12,0),$I20&gt;=Y$12),"PD+DEV","PD")),IF(AND(INDEX('Roadmap Calc (Don’t Touch)'!$AA$2:$AX$151,$AI20,COLUMN()-COLUMN($J$16)+1)&gt;0,OR($D20="03. UX Discovery",$D20="04. UX Design")),IF(AND($H20&lt;&gt;"",$H20&lt;=EOMONTH(Y$12,0),$I20&gt;=Y$12),"UX+DEV","UX"),IF(AND($H20&lt;&gt;"",$H20&lt;=EOMONTH(Y$12,0),$I20&gt;=Y$12),"DEV",""))))</f>
      </c>
      <c r="Z20" s="158" t="str">
        <f>IF($AI20="","",IF(AND($AN20&lt;&gt;"",$AN20&lt;=EOMONTH(Z$12,0),$AO20&gt;=Z$12),IF(AND(INDEX('Roadmap Calc (Don’t Touch)'!$AA$2:$AX$151,$AI20,COLUMN()-COLUMN($J$16)+1)&gt;0,OR($D20="03. UX Discovery",$D20="04. UX Design")),IF(AND($H20&lt;&gt;"",$H20&lt;=EOMONTH(Z$12,0),$I20&gt;=Z$12),"ALL","PD+UX"),IF(AND($H20&lt;&gt;"",$H20&lt;=EOMONTH(Z$12,0),$I20&gt;=Z$12),"PD+DEV","PD")),IF(AND(INDEX('Roadmap Calc (Don’t Touch)'!$AA$2:$AX$151,$AI20,COLUMN()-COLUMN($J$16)+1)&gt;0,OR($D20="03. UX Discovery",$D20="04. UX Design")),IF(AND($H20&lt;&gt;"",$H20&lt;=EOMONTH(Z$12,0),$I20&gt;=Z$12),"UX+DEV","UX"),IF(AND($H20&lt;&gt;"",$H20&lt;=EOMONTH(Z$12,0),$I20&gt;=Z$12),"DEV",""))))</f>
      </c>
      <c r="AA20" s="158" t="str">
        <f>IF($AI20="","",IF(AND($AN20&lt;&gt;"",$AN20&lt;=EOMONTH(AA$12,0),$AO20&gt;=AA$12),IF(AND(INDEX('Roadmap Calc (Don’t Touch)'!$AA$2:$AX$151,$AI20,COLUMN()-COLUMN($J$16)+1)&gt;0,OR($D20="03. UX Discovery",$D20="04. UX Design")),IF(AND($H20&lt;&gt;"",$H20&lt;=EOMONTH(AA$12,0),$I20&gt;=AA$12),"ALL","PD+UX"),IF(AND($H20&lt;&gt;"",$H20&lt;=EOMONTH(AA$12,0),$I20&gt;=AA$12),"PD+DEV","PD")),IF(AND(INDEX('Roadmap Calc (Don’t Touch)'!$AA$2:$AX$151,$AI20,COLUMN()-COLUMN($J$16)+1)&gt;0,OR($D20="03. UX Discovery",$D20="04. UX Design")),IF(AND($H20&lt;&gt;"",$H20&lt;=EOMONTH(AA$12,0),$I20&gt;=AA$12),"UX+DEV","UX"),IF(AND($H20&lt;&gt;"",$H20&lt;=EOMONTH(AA$12,0),$I20&gt;=AA$12),"DEV",""))))</f>
      </c>
      <c r="AB20" s="158" t="str">
        <f>IF($AI20="","",IF(AND($AN20&lt;&gt;"",$AN20&lt;=EOMONTH(AB$12,0),$AO20&gt;=AB$12),IF(AND(INDEX('Roadmap Calc (Don’t Touch)'!$AA$2:$AX$151,$AI20,COLUMN()-COLUMN($J$16)+1)&gt;0,OR($D20="03. UX Discovery",$D20="04. UX Design")),IF(AND($H20&lt;&gt;"",$H20&lt;=EOMONTH(AB$12,0),$I20&gt;=AB$12),"ALL","PD+UX"),IF(AND($H20&lt;&gt;"",$H20&lt;=EOMONTH(AB$12,0),$I20&gt;=AB$12),"PD+DEV","PD")),IF(AND(INDEX('Roadmap Calc (Don’t Touch)'!$AA$2:$AX$151,$AI20,COLUMN()-COLUMN($J$16)+1)&gt;0,OR($D20="03. UX Discovery",$D20="04. UX Design")),IF(AND($H20&lt;&gt;"",$H20&lt;=EOMONTH(AB$12,0),$I20&gt;=AB$12),"UX+DEV","UX"),IF(AND($H20&lt;&gt;"",$H20&lt;=EOMONTH(AB$12,0),$I20&gt;=AB$12),"DEV",""))))</f>
      </c>
      <c r="AC20" s="158" t="str">
        <f>IF($AI20="","",IF(AND($AN20&lt;&gt;"",$AN20&lt;=EOMONTH(AC$12,0),$AO20&gt;=AC$12),IF(AND(INDEX('Roadmap Calc (Don’t Touch)'!$AA$2:$AX$151,$AI20,COLUMN()-COLUMN($J$16)+1)&gt;0,OR($D20="03. UX Discovery",$D20="04. UX Design")),IF(AND($H20&lt;&gt;"",$H20&lt;=EOMONTH(AC$12,0),$I20&gt;=AC$12),"ALL","PD+UX"),IF(AND($H20&lt;&gt;"",$H20&lt;=EOMONTH(AC$12,0),$I20&gt;=AC$12),"PD+DEV","PD")),IF(AND(INDEX('Roadmap Calc (Don’t Touch)'!$AA$2:$AX$151,$AI20,COLUMN()-COLUMN($J$16)+1)&gt;0,OR($D20="03. UX Discovery",$D20="04. UX Design")),IF(AND($H20&lt;&gt;"",$H20&lt;=EOMONTH(AC$12,0),$I20&gt;=AC$12),"UX+DEV","UX"),IF(AND($H20&lt;&gt;"",$H20&lt;=EOMONTH(AC$12,0),$I20&gt;=AC$12),"DEV",""))))</f>
      </c>
      <c r="AD20" s="158" t="str">
        <f>IF($AI20="","",IF(AND($AN20&lt;&gt;"",$AN20&lt;=EOMONTH(AD$12,0),$AO20&gt;=AD$12),IF(AND(INDEX('Roadmap Calc (Don’t Touch)'!$AA$2:$AX$151,$AI20,COLUMN()-COLUMN($J$16)+1)&gt;0,OR($D20="03. UX Discovery",$D20="04. UX Design")),IF(AND($H20&lt;&gt;"",$H20&lt;=EOMONTH(AD$12,0),$I20&gt;=AD$12),"ALL","PD+UX"),IF(AND($H20&lt;&gt;"",$H20&lt;=EOMONTH(AD$12,0),$I20&gt;=AD$12),"PD+DEV","PD")),IF(AND(INDEX('Roadmap Calc (Don’t Touch)'!$AA$2:$AX$151,$AI20,COLUMN()-COLUMN($J$16)+1)&gt;0,OR($D20="03. UX Discovery",$D20="04. UX Design")),IF(AND($H20&lt;&gt;"",$H20&lt;=EOMONTH(AD$12,0),$I20&gt;=AD$12),"UX+DEV","UX"),IF(AND($H20&lt;&gt;"",$H20&lt;=EOMONTH(AD$12,0),$I20&gt;=AD$12),"DEV",""))))</f>
      </c>
      <c r="AE20" s="158" t="str">
        <f>IF($AI20="","",IF(AND($AN20&lt;&gt;"",$AN20&lt;=EOMONTH(AE$12,0),$AO20&gt;=AE$12),IF(AND(INDEX('Roadmap Calc (Don’t Touch)'!$AA$2:$AX$151,$AI20,COLUMN()-COLUMN($J$16)+1)&gt;0,OR($D20="03. UX Discovery",$D20="04. UX Design")),IF(AND($H20&lt;&gt;"",$H20&lt;=EOMONTH(AE$12,0),$I20&gt;=AE$12),"ALL","PD+UX"),IF(AND($H20&lt;&gt;"",$H20&lt;=EOMONTH(AE$12,0),$I20&gt;=AE$12),"PD+DEV","PD")),IF(AND(INDEX('Roadmap Calc (Don’t Touch)'!$AA$2:$AX$151,$AI20,COLUMN()-COLUMN($J$16)+1)&gt;0,OR($D20="03. UX Discovery",$D20="04. UX Design")),IF(AND($H20&lt;&gt;"",$H20&lt;=EOMONTH(AE$12,0),$I20&gt;=AE$12),"UX+DEV","UX"),IF(AND($H20&lt;&gt;"",$H20&lt;=EOMONTH(AE$12,0),$I20&gt;=AE$12),"DEV",""))))</f>
      </c>
      <c r="AF20" s="158" t="str">
        <f>IF($AI20="","",IF(AND($AN20&lt;&gt;"",$AN20&lt;=EOMONTH(AF$12,0),$AO20&gt;=AF$12),IF(AND(INDEX('Roadmap Calc (Don’t Touch)'!$AA$2:$AX$151,$AI20,COLUMN()-COLUMN($J$16)+1)&gt;0,OR($D20="03. UX Discovery",$D20="04. UX Design")),IF(AND($H20&lt;&gt;"",$H20&lt;=EOMONTH(AF$12,0),$I20&gt;=AF$12),"ALL","PD+UX"),IF(AND($H20&lt;&gt;"",$H20&lt;=EOMONTH(AF$12,0),$I20&gt;=AF$12),"PD+DEV","PD")),IF(AND(INDEX('Roadmap Calc (Don’t Touch)'!$AA$2:$AX$151,$AI20,COLUMN()-COLUMN($J$16)+1)&gt;0,OR($D20="03. UX Discovery",$D20="04. UX Design")),IF(AND($H20&lt;&gt;"",$H20&lt;=EOMONTH(AF$12,0),$I20&gt;=AF$12),"UX+DEV","UX"),IF(AND($H20&lt;&gt;"",$H20&lt;=EOMONTH(AF$12,0),$I20&gt;=AF$12),"DEV",""))))</f>
      </c>
      <c r="AG20" s="158" t="str">
        <f>IF($AI20="","",IF(AND($AN20&lt;&gt;"",$AN20&lt;=EOMONTH(AG$12,0),$AO20&gt;=AG$12),IF(AND(INDEX('Roadmap Calc (Don’t Touch)'!$AA$2:$AX$151,$AI20,COLUMN()-COLUMN($J$16)+1)&gt;0,OR($D20="03. UX Discovery",$D20="04. UX Design")),IF(AND($H20&lt;&gt;"",$H20&lt;=EOMONTH(AG$12,0),$I20&gt;=AG$12),"ALL","PD+UX"),IF(AND($H20&lt;&gt;"",$H20&lt;=EOMONTH(AG$12,0),$I20&gt;=AG$12),"PD+DEV","PD")),IF(AND(INDEX('Roadmap Calc (Don’t Touch)'!$AA$2:$AX$151,$AI20,COLUMN()-COLUMN($J$16)+1)&gt;0,OR($D20="03. UX Discovery",$D20="04. UX Design")),IF(AND($H20&lt;&gt;"",$H20&lt;=EOMONTH(AG$12,0),$I20&gt;=AG$12),"UX+DEV","UX"),IF(AND($H20&lt;&gt;"",$H20&lt;=EOMONTH(AG$12,0),$I20&gt;=AG$12),"DEV",""))))</f>
      </c>
      <c r="AH20" s="145" t="str">
        <f>IF($AI20="","",INDEX('Roadmap Calc (Don’t Touch)'!$D$2:$D$151,$AI20))</f>
        <v>Increase Trade In Awareness</v>
      </c>
      <c r="AI20" s="145">
        <f>IFERROR(MATCH(5,'Roadmap Calc (Don’t Touch)'!$O$2:$O$151,0),"")</f>
        <v>26</v>
      </c>
      <c r="AJ20" s="145"/>
      <c r="AK20" s="147" t="str">
        <f>IF(COUNTA(Control!E18)=0,"",Control!E18)</f>
        <v/>
      </c>
      <c r="AL20" s="147" t="str">
        <f>IF(COUNTA(Control!B18)=0,"",Control!B18)</f>
        <v>12. Release</v>
      </c>
      <c r="AM20" s="145"/>
      <c r="AN20">
        <f>IF($AI20="","",IF(ISNUMBER(INDEX('Roadmap Calc (Don’t Touch)'!$BB$2:$BB$151,$AI20)),INDEX('Roadmap Calc (Don’t Touch)'!$BB$2:$BB$151,$AI20),""))</f>
      </c>
      <c r="AO20">
        <f>IF($AI20="","",IF(ISNUMBER(INDEX('Roadmap Calc (Don’t Touch)'!$BC$2:$BC$151,$AI20)),INDEX('Roadmap Calc (Don’t Touch)'!$BC$2:$BC$151,$AI20),""))</f>
      </c>
    </row>
    <row r="21" spans="1:41" ht="20" customHeight="1" x14ac:dyDescent="0.25">
      <c r="A21" s="198" t="str">
        <f>IF($AI21="","",IF($AH21=$AH20,"",IF(INDEX('Roadmap Calc (Don’t Touch)'!$U$2:$U$151,$AI21)=0,$AH21,HYPERLINK("#'Control (Don’t Touch)'!E"&amp;INDEX('Roadmap Calc (Don’t Touch)'!$U$2:$U$151,$AI21),$AH21))))</f>
        <v/>
      </c>
      <c r="B21" s="159" t="str">
        <f>IF($AI21="","",IF(INDEX('Roadmap Calc (Don’t Touch)'!$K$2:$K$151,$AI21)="",INDEX('Roadmap Calc (Don’t Touch)'!$B$2:$B$151,$AI21),HYPERLINK("https://jira.bnh.com/browse/"&amp;INDEX('Roadmap Calc (Don’t Touch)'!$K$2:$K$151,$AI21),INDEX('Roadmap Calc (Don’t Touch)'!$B$2:$B$151,$AI21))))</f>
        <v>PDP Purchased in 20XX, Trade In Value is $YYY.YY</v>
      </c>
      <c r="C21" s="159" t="str">
        <f>IF($AI21="","",IF(INDEX('Roadmap Calc (Don’t Touch)'!$E$2:$E$151,$AI21)="","",HYPERLINK("https://jira.bnh.com/browse/"&amp;INDEX('Roadmap Calc (Don’t Touch)'!$E$2:$E$151,$AI21),INDEX('Roadmap Calc (Don’t Touch)'!$E$2:$E$151,$AI21))))</f>
        <v>BHUX-35309</v>
      </c>
      <c r="D21" s="161" t="str">
        <f>IF($AI21="","",INDEX('Roadmap Calc (Don’t Touch)'!$F$2:$F$151,$AI21))</f>
        <v>06. Architecture</v>
      </c>
      <c r="E21" s="155">
        <f>IF($AI21="","",IF(ISNUMBER(INDEX('Roadmap Calc (Don’t Touch)'!$G$2:$G$151,$AI21)),INDEX('Roadmap Calc (Don’t Touch)'!$G$2:$G$151,$AI21),""))</f>
        <v>46251</v>
      </c>
      <c r="F21" s="155">
        <f>IF($AI21="","",IF(ISNUMBER(INDEX('Roadmap Calc (Don’t Touch)'!$H$2:$H$151,$AI21)),INDEX('Roadmap Calc (Don’t Touch)'!$H$2:$H$151,$AI21),""))</f>
        <v>46251</v>
      </c>
      <c r="G21" s="156">
        <f>IF($AI21="","",INDEX('Roadmap Calc (Don’t Touch)'!$T$2:$T$151,$AI21))</f>
        <v>1</v>
      </c>
      <c r="H21" s="157">
        <f ca="1">IF($AI21="","",IF(ISNUMBER(INDEX('Roadmap Calc (Don’t Touch)'!$I$2:$I$151,$AI21)),INDEX('Roadmap Calc (Don’t Touch)'!$I$2:$I$151,$AI21),""))</f>
        <v>46296</v>
      </c>
      <c r="I21" s="157">
        <f ca="1">IF($AI21="","",IF(ISNUMBER(INDEX('Roadmap Calc (Don’t Touch)'!$J$2:$J$151,$AI21)),INDEX('Roadmap Calc (Don’t Touch)'!$J$2:$J$151,$AI21),""))</f>
        <v>46326</v>
      </c>
      <c r="J21" s="158" t="str">
        <f>IF($AI21="","",IF(AND($AN21&lt;&gt;"",$AN21&lt;=EOMONTH(J$12,0),$AO21&gt;=J$12),IF(AND(INDEX('Roadmap Calc (Don’t Touch)'!$AA$2:$AX$151,$AI21,COLUMN()-COLUMN($J$16)+1)&gt;0,OR($D21="03. UX Discovery",$D21="04. UX Design")),IF(AND($H21&lt;&gt;"",$H21&lt;=EOMONTH(J$12,0),$I21&gt;=J$12),"ALL","PD+UX"),IF(AND($H21&lt;&gt;"",$H21&lt;=EOMONTH(J$12,0),$I21&gt;=J$12),"PD+DEV","PD")),IF(AND(INDEX('Roadmap Calc (Don’t Touch)'!$AA$2:$AX$151,$AI21,COLUMN()-COLUMN($J$16)+1)&gt;0,OR($D21="03. UX Discovery",$D21="04. UX Design")),IF(AND($H21&lt;&gt;"",$H21&lt;=EOMONTH(J$12,0),$I21&gt;=J$12),"UX+DEV","UX"),IF(AND($H21&lt;&gt;"",$H21&lt;=EOMONTH(J$12,0),$I21&gt;=J$12),"DEV",""))))</f>
      </c>
      <c r="K21" s="158" t="str">
        <f>IF($AI21="","",IF(AND($AN21&lt;&gt;"",$AN21&lt;=EOMONTH(K$12,0),$AO21&gt;=K$12),IF(AND(INDEX('Roadmap Calc (Don’t Touch)'!$AA$2:$AX$151,$AI21,COLUMN()-COLUMN($J$16)+1)&gt;0,OR($D21="03. UX Discovery",$D21="04. UX Design")),IF(AND($H21&lt;&gt;"",$H21&lt;=EOMONTH(K$12,0),$I21&gt;=K$12),"ALL","PD+UX"),IF(AND($H21&lt;&gt;"",$H21&lt;=EOMONTH(K$12,0),$I21&gt;=K$12),"PD+DEV","PD")),IF(AND(INDEX('Roadmap Calc (Don’t Touch)'!$AA$2:$AX$151,$AI21,COLUMN()-COLUMN($J$16)+1)&gt;0,OR($D21="03. UX Discovery",$D21="04. UX Design")),IF(AND($H21&lt;&gt;"",$H21&lt;=EOMONTH(K$12,0),$I21&gt;=K$12),"UX+DEV","UX"),IF(AND($H21&lt;&gt;"",$H21&lt;=EOMONTH(K$12,0),$I21&gt;=K$12),"DEV",""))))</f>
      </c>
      <c r="L21" s="158" t="str">
        <f>IF($AI21="","",IF(AND($AN21&lt;&gt;"",$AN21&lt;=EOMONTH(L$12,0),$AO21&gt;=L$12),IF(AND(INDEX('Roadmap Calc (Don’t Touch)'!$AA$2:$AX$151,$AI21,COLUMN()-COLUMN($J$16)+1)&gt;0,OR($D21="03. UX Discovery",$D21="04. UX Design")),IF(AND($H21&lt;&gt;"",$H21&lt;=EOMONTH(L$12,0),$I21&gt;=L$12),"ALL","PD+UX"),IF(AND($H21&lt;&gt;"",$H21&lt;=EOMONTH(L$12,0),$I21&gt;=L$12),"PD+DEV","PD")),IF(AND(INDEX('Roadmap Calc (Don’t Touch)'!$AA$2:$AX$151,$AI21,COLUMN()-COLUMN($J$16)+1)&gt;0,OR($D21="03. UX Discovery",$D21="04. UX Design")),IF(AND($H21&lt;&gt;"",$H21&lt;=EOMONTH(L$12,0),$I21&gt;=L$12),"UX+DEV","UX"),IF(AND($H21&lt;&gt;"",$H21&lt;=EOMONTH(L$12,0),$I21&gt;=L$12),"DEV",""))))</f>
      </c>
      <c r="M21" s="158" t="str">
        <f>IF($AI21="","",IF(AND($AN21&lt;&gt;"",$AN21&lt;=EOMONTH(M$12,0),$AO21&gt;=M$12),IF(AND(INDEX('Roadmap Calc (Don’t Touch)'!$AA$2:$AX$151,$AI21,COLUMN()-COLUMN($J$16)+1)&gt;0,OR($D21="03. UX Discovery",$D21="04. UX Design")),IF(AND($H21&lt;&gt;"",$H21&lt;=EOMONTH(M$12,0),$I21&gt;=M$12),"ALL","PD+UX"),IF(AND($H21&lt;&gt;"",$H21&lt;=EOMONTH(M$12,0),$I21&gt;=M$12),"PD+DEV","PD")),IF(AND(INDEX('Roadmap Calc (Don’t Touch)'!$AA$2:$AX$151,$AI21,COLUMN()-COLUMN($J$16)+1)&gt;0,OR($D21="03. UX Discovery",$D21="04. UX Design")),IF(AND($H21&lt;&gt;"",$H21&lt;=EOMONTH(M$12,0),$I21&gt;=M$12),"UX+DEV","UX"),IF(AND($H21&lt;&gt;"",$H21&lt;=EOMONTH(M$12,0),$I21&gt;=M$12),"DEV",""))))</f>
      </c>
      <c r="N21" s="158" t="str">
        <f>IF($AI21="","",IF(AND($AN21&lt;&gt;"",$AN21&lt;=EOMONTH(N$12,0),$AO21&gt;=N$12),IF(AND(INDEX('Roadmap Calc (Don’t Touch)'!$AA$2:$AX$151,$AI21,COLUMN()-COLUMN($J$16)+1)&gt;0,OR($D21="03. UX Discovery",$D21="04. UX Design")),IF(AND($H21&lt;&gt;"",$H21&lt;=EOMONTH(N$12,0),$I21&gt;=N$12),"ALL","PD+UX"),IF(AND($H21&lt;&gt;"",$H21&lt;=EOMONTH(N$12,0),$I21&gt;=N$12),"PD+DEV","PD")),IF(AND(INDEX('Roadmap Calc (Don’t Touch)'!$AA$2:$AX$151,$AI21,COLUMN()-COLUMN($J$16)+1)&gt;0,OR($D21="03. UX Discovery",$D21="04. UX Design")),IF(AND($H21&lt;&gt;"",$H21&lt;=EOMONTH(N$12,0),$I21&gt;=N$12),"UX+DEV","UX"),IF(AND($H21&lt;&gt;"",$H21&lt;=EOMONTH(N$12,0),$I21&gt;=N$12),"DEV",""))))</f>
      </c>
      <c r="O21" s="158" t="str">
        <f>IF($AI21="","",IF(AND($AN21&lt;&gt;"",$AN21&lt;=EOMONTH(O$12,0),$AO21&gt;=O$12),IF(AND(INDEX('Roadmap Calc (Don’t Touch)'!$AA$2:$AX$151,$AI21,COLUMN()-COLUMN($J$16)+1)&gt;0,OR($D21="03. UX Discovery",$D21="04. UX Design")),IF(AND($H21&lt;&gt;"",$H21&lt;=EOMONTH(O$12,0),$I21&gt;=O$12),"ALL","PD+UX"),IF(AND($H21&lt;&gt;"",$H21&lt;=EOMONTH(O$12,0),$I21&gt;=O$12),"PD+DEV","PD")),IF(AND(INDEX('Roadmap Calc (Don’t Touch)'!$AA$2:$AX$151,$AI21,COLUMN()-COLUMN($J$16)+1)&gt;0,OR($D21="03. UX Discovery",$D21="04. UX Design")),IF(AND($H21&lt;&gt;"",$H21&lt;=EOMONTH(O$12,0),$I21&gt;=O$12),"UX+DEV","UX"),IF(AND($H21&lt;&gt;"",$H21&lt;=EOMONTH(O$12,0),$I21&gt;=O$12),"DEV",""))))</f>
      </c>
      <c r="P21" s="158" t="str">
        <f>IF($AI21="","",IF(AND($AN21&lt;&gt;"",$AN21&lt;=EOMONTH(P$12,0),$AO21&gt;=P$12),IF(AND(INDEX('Roadmap Calc (Don’t Touch)'!$AA$2:$AX$151,$AI21,COLUMN()-COLUMN($J$16)+1)&gt;0,OR($D21="03. UX Discovery",$D21="04. UX Design")),IF(AND($H21&lt;&gt;"",$H21&lt;=EOMONTH(P$12,0),$I21&gt;=P$12),"ALL","PD+UX"),IF(AND($H21&lt;&gt;"",$H21&lt;=EOMONTH(P$12,0),$I21&gt;=P$12),"PD+DEV","PD")),IF(AND(INDEX('Roadmap Calc (Don’t Touch)'!$AA$2:$AX$151,$AI21,COLUMN()-COLUMN($J$16)+1)&gt;0,OR($D21="03. UX Discovery",$D21="04. UX Design")),IF(AND($H21&lt;&gt;"",$H21&lt;=EOMONTH(P$12,0),$I21&gt;=P$12),"UX+DEV","UX"),IF(AND($H21&lt;&gt;"",$H21&lt;=EOMONTH(P$12,0),$I21&gt;=P$12),"DEV",""))))</f>
      </c>
      <c r="Q21" s="158" t="str">
        <f>IF($AI21="","",IF(AND($AN21&lt;&gt;"",$AN21&lt;=EOMONTH(Q$12,0),$AO21&gt;=Q$12),IF(AND(INDEX('Roadmap Calc (Don’t Touch)'!$AA$2:$AX$151,$AI21,COLUMN()-COLUMN($J$16)+1)&gt;0,OR($D21="03. UX Discovery",$D21="04. UX Design")),IF(AND($H21&lt;&gt;"",$H21&lt;=EOMONTH(Q$12,0),$I21&gt;=Q$12),"ALL","PD+UX"),IF(AND($H21&lt;&gt;"",$H21&lt;=EOMONTH(Q$12,0),$I21&gt;=Q$12),"PD+DEV","PD")),IF(AND(INDEX('Roadmap Calc (Don’t Touch)'!$AA$2:$AX$151,$AI21,COLUMN()-COLUMN($J$16)+1)&gt;0,OR($D21="03. UX Discovery",$D21="04. UX Design")),IF(AND($H21&lt;&gt;"",$H21&lt;=EOMONTH(Q$12,0),$I21&gt;=Q$12),"UX+DEV","UX"),IF(AND($H21&lt;&gt;"",$H21&lt;=EOMONTH(Q$12,0),$I21&gt;=Q$12),"DEV",""))))</f>
      </c>
      <c r="R21" s="158" t="str">
        <f>IF($AI21="","",IF(AND($AN21&lt;&gt;"",$AN21&lt;=EOMONTH(R$12,0),$AO21&gt;=R$12),IF(AND(INDEX('Roadmap Calc (Don’t Touch)'!$AA$2:$AX$151,$AI21,COLUMN()-COLUMN($J$16)+1)&gt;0,OR($D21="03. UX Discovery",$D21="04. UX Design")),IF(AND($H21&lt;&gt;"",$H21&lt;=EOMONTH(R$12,0),$I21&gt;=R$12),"ALL","PD+UX"),IF(AND($H21&lt;&gt;"",$H21&lt;=EOMONTH(R$12,0),$I21&gt;=R$12),"PD+DEV","PD")),IF(AND(INDEX('Roadmap Calc (Don’t Touch)'!$AA$2:$AX$151,$AI21,COLUMN()-COLUMN($J$16)+1)&gt;0,OR($D21="03. UX Discovery",$D21="04. UX Design")),IF(AND($H21&lt;&gt;"",$H21&lt;=EOMONTH(R$12,0),$I21&gt;=R$12),"UX+DEV","UX"),IF(AND($H21&lt;&gt;"",$H21&lt;=EOMONTH(R$12,0),$I21&gt;=R$12),"DEV",""))))</f>
      </c>
      <c r="S21" s="158" t="str">
        <f>IF($AI21="","",IF(AND($AN21&lt;&gt;"",$AN21&lt;=EOMONTH(S$12,0),$AO21&gt;=S$12),IF(AND(INDEX('Roadmap Calc (Don’t Touch)'!$AA$2:$AX$151,$AI21,COLUMN()-COLUMN($J$16)+1)&gt;0,OR($D21="03. UX Discovery",$D21="04. UX Design")),IF(AND($H21&lt;&gt;"",$H21&lt;=EOMONTH(S$12,0),$I21&gt;=S$12),"ALL","PD+UX"),IF(AND($H21&lt;&gt;"",$H21&lt;=EOMONTH(S$12,0),$I21&gt;=S$12),"PD+DEV","PD")),IF(AND(INDEX('Roadmap Calc (Don’t Touch)'!$AA$2:$AX$151,$AI21,COLUMN()-COLUMN($J$16)+1)&gt;0,OR($D21="03. UX Discovery",$D21="04. UX Design")),IF(AND($H21&lt;&gt;"",$H21&lt;=EOMONTH(S$12,0),$I21&gt;=S$12),"UX+DEV","UX"),IF(AND($H21&lt;&gt;"",$H21&lt;=EOMONTH(S$12,0),$I21&gt;=S$12),"DEV",""))))</f>
      </c>
      <c r="T21" s="158" t="str">
        <f>IF($AI21="","",IF(AND($AN21&lt;&gt;"",$AN21&lt;=EOMONTH(T$12,0),$AO21&gt;=T$12),IF(AND(INDEX('Roadmap Calc (Don’t Touch)'!$AA$2:$AX$151,$AI21,COLUMN()-COLUMN($J$16)+1)&gt;0,OR($D21="03. UX Discovery",$D21="04. UX Design")),IF(AND($H21&lt;&gt;"",$H21&lt;=EOMONTH(T$12,0),$I21&gt;=T$12),"ALL","PD+UX"),IF(AND($H21&lt;&gt;"",$H21&lt;=EOMONTH(T$12,0),$I21&gt;=T$12),"PD+DEV","PD")),IF(AND(INDEX('Roadmap Calc (Don’t Touch)'!$AA$2:$AX$151,$AI21,COLUMN()-COLUMN($J$16)+1)&gt;0,OR($D21="03. UX Discovery",$D21="04. UX Design")),IF(AND($H21&lt;&gt;"",$H21&lt;=EOMONTH(T$12,0),$I21&gt;=T$12),"UX+DEV","UX"),IF(AND($H21&lt;&gt;"",$H21&lt;=EOMONTH(T$12,0),$I21&gt;=T$12),"DEV",""))))</f>
      </c>
      <c r="U21" s="158" t="str">
        <f>IF($AI21="","",IF(AND($AN21&lt;&gt;"",$AN21&lt;=EOMONTH(U$12,0),$AO21&gt;=U$12),IF(AND(INDEX('Roadmap Calc (Don’t Touch)'!$AA$2:$AX$151,$AI21,COLUMN()-COLUMN($J$16)+1)&gt;0,OR($D21="03. UX Discovery",$D21="04. UX Design")),IF(AND($H21&lt;&gt;"",$H21&lt;=EOMONTH(U$12,0),$I21&gt;=U$12),"ALL","PD+UX"),IF(AND($H21&lt;&gt;"",$H21&lt;=EOMONTH(U$12,0),$I21&gt;=U$12),"PD+DEV","PD")),IF(AND(INDEX('Roadmap Calc (Don’t Touch)'!$AA$2:$AX$151,$AI21,COLUMN()-COLUMN($J$16)+1)&gt;0,OR($D21="03. UX Discovery",$D21="04. UX Design")),IF(AND($H21&lt;&gt;"",$H21&lt;=EOMONTH(U$12,0),$I21&gt;=U$12),"UX+DEV","UX"),IF(AND($H21&lt;&gt;"",$H21&lt;=EOMONTH(U$12,0),$I21&gt;=U$12),"DEV",""))))</f>
      </c>
      <c r="V21" s="158" t="str">
        <f>IF($AI21="","",IF(AND($AN21&lt;&gt;"",$AN21&lt;=EOMONTH(V$12,0),$AO21&gt;=V$12),IF(AND(INDEX('Roadmap Calc (Don’t Touch)'!$AA$2:$AX$151,$AI21,COLUMN()-COLUMN($J$16)+1)&gt;0,OR($D21="03. UX Discovery",$D21="04. UX Design")),IF(AND($H21&lt;&gt;"",$H21&lt;=EOMONTH(V$12,0),$I21&gt;=V$12),"ALL","PD+UX"),IF(AND($H21&lt;&gt;"",$H21&lt;=EOMONTH(V$12,0),$I21&gt;=V$12),"PD+DEV","PD")),IF(AND(INDEX('Roadmap Calc (Don’t Touch)'!$AA$2:$AX$151,$AI21,COLUMN()-COLUMN($J$16)+1)&gt;0,OR($D21="03. UX Discovery",$D21="04. UX Design")),IF(AND($H21&lt;&gt;"",$H21&lt;=EOMONTH(V$12,0),$I21&gt;=V$12),"UX+DEV","UX"),IF(AND($H21&lt;&gt;"",$H21&lt;=EOMONTH(V$12,0),$I21&gt;=V$12),"DEV",""))))</f>
      </c>
      <c r="W21" s="158" t="str">
        <f>IF($AI21="","",IF(AND($AN21&lt;&gt;"",$AN21&lt;=EOMONTH(W$12,0),$AO21&gt;=W$12),IF(AND(INDEX('Roadmap Calc (Don’t Touch)'!$AA$2:$AX$151,$AI21,COLUMN()-COLUMN($J$16)+1)&gt;0,OR($D21="03. UX Discovery",$D21="04. UX Design")),IF(AND($H21&lt;&gt;"",$H21&lt;=EOMONTH(W$12,0),$I21&gt;=W$12),"ALL","PD+UX"),IF(AND($H21&lt;&gt;"",$H21&lt;=EOMONTH(W$12,0),$I21&gt;=W$12),"PD+DEV","PD")),IF(AND(INDEX('Roadmap Calc (Don’t Touch)'!$AA$2:$AX$151,$AI21,COLUMN()-COLUMN($J$16)+1)&gt;0,OR($D21="03. UX Discovery",$D21="04. UX Design")),IF(AND($H21&lt;&gt;"",$H21&lt;=EOMONTH(W$12,0),$I21&gt;=W$12),"UX+DEV","UX"),IF(AND($H21&lt;&gt;"",$H21&lt;=EOMONTH(W$12,0),$I21&gt;=W$12),"DEV",""))))</f>
      </c>
      <c r="X21" s="158" t="str">
        <f>IF($AI21="","",IF(AND($AN21&lt;&gt;"",$AN21&lt;=EOMONTH(X$12,0),$AO21&gt;=X$12),IF(AND(INDEX('Roadmap Calc (Don’t Touch)'!$AA$2:$AX$151,$AI21,COLUMN()-COLUMN($J$16)+1)&gt;0,OR($D21="03. UX Discovery",$D21="04. UX Design")),IF(AND($H21&lt;&gt;"",$H21&lt;=EOMONTH(X$12,0),$I21&gt;=X$12),"ALL","PD+UX"),IF(AND($H21&lt;&gt;"",$H21&lt;=EOMONTH(X$12,0),$I21&gt;=X$12),"PD+DEV","PD")),IF(AND(INDEX('Roadmap Calc (Don’t Touch)'!$AA$2:$AX$151,$AI21,COLUMN()-COLUMN($J$16)+1)&gt;0,OR($D21="03. UX Discovery",$D21="04. UX Design")),IF(AND($H21&lt;&gt;"",$H21&lt;=EOMONTH(X$12,0),$I21&gt;=X$12),"UX+DEV","UX"),IF(AND($H21&lt;&gt;"",$H21&lt;=EOMONTH(X$12,0),$I21&gt;=X$12),"DEV",""))))</f>
      </c>
      <c r="Y21" s="158" t="str">
        <f>IF($AI21="","",IF(AND($AN21&lt;&gt;"",$AN21&lt;=EOMONTH(Y$12,0),$AO21&gt;=Y$12),IF(AND(INDEX('Roadmap Calc (Don’t Touch)'!$AA$2:$AX$151,$AI21,COLUMN()-COLUMN($J$16)+1)&gt;0,OR($D21="03. UX Discovery",$D21="04. UX Design")),IF(AND($H21&lt;&gt;"",$H21&lt;=EOMONTH(Y$12,0),$I21&gt;=Y$12),"ALL","PD+UX"),IF(AND($H21&lt;&gt;"",$H21&lt;=EOMONTH(Y$12,0),$I21&gt;=Y$12),"PD+DEV","PD")),IF(AND(INDEX('Roadmap Calc (Don’t Touch)'!$AA$2:$AX$151,$AI21,COLUMN()-COLUMN($J$16)+1)&gt;0,OR($D21="03. UX Discovery",$D21="04. UX Design")),IF(AND($H21&lt;&gt;"",$H21&lt;=EOMONTH(Y$12,0),$I21&gt;=Y$12),"UX+DEV","UX"),IF(AND($H21&lt;&gt;"",$H21&lt;=EOMONTH(Y$12,0),$I21&gt;=Y$12),"DEV",""))))</f>
      </c>
      <c r="Z21" s="158" t="str">
        <f>IF($AI21="","",IF(AND($AN21&lt;&gt;"",$AN21&lt;=EOMONTH(Z$12,0),$AO21&gt;=Z$12),IF(AND(INDEX('Roadmap Calc (Don’t Touch)'!$AA$2:$AX$151,$AI21,COLUMN()-COLUMN($J$16)+1)&gt;0,OR($D21="03. UX Discovery",$D21="04. UX Design")),IF(AND($H21&lt;&gt;"",$H21&lt;=EOMONTH(Z$12,0),$I21&gt;=Z$12),"ALL","PD+UX"),IF(AND($H21&lt;&gt;"",$H21&lt;=EOMONTH(Z$12,0),$I21&gt;=Z$12),"PD+DEV","PD")),IF(AND(INDEX('Roadmap Calc (Don’t Touch)'!$AA$2:$AX$151,$AI21,COLUMN()-COLUMN($J$16)+1)&gt;0,OR($D21="03. UX Discovery",$D21="04. UX Design")),IF(AND($H21&lt;&gt;"",$H21&lt;=EOMONTH(Z$12,0),$I21&gt;=Z$12),"UX+DEV","UX"),IF(AND($H21&lt;&gt;"",$H21&lt;=EOMONTH(Z$12,0),$I21&gt;=Z$12),"DEV",""))))</f>
      </c>
      <c r="AA21" s="158" t="str">
        <f>IF($AI21="","",IF(AND($AN21&lt;&gt;"",$AN21&lt;=EOMONTH(AA$12,0),$AO21&gt;=AA$12),IF(AND(INDEX('Roadmap Calc (Don’t Touch)'!$AA$2:$AX$151,$AI21,COLUMN()-COLUMN($J$16)+1)&gt;0,OR($D21="03. UX Discovery",$D21="04. UX Design")),IF(AND($H21&lt;&gt;"",$H21&lt;=EOMONTH(AA$12,0),$I21&gt;=AA$12),"ALL","PD+UX"),IF(AND($H21&lt;&gt;"",$H21&lt;=EOMONTH(AA$12,0),$I21&gt;=AA$12),"PD+DEV","PD")),IF(AND(INDEX('Roadmap Calc (Don’t Touch)'!$AA$2:$AX$151,$AI21,COLUMN()-COLUMN($J$16)+1)&gt;0,OR($D21="03. UX Discovery",$D21="04. UX Design")),IF(AND($H21&lt;&gt;"",$H21&lt;=EOMONTH(AA$12,0),$I21&gt;=AA$12),"UX+DEV","UX"),IF(AND($H21&lt;&gt;"",$H21&lt;=EOMONTH(AA$12,0),$I21&gt;=AA$12),"DEV",""))))</f>
      </c>
      <c r="AB21" s="158" t="str">
        <f>IF($AI21="","",IF(AND($AN21&lt;&gt;"",$AN21&lt;=EOMONTH(AB$12,0),$AO21&gt;=AB$12),IF(AND(INDEX('Roadmap Calc (Don’t Touch)'!$AA$2:$AX$151,$AI21,COLUMN()-COLUMN($J$16)+1)&gt;0,OR($D21="03. UX Discovery",$D21="04. UX Design")),IF(AND($H21&lt;&gt;"",$H21&lt;=EOMONTH(AB$12,0),$I21&gt;=AB$12),"ALL","PD+UX"),IF(AND($H21&lt;&gt;"",$H21&lt;=EOMONTH(AB$12,0),$I21&gt;=AB$12),"PD+DEV","PD")),IF(AND(INDEX('Roadmap Calc (Don’t Touch)'!$AA$2:$AX$151,$AI21,COLUMN()-COLUMN($J$16)+1)&gt;0,OR($D21="03. UX Discovery",$D21="04. UX Design")),IF(AND($H21&lt;&gt;"",$H21&lt;=EOMONTH(AB$12,0),$I21&gt;=AB$12),"UX+DEV","UX"),IF(AND($H21&lt;&gt;"",$H21&lt;=EOMONTH(AB$12,0),$I21&gt;=AB$12),"DEV",""))))</f>
      </c>
      <c r="AC21" s="158" t="str">
        <f>IF($AI21="","",IF(AND($AN21&lt;&gt;"",$AN21&lt;=EOMONTH(AC$12,0),$AO21&gt;=AC$12),IF(AND(INDEX('Roadmap Calc (Don’t Touch)'!$AA$2:$AX$151,$AI21,COLUMN()-COLUMN($J$16)+1)&gt;0,OR($D21="03. UX Discovery",$D21="04. UX Design")),IF(AND($H21&lt;&gt;"",$H21&lt;=EOMONTH(AC$12,0),$I21&gt;=AC$12),"ALL","PD+UX"),IF(AND($H21&lt;&gt;"",$H21&lt;=EOMONTH(AC$12,0),$I21&gt;=AC$12),"PD+DEV","PD")),IF(AND(INDEX('Roadmap Calc (Don’t Touch)'!$AA$2:$AX$151,$AI21,COLUMN()-COLUMN($J$16)+1)&gt;0,OR($D21="03. UX Discovery",$D21="04. UX Design")),IF(AND($H21&lt;&gt;"",$H21&lt;=EOMONTH(AC$12,0),$I21&gt;=AC$12),"UX+DEV","UX"),IF(AND($H21&lt;&gt;"",$H21&lt;=EOMONTH(AC$12,0),$I21&gt;=AC$12),"DEV",""))))</f>
      </c>
      <c r="AD21" s="158" t="str">
        <f>IF($AI21="","",IF(AND($AN21&lt;&gt;"",$AN21&lt;=EOMONTH(AD$12,0),$AO21&gt;=AD$12),IF(AND(INDEX('Roadmap Calc (Don’t Touch)'!$AA$2:$AX$151,$AI21,COLUMN()-COLUMN($J$16)+1)&gt;0,OR($D21="03. UX Discovery",$D21="04. UX Design")),IF(AND($H21&lt;&gt;"",$H21&lt;=EOMONTH(AD$12,0),$I21&gt;=AD$12),"ALL","PD+UX"),IF(AND($H21&lt;&gt;"",$H21&lt;=EOMONTH(AD$12,0),$I21&gt;=AD$12),"PD+DEV","PD")),IF(AND(INDEX('Roadmap Calc (Don’t Touch)'!$AA$2:$AX$151,$AI21,COLUMN()-COLUMN($J$16)+1)&gt;0,OR($D21="03. UX Discovery",$D21="04. UX Design")),IF(AND($H21&lt;&gt;"",$H21&lt;=EOMONTH(AD$12,0),$I21&gt;=AD$12),"UX+DEV","UX"),IF(AND($H21&lt;&gt;"",$H21&lt;=EOMONTH(AD$12,0),$I21&gt;=AD$12),"DEV",""))))</f>
      </c>
      <c r="AE21" s="158" t="str">
        <f>IF($AI21="","",IF(AND($AN21&lt;&gt;"",$AN21&lt;=EOMONTH(AE$12,0),$AO21&gt;=AE$12),IF(AND(INDEX('Roadmap Calc (Don’t Touch)'!$AA$2:$AX$151,$AI21,COLUMN()-COLUMN($J$16)+1)&gt;0,OR($D21="03. UX Discovery",$D21="04. UX Design")),IF(AND($H21&lt;&gt;"",$H21&lt;=EOMONTH(AE$12,0),$I21&gt;=AE$12),"ALL","PD+UX"),IF(AND($H21&lt;&gt;"",$H21&lt;=EOMONTH(AE$12,0),$I21&gt;=AE$12),"PD+DEV","PD")),IF(AND(INDEX('Roadmap Calc (Don’t Touch)'!$AA$2:$AX$151,$AI21,COLUMN()-COLUMN($J$16)+1)&gt;0,OR($D21="03. UX Discovery",$D21="04. UX Design")),IF(AND($H21&lt;&gt;"",$H21&lt;=EOMONTH(AE$12,0),$I21&gt;=AE$12),"UX+DEV","UX"),IF(AND($H21&lt;&gt;"",$H21&lt;=EOMONTH(AE$12,0),$I21&gt;=AE$12),"DEV",""))))</f>
      </c>
      <c r="AF21" s="158" t="str">
        <f>IF($AI21="","",IF(AND($AN21&lt;&gt;"",$AN21&lt;=EOMONTH(AF$12,0),$AO21&gt;=AF$12),IF(AND(INDEX('Roadmap Calc (Don’t Touch)'!$AA$2:$AX$151,$AI21,COLUMN()-COLUMN($J$16)+1)&gt;0,OR($D21="03. UX Discovery",$D21="04. UX Design")),IF(AND($H21&lt;&gt;"",$H21&lt;=EOMONTH(AF$12,0),$I21&gt;=AF$12),"ALL","PD+UX"),IF(AND($H21&lt;&gt;"",$H21&lt;=EOMONTH(AF$12,0),$I21&gt;=AF$12),"PD+DEV","PD")),IF(AND(INDEX('Roadmap Calc (Don’t Touch)'!$AA$2:$AX$151,$AI21,COLUMN()-COLUMN($J$16)+1)&gt;0,OR($D21="03. UX Discovery",$D21="04. UX Design")),IF(AND($H21&lt;&gt;"",$H21&lt;=EOMONTH(AF$12,0),$I21&gt;=AF$12),"UX+DEV","UX"),IF(AND($H21&lt;&gt;"",$H21&lt;=EOMONTH(AF$12,0),$I21&gt;=AF$12),"DEV",""))))</f>
      </c>
      <c r="AG21" s="158" t="str">
        <f>IF($AI21="","",IF(AND($AN21&lt;&gt;"",$AN21&lt;=EOMONTH(AG$12,0),$AO21&gt;=AG$12),IF(AND(INDEX('Roadmap Calc (Don’t Touch)'!$AA$2:$AX$151,$AI21,COLUMN()-COLUMN($J$16)+1)&gt;0,OR($D21="03. UX Discovery",$D21="04. UX Design")),IF(AND($H21&lt;&gt;"",$H21&lt;=EOMONTH(AG$12,0),$I21&gt;=AG$12),"ALL","PD+UX"),IF(AND($H21&lt;&gt;"",$H21&lt;=EOMONTH(AG$12,0),$I21&gt;=AG$12),"PD+DEV","PD")),IF(AND(INDEX('Roadmap Calc (Don’t Touch)'!$AA$2:$AX$151,$AI21,COLUMN()-COLUMN($J$16)+1)&gt;0,OR($D21="03. UX Discovery",$D21="04. UX Design")),IF(AND($H21&lt;&gt;"",$H21&lt;=EOMONTH(AG$12,0),$I21&gt;=AG$12),"UX+DEV","UX"),IF(AND($H21&lt;&gt;"",$H21&lt;=EOMONTH(AG$12,0),$I21&gt;=AG$12),"DEV",""))))</f>
      </c>
      <c r="AH21" s="145" t="str">
        <f>IF($AI21="","",INDEX('Roadmap Calc (Don’t Touch)'!$D$2:$D$151,$AI21))</f>
        <v>Increase Trade In Awareness</v>
      </c>
      <c r="AI21" s="145">
        <f>IFERROR(MATCH(6,'Roadmap Calc (Don’t Touch)'!$O$2:$O$151,0),"")</f>
        <v>29</v>
      </c>
      <c r="AJ21" s="145"/>
      <c r="AK21" s="145"/>
      <c r="AL21" s="147" t="str">
        <f>IF(COUNTA(Control!B19)=0,"",Control!B19)</f>
        <v>13. Live</v>
      </c>
      <c r="AM21" s="145"/>
      <c r="AN21">
        <f>IF($AI21="","",IF(ISNUMBER(INDEX('Roadmap Calc (Don’t Touch)'!$BB$2:$BB$151,$AI21)),INDEX('Roadmap Calc (Don’t Touch)'!$BB$2:$BB$151,$AI21),""))</f>
      </c>
      <c r="AO21">
        <f>IF($AI21="","",IF(ISNUMBER(INDEX('Roadmap Calc (Don’t Touch)'!$BC$2:$BC$151,$AI21)),INDEX('Roadmap Calc (Don’t Touch)'!$BC$2:$BC$151,$AI21),""))</f>
      </c>
    </row>
    <row r="22" spans="1:41" ht="20" customHeight="1" x14ac:dyDescent="0.25">
      <c r="A22" s="198" t="str">
        <f>IF($AI22="","",IF($AH22=$AH21,"",IF(INDEX('Roadmap Calc (Don’t Touch)'!$U$2:$U$151,$AI22)=0,$AH22,HYPERLINK("#'Control (Don’t Touch)'!E"&amp;INDEX('Roadmap Calc (Don’t Touch)'!$U$2:$U$151,$AI22),$AH22))))</f>
        <v>Improve Trade In User Flow</v>
      </c>
      <c r="B22" s="159" t="str">
        <f>IF($AI22="","",IF(INDEX('Roadmap Calc (Don’t Touch)'!$K$2:$K$151,$AI22)="",INDEX('Roadmap Calc (Don’t Touch)'!$B$2:$B$151,$AI22),HYPERLINK("https://jira.bnh.com/browse/"&amp;INDEX('Roadmap Calc (Don’t Touch)'!$K$2:$K$151,$AI22),INDEX('Roadmap Calc (Don’t Touch)'!$B$2:$B$151,$AI22))))</f>
        <v>Sell Used Purchase Look Up</v>
      </c>
      <c r="C22" s="159" t="str">
        <f>IF($AI22="","",IF(INDEX('Roadmap Calc (Don’t Touch)'!$E$2:$E$151,$AI22)="","",HYPERLINK("https://jira.bnh.com/browse/"&amp;INDEX('Roadmap Calc (Don’t Touch)'!$E$2:$E$151,$AI22),INDEX('Roadmap Calc (Don’t Touch)'!$E$2:$E$151,$AI22))))</f>
        <v>BHP-7236</v>
      </c>
      <c r="D22" s="161" t="str">
        <f>IF($AI22="","",INDEX('Roadmap Calc (Don’t Touch)'!$F$2:$F$151,$AI22))</f>
        <v>02. UX Req</v>
      </c>
      <c r="E22" s="155">
        <f>IF($AI22="","",IF(ISNUMBER(INDEX('Roadmap Calc (Don’t Touch)'!$G$2:$G$151,$AI22)),INDEX('Roadmap Calc (Don’t Touch)'!$G$2:$G$151,$AI22),""))</f>
        <v>46258</v>
      </c>
      <c r="F22" s="155">
        <f>IF($AI22="","",IF(ISNUMBER(INDEX('Roadmap Calc (Don’t Touch)'!$H$2:$H$151,$AI22)),INDEX('Roadmap Calc (Don’t Touch)'!$H$2:$H$151,$AI22),""))</f>
        <v>46272</v>
      </c>
      <c r="G22" s="156">
        <f>IF($AI22="","",INDEX('Roadmap Calc (Don’t Touch)'!$T$2:$T$151,$AI22))</f>
        <v>3</v>
      </c>
      <c r="H22" s="157">
        <f ca="1">IF($AI22="","",IF(ISNUMBER(INDEX('Roadmap Calc (Don’t Touch)'!$I$2:$I$151,$AI22)),INDEX('Roadmap Calc (Don’t Touch)'!$I$2:$I$151,$AI22),""))</f>
        <v>46327</v>
      </c>
      <c r="I22" s="157">
        <f ca="1">IF($AI22="","",IF(ISNUMBER(INDEX('Roadmap Calc (Don’t Touch)'!$J$2:$J$151,$AI22)),INDEX('Roadmap Calc (Don’t Touch)'!$J$2:$J$151,$AI22),""))</f>
        <v>46418</v>
      </c>
      <c r="J22" s="158" t="str">
        <f>IF($AI22="","",IF(AND($AN22&lt;&gt;"",$AN22&lt;=EOMONTH(J$12,0),$AO22&gt;=J$12),IF(AND(INDEX('Roadmap Calc (Don’t Touch)'!$AA$2:$AX$151,$AI22,COLUMN()-COLUMN($J$16)+1)&gt;0,OR($D22="03. UX Discovery",$D22="04. UX Design")),IF(AND($H22&lt;&gt;"",$H22&lt;=EOMONTH(J$12,0),$I22&gt;=J$12),"ALL","PD+UX"),IF(AND($H22&lt;&gt;"",$H22&lt;=EOMONTH(J$12,0),$I22&gt;=J$12),"PD+DEV","PD")),IF(AND(INDEX('Roadmap Calc (Don’t Touch)'!$AA$2:$AX$151,$AI22,COLUMN()-COLUMN($J$16)+1)&gt;0,OR($D22="03. UX Discovery",$D22="04. UX Design")),IF(AND($H22&lt;&gt;"",$H22&lt;=EOMONTH(J$12,0),$I22&gt;=J$12),"UX+DEV","UX"),IF(AND($H22&lt;&gt;"",$H22&lt;=EOMONTH(J$12,0),$I22&gt;=J$12),"DEV",""))))</f>
      </c>
      <c r="K22" s="158" t="str">
        <f>IF($AI22="","",IF(AND($AN22&lt;&gt;"",$AN22&lt;=EOMONTH(K$12,0),$AO22&gt;=K$12),IF(AND(INDEX('Roadmap Calc (Don’t Touch)'!$AA$2:$AX$151,$AI22,COLUMN()-COLUMN($J$16)+1)&gt;0,OR($D22="03. UX Discovery",$D22="04. UX Design")),IF(AND($H22&lt;&gt;"",$H22&lt;=EOMONTH(K$12,0),$I22&gt;=K$12),"ALL","PD+UX"),IF(AND($H22&lt;&gt;"",$H22&lt;=EOMONTH(K$12,0),$I22&gt;=K$12),"PD+DEV","PD")),IF(AND(INDEX('Roadmap Calc (Don’t Touch)'!$AA$2:$AX$151,$AI22,COLUMN()-COLUMN($J$16)+1)&gt;0,OR($D22="03. UX Discovery",$D22="04. UX Design")),IF(AND($H22&lt;&gt;"",$H22&lt;=EOMONTH(K$12,0),$I22&gt;=K$12),"UX+DEV","UX"),IF(AND($H22&lt;&gt;"",$H22&lt;=EOMONTH(K$12,0),$I22&gt;=K$12),"DEV",""))))</f>
      </c>
      <c r="L22" s="158" t="str">
        <f>IF($AI22="","",IF(AND($AN22&lt;&gt;"",$AN22&lt;=EOMONTH(L$12,0),$AO22&gt;=L$12),IF(AND(INDEX('Roadmap Calc (Don’t Touch)'!$AA$2:$AX$151,$AI22,COLUMN()-COLUMN($J$16)+1)&gt;0,OR($D22="03. UX Discovery",$D22="04. UX Design")),IF(AND($H22&lt;&gt;"",$H22&lt;=EOMONTH(L$12,0),$I22&gt;=L$12),"ALL","PD+UX"),IF(AND($H22&lt;&gt;"",$H22&lt;=EOMONTH(L$12,0),$I22&gt;=L$12),"PD+DEV","PD")),IF(AND(INDEX('Roadmap Calc (Don’t Touch)'!$AA$2:$AX$151,$AI22,COLUMN()-COLUMN($J$16)+1)&gt;0,OR($D22="03. UX Discovery",$D22="04. UX Design")),IF(AND($H22&lt;&gt;"",$H22&lt;=EOMONTH(L$12,0),$I22&gt;=L$12),"UX+DEV","UX"),IF(AND($H22&lt;&gt;"",$H22&lt;=EOMONTH(L$12,0),$I22&gt;=L$12),"DEV",""))))</f>
      </c>
      <c r="M22" s="158" t="str">
        <f>IF($AI22="","",IF(AND($AN22&lt;&gt;"",$AN22&lt;=EOMONTH(M$12,0),$AO22&gt;=M$12),IF(AND(INDEX('Roadmap Calc (Don’t Touch)'!$AA$2:$AX$151,$AI22,COLUMN()-COLUMN($J$16)+1)&gt;0,OR($D22="03. UX Discovery",$D22="04. UX Design")),IF(AND($H22&lt;&gt;"",$H22&lt;=EOMONTH(M$12,0),$I22&gt;=M$12),"ALL","PD+UX"),IF(AND($H22&lt;&gt;"",$H22&lt;=EOMONTH(M$12,0),$I22&gt;=M$12),"PD+DEV","PD")),IF(AND(INDEX('Roadmap Calc (Don’t Touch)'!$AA$2:$AX$151,$AI22,COLUMN()-COLUMN($J$16)+1)&gt;0,OR($D22="03. UX Discovery",$D22="04. UX Design")),IF(AND($H22&lt;&gt;"",$H22&lt;=EOMONTH(M$12,0),$I22&gt;=M$12),"UX+DEV","UX"),IF(AND($H22&lt;&gt;"",$H22&lt;=EOMONTH(M$12,0),$I22&gt;=M$12),"DEV",""))))</f>
      </c>
      <c r="N22" s="158" t="str">
        <f>IF($AI22="","",IF(AND($AN22&lt;&gt;"",$AN22&lt;=EOMONTH(N$12,0),$AO22&gt;=N$12),IF(AND(INDEX('Roadmap Calc (Don’t Touch)'!$AA$2:$AX$151,$AI22,COLUMN()-COLUMN($J$16)+1)&gt;0,OR($D22="03. UX Discovery",$D22="04. UX Design")),IF(AND($H22&lt;&gt;"",$H22&lt;=EOMONTH(N$12,0),$I22&gt;=N$12),"ALL","PD+UX"),IF(AND($H22&lt;&gt;"",$H22&lt;=EOMONTH(N$12,0),$I22&gt;=N$12),"PD+DEV","PD")),IF(AND(INDEX('Roadmap Calc (Don’t Touch)'!$AA$2:$AX$151,$AI22,COLUMN()-COLUMN($J$16)+1)&gt;0,OR($D22="03. UX Discovery",$D22="04. UX Design")),IF(AND($H22&lt;&gt;"",$H22&lt;=EOMONTH(N$12,0),$I22&gt;=N$12),"UX+DEV","UX"),IF(AND($H22&lt;&gt;"",$H22&lt;=EOMONTH(N$12,0),$I22&gt;=N$12),"DEV",""))))</f>
      </c>
      <c r="O22" s="158" t="str">
        <f>IF($AI22="","",IF(AND($AN22&lt;&gt;"",$AN22&lt;=EOMONTH(O$12,0),$AO22&gt;=O$12),IF(AND(INDEX('Roadmap Calc (Don’t Touch)'!$AA$2:$AX$151,$AI22,COLUMN()-COLUMN($J$16)+1)&gt;0,OR($D22="03. UX Discovery",$D22="04. UX Design")),IF(AND($H22&lt;&gt;"",$H22&lt;=EOMONTH(O$12,0),$I22&gt;=O$12),"ALL","PD+UX"),IF(AND($H22&lt;&gt;"",$H22&lt;=EOMONTH(O$12,0),$I22&gt;=O$12),"PD+DEV","PD")),IF(AND(INDEX('Roadmap Calc (Don’t Touch)'!$AA$2:$AX$151,$AI22,COLUMN()-COLUMN($J$16)+1)&gt;0,OR($D22="03. UX Discovery",$D22="04. UX Design")),IF(AND($H22&lt;&gt;"",$H22&lt;=EOMONTH(O$12,0),$I22&gt;=O$12),"UX+DEV","UX"),IF(AND($H22&lt;&gt;"",$H22&lt;=EOMONTH(O$12,0),$I22&gt;=O$12),"DEV",""))))</f>
      </c>
      <c r="P22" s="158" t="str">
        <f>IF($AI22="","",IF(AND($AN22&lt;&gt;"",$AN22&lt;=EOMONTH(P$12,0),$AO22&gt;=P$12),IF(AND(INDEX('Roadmap Calc (Don’t Touch)'!$AA$2:$AX$151,$AI22,COLUMN()-COLUMN($J$16)+1)&gt;0,OR($D22="03. UX Discovery",$D22="04. UX Design")),IF(AND($H22&lt;&gt;"",$H22&lt;=EOMONTH(P$12,0),$I22&gt;=P$12),"ALL","PD+UX"),IF(AND($H22&lt;&gt;"",$H22&lt;=EOMONTH(P$12,0),$I22&gt;=P$12),"PD+DEV","PD")),IF(AND(INDEX('Roadmap Calc (Don’t Touch)'!$AA$2:$AX$151,$AI22,COLUMN()-COLUMN($J$16)+1)&gt;0,OR($D22="03. UX Discovery",$D22="04. UX Design")),IF(AND($H22&lt;&gt;"",$H22&lt;=EOMONTH(P$12,0),$I22&gt;=P$12),"UX+DEV","UX"),IF(AND($H22&lt;&gt;"",$H22&lt;=EOMONTH(P$12,0),$I22&gt;=P$12),"DEV",""))))</f>
      </c>
      <c r="Q22" s="158" t="str">
        <f>IF($AI22="","",IF(AND($AN22&lt;&gt;"",$AN22&lt;=EOMONTH(Q$12,0),$AO22&gt;=Q$12),IF(AND(INDEX('Roadmap Calc (Don’t Touch)'!$AA$2:$AX$151,$AI22,COLUMN()-COLUMN($J$16)+1)&gt;0,OR($D22="03. UX Discovery",$D22="04. UX Design")),IF(AND($H22&lt;&gt;"",$H22&lt;=EOMONTH(Q$12,0),$I22&gt;=Q$12),"ALL","PD+UX"),IF(AND($H22&lt;&gt;"",$H22&lt;=EOMONTH(Q$12,0),$I22&gt;=Q$12),"PD+DEV","PD")),IF(AND(INDEX('Roadmap Calc (Don’t Touch)'!$AA$2:$AX$151,$AI22,COLUMN()-COLUMN($J$16)+1)&gt;0,OR($D22="03. UX Discovery",$D22="04. UX Design")),IF(AND($H22&lt;&gt;"",$H22&lt;=EOMONTH(Q$12,0),$I22&gt;=Q$12),"UX+DEV","UX"),IF(AND($H22&lt;&gt;"",$H22&lt;=EOMONTH(Q$12,0),$I22&gt;=Q$12),"DEV",""))))</f>
      </c>
      <c r="R22" s="158" t="str">
        <f>IF($AI22="","",IF(AND($AN22&lt;&gt;"",$AN22&lt;=EOMONTH(R$12,0),$AO22&gt;=R$12),IF(AND(INDEX('Roadmap Calc (Don’t Touch)'!$AA$2:$AX$151,$AI22,COLUMN()-COLUMN($J$16)+1)&gt;0,OR($D22="03. UX Discovery",$D22="04. UX Design")),IF(AND($H22&lt;&gt;"",$H22&lt;=EOMONTH(R$12,0),$I22&gt;=R$12),"ALL","PD+UX"),IF(AND($H22&lt;&gt;"",$H22&lt;=EOMONTH(R$12,0),$I22&gt;=R$12),"PD+DEV","PD")),IF(AND(INDEX('Roadmap Calc (Don’t Touch)'!$AA$2:$AX$151,$AI22,COLUMN()-COLUMN($J$16)+1)&gt;0,OR($D22="03. UX Discovery",$D22="04. UX Design")),IF(AND($H22&lt;&gt;"",$H22&lt;=EOMONTH(R$12,0),$I22&gt;=R$12),"UX+DEV","UX"),IF(AND($H22&lt;&gt;"",$H22&lt;=EOMONTH(R$12,0),$I22&gt;=R$12),"DEV",""))))</f>
      </c>
      <c r="S22" s="158" t="str">
        <f>IF($AI22="","",IF(AND($AN22&lt;&gt;"",$AN22&lt;=EOMONTH(S$12,0),$AO22&gt;=S$12),IF(AND(INDEX('Roadmap Calc (Don’t Touch)'!$AA$2:$AX$151,$AI22,COLUMN()-COLUMN($J$16)+1)&gt;0,OR($D22="03. UX Discovery",$D22="04. UX Design")),IF(AND($H22&lt;&gt;"",$H22&lt;=EOMONTH(S$12,0),$I22&gt;=S$12),"ALL","PD+UX"),IF(AND($H22&lt;&gt;"",$H22&lt;=EOMONTH(S$12,0),$I22&gt;=S$12),"PD+DEV","PD")),IF(AND(INDEX('Roadmap Calc (Don’t Touch)'!$AA$2:$AX$151,$AI22,COLUMN()-COLUMN($J$16)+1)&gt;0,OR($D22="03. UX Discovery",$D22="04. UX Design")),IF(AND($H22&lt;&gt;"",$H22&lt;=EOMONTH(S$12,0),$I22&gt;=S$12),"UX+DEV","UX"),IF(AND($H22&lt;&gt;"",$H22&lt;=EOMONTH(S$12,0),$I22&gt;=S$12),"DEV",""))))</f>
      </c>
      <c r="T22" s="158" t="str">
        <f>IF($AI22="","",IF(AND($AN22&lt;&gt;"",$AN22&lt;=EOMONTH(T$12,0),$AO22&gt;=T$12),IF(AND(INDEX('Roadmap Calc (Don’t Touch)'!$AA$2:$AX$151,$AI22,COLUMN()-COLUMN($J$16)+1)&gt;0,OR($D22="03. UX Discovery",$D22="04. UX Design")),IF(AND($H22&lt;&gt;"",$H22&lt;=EOMONTH(T$12,0),$I22&gt;=T$12),"ALL","PD+UX"),IF(AND($H22&lt;&gt;"",$H22&lt;=EOMONTH(T$12,0),$I22&gt;=T$12),"PD+DEV","PD")),IF(AND(INDEX('Roadmap Calc (Don’t Touch)'!$AA$2:$AX$151,$AI22,COLUMN()-COLUMN($J$16)+1)&gt;0,OR($D22="03. UX Discovery",$D22="04. UX Design")),IF(AND($H22&lt;&gt;"",$H22&lt;=EOMONTH(T$12,0),$I22&gt;=T$12),"UX+DEV","UX"),IF(AND($H22&lt;&gt;"",$H22&lt;=EOMONTH(T$12,0),$I22&gt;=T$12),"DEV",""))))</f>
      </c>
      <c r="U22" s="158" t="str">
        <f>IF($AI22="","",IF(AND($AN22&lt;&gt;"",$AN22&lt;=EOMONTH(U$12,0),$AO22&gt;=U$12),IF(AND(INDEX('Roadmap Calc (Don’t Touch)'!$AA$2:$AX$151,$AI22,COLUMN()-COLUMN($J$16)+1)&gt;0,OR($D22="03. UX Discovery",$D22="04. UX Design")),IF(AND($H22&lt;&gt;"",$H22&lt;=EOMONTH(U$12,0),$I22&gt;=U$12),"ALL","PD+UX"),IF(AND($H22&lt;&gt;"",$H22&lt;=EOMONTH(U$12,0),$I22&gt;=U$12),"PD+DEV","PD")),IF(AND(INDEX('Roadmap Calc (Don’t Touch)'!$AA$2:$AX$151,$AI22,COLUMN()-COLUMN($J$16)+1)&gt;0,OR($D22="03. UX Discovery",$D22="04. UX Design")),IF(AND($H22&lt;&gt;"",$H22&lt;=EOMONTH(U$12,0),$I22&gt;=U$12),"UX+DEV","UX"),IF(AND($H22&lt;&gt;"",$H22&lt;=EOMONTH(U$12,0),$I22&gt;=U$12),"DEV",""))))</f>
      </c>
      <c r="V22" s="158" t="str">
        <f>IF($AI22="","",IF(AND($AN22&lt;&gt;"",$AN22&lt;=EOMONTH(V$12,0),$AO22&gt;=V$12),IF(AND(INDEX('Roadmap Calc (Don’t Touch)'!$AA$2:$AX$151,$AI22,COLUMN()-COLUMN($J$16)+1)&gt;0,OR($D22="03. UX Discovery",$D22="04. UX Design")),IF(AND($H22&lt;&gt;"",$H22&lt;=EOMONTH(V$12,0),$I22&gt;=V$12),"ALL","PD+UX"),IF(AND($H22&lt;&gt;"",$H22&lt;=EOMONTH(V$12,0),$I22&gt;=V$12),"PD+DEV","PD")),IF(AND(INDEX('Roadmap Calc (Don’t Touch)'!$AA$2:$AX$151,$AI22,COLUMN()-COLUMN($J$16)+1)&gt;0,OR($D22="03. UX Discovery",$D22="04. UX Design")),IF(AND($H22&lt;&gt;"",$H22&lt;=EOMONTH(V$12,0),$I22&gt;=V$12),"UX+DEV","UX"),IF(AND($H22&lt;&gt;"",$H22&lt;=EOMONTH(V$12,0),$I22&gt;=V$12),"DEV",""))))</f>
      </c>
      <c r="W22" s="158" t="str">
        <f>IF($AI22="","",IF(AND($AN22&lt;&gt;"",$AN22&lt;=EOMONTH(W$12,0),$AO22&gt;=W$12),IF(AND(INDEX('Roadmap Calc (Don’t Touch)'!$AA$2:$AX$151,$AI22,COLUMN()-COLUMN($J$16)+1)&gt;0,OR($D22="03. UX Discovery",$D22="04. UX Design")),IF(AND($H22&lt;&gt;"",$H22&lt;=EOMONTH(W$12,0),$I22&gt;=W$12),"ALL","PD+UX"),IF(AND($H22&lt;&gt;"",$H22&lt;=EOMONTH(W$12,0),$I22&gt;=W$12),"PD+DEV","PD")),IF(AND(INDEX('Roadmap Calc (Don’t Touch)'!$AA$2:$AX$151,$AI22,COLUMN()-COLUMN($J$16)+1)&gt;0,OR($D22="03. UX Discovery",$D22="04. UX Design")),IF(AND($H22&lt;&gt;"",$H22&lt;=EOMONTH(W$12,0),$I22&gt;=W$12),"UX+DEV","UX"),IF(AND($H22&lt;&gt;"",$H22&lt;=EOMONTH(W$12,0),$I22&gt;=W$12),"DEV",""))))</f>
      </c>
      <c r="X22" s="158" t="str">
        <f>IF($AI22="","",IF(AND($AN22&lt;&gt;"",$AN22&lt;=EOMONTH(X$12,0),$AO22&gt;=X$12),IF(AND(INDEX('Roadmap Calc (Don’t Touch)'!$AA$2:$AX$151,$AI22,COLUMN()-COLUMN($J$16)+1)&gt;0,OR($D22="03. UX Discovery",$D22="04. UX Design")),IF(AND($H22&lt;&gt;"",$H22&lt;=EOMONTH(X$12,0),$I22&gt;=X$12),"ALL","PD+UX"),IF(AND($H22&lt;&gt;"",$H22&lt;=EOMONTH(X$12,0),$I22&gt;=X$12),"PD+DEV","PD")),IF(AND(INDEX('Roadmap Calc (Don’t Touch)'!$AA$2:$AX$151,$AI22,COLUMN()-COLUMN($J$16)+1)&gt;0,OR($D22="03. UX Discovery",$D22="04. UX Design")),IF(AND($H22&lt;&gt;"",$H22&lt;=EOMONTH(X$12,0),$I22&gt;=X$12),"UX+DEV","UX"),IF(AND($H22&lt;&gt;"",$H22&lt;=EOMONTH(X$12,0),$I22&gt;=X$12),"DEV",""))))</f>
      </c>
      <c r="Y22" s="158" t="str">
        <f>IF($AI22="","",IF(AND($AN22&lt;&gt;"",$AN22&lt;=EOMONTH(Y$12,0),$AO22&gt;=Y$12),IF(AND(INDEX('Roadmap Calc (Don’t Touch)'!$AA$2:$AX$151,$AI22,COLUMN()-COLUMN($J$16)+1)&gt;0,OR($D22="03. UX Discovery",$D22="04. UX Design")),IF(AND($H22&lt;&gt;"",$H22&lt;=EOMONTH(Y$12,0),$I22&gt;=Y$12),"ALL","PD+UX"),IF(AND($H22&lt;&gt;"",$H22&lt;=EOMONTH(Y$12,0),$I22&gt;=Y$12),"PD+DEV","PD")),IF(AND(INDEX('Roadmap Calc (Don’t Touch)'!$AA$2:$AX$151,$AI22,COLUMN()-COLUMN($J$16)+1)&gt;0,OR($D22="03. UX Discovery",$D22="04. UX Design")),IF(AND($H22&lt;&gt;"",$H22&lt;=EOMONTH(Y$12,0),$I22&gt;=Y$12),"UX+DEV","UX"),IF(AND($H22&lt;&gt;"",$H22&lt;=EOMONTH(Y$12,0),$I22&gt;=Y$12),"DEV",""))))</f>
      </c>
      <c r="Z22" s="158" t="str">
        <f>IF($AI22="","",IF(AND($AN22&lt;&gt;"",$AN22&lt;=EOMONTH(Z$12,0),$AO22&gt;=Z$12),IF(AND(INDEX('Roadmap Calc (Don’t Touch)'!$AA$2:$AX$151,$AI22,COLUMN()-COLUMN($J$16)+1)&gt;0,OR($D22="03. UX Discovery",$D22="04. UX Design")),IF(AND($H22&lt;&gt;"",$H22&lt;=EOMONTH(Z$12,0),$I22&gt;=Z$12),"ALL","PD+UX"),IF(AND($H22&lt;&gt;"",$H22&lt;=EOMONTH(Z$12,0),$I22&gt;=Z$12),"PD+DEV","PD")),IF(AND(INDEX('Roadmap Calc (Don’t Touch)'!$AA$2:$AX$151,$AI22,COLUMN()-COLUMN($J$16)+1)&gt;0,OR($D22="03. UX Discovery",$D22="04. UX Design")),IF(AND($H22&lt;&gt;"",$H22&lt;=EOMONTH(Z$12,0),$I22&gt;=Z$12),"UX+DEV","UX"),IF(AND($H22&lt;&gt;"",$H22&lt;=EOMONTH(Z$12,0),$I22&gt;=Z$12),"DEV",""))))</f>
      </c>
      <c r="AA22" s="158" t="str">
        <f>IF($AI22="","",IF(AND($AN22&lt;&gt;"",$AN22&lt;=EOMONTH(AA$12,0),$AO22&gt;=AA$12),IF(AND(INDEX('Roadmap Calc (Don’t Touch)'!$AA$2:$AX$151,$AI22,COLUMN()-COLUMN($J$16)+1)&gt;0,OR($D22="03. UX Discovery",$D22="04. UX Design")),IF(AND($H22&lt;&gt;"",$H22&lt;=EOMONTH(AA$12,0),$I22&gt;=AA$12),"ALL","PD+UX"),IF(AND($H22&lt;&gt;"",$H22&lt;=EOMONTH(AA$12,0),$I22&gt;=AA$12),"PD+DEV","PD")),IF(AND(INDEX('Roadmap Calc (Don’t Touch)'!$AA$2:$AX$151,$AI22,COLUMN()-COLUMN($J$16)+1)&gt;0,OR($D22="03. UX Discovery",$D22="04. UX Design")),IF(AND($H22&lt;&gt;"",$H22&lt;=EOMONTH(AA$12,0),$I22&gt;=AA$12),"UX+DEV","UX"),IF(AND($H22&lt;&gt;"",$H22&lt;=EOMONTH(AA$12,0),$I22&gt;=AA$12),"DEV",""))))</f>
      </c>
      <c r="AB22" s="158" t="str">
        <f>IF($AI22="","",IF(AND($AN22&lt;&gt;"",$AN22&lt;=EOMONTH(AB$12,0),$AO22&gt;=AB$12),IF(AND(INDEX('Roadmap Calc (Don’t Touch)'!$AA$2:$AX$151,$AI22,COLUMN()-COLUMN($J$16)+1)&gt;0,OR($D22="03. UX Discovery",$D22="04. UX Design")),IF(AND($H22&lt;&gt;"",$H22&lt;=EOMONTH(AB$12,0),$I22&gt;=AB$12),"ALL","PD+UX"),IF(AND($H22&lt;&gt;"",$H22&lt;=EOMONTH(AB$12,0),$I22&gt;=AB$12),"PD+DEV","PD")),IF(AND(INDEX('Roadmap Calc (Don’t Touch)'!$AA$2:$AX$151,$AI22,COLUMN()-COLUMN($J$16)+1)&gt;0,OR($D22="03. UX Discovery",$D22="04. UX Design")),IF(AND($H22&lt;&gt;"",$H22&lt;=EOMONTH(AB$12,0),$I22&gt;=AB$12),"UX+DEV","UX"),IF(AND($H22&lt;&gt;"",$H22&lt;=EOMONTH(AB$12,0),$I22&gt;=AB$12),"DEV",""))))</f>
      </c>
      <c r="AC22" s="158" t="str">
        <f>IF($AI22="","",IF(AND($AN22&lt;&gt;"",$AN22&lt;=EOMONTH(AC$12,0),$AO22&gt;=AC$12),IF(AND(INDEX('Roadmap Calc (Don’t Touch)'!$AA$2:$AX$151,$AI22,COLUMN()-COLUMN($J$16)+1)&gt;0,OR($D22="03. UX Discovery",$D22="04. UX Design")),IF(AND($H22&lt;&gt;"",$H22&lt;=EOMONTH(AC$12,0),$I22&gt;=AC$12),"ALL","PD+UX"),IF(AND($H22&lt;&gt;"",$H22&lt;=EOMONTH(AC$12,0),$I22&gt;=AC$12),"PD+DEV","PD")),IF(AND(INDEX('Roadmap Calc (Don’t Touch)'!$AA$2:$AX$151,$AI22,COLUMN()-COLUMN($J$16)+1)&gt;0,OR($D22="03. UX Discovery",$D22="04. UX Design")),IF(AND($H22&lt;&gt;"",$H22&lt;=EOMONTH(AC$12,0),$I22&gt;=AC$12),"UX+DEV","UX"),IF(AND($H22&lt;&gt;"",$H22&lt;=EOMONTH(AC$12,0),$I22&gt;=AC$12),"DEV",""))))</f>
      </c>
      <c r="AD22" s="158" t="str">
        <f>IF($AI22="","",IF(AND($AN22&lt;&gt;"",$AN22&lt;=EOMONTH(AD$12,0),$AO22&gt;=AD$12),IF(AND(INDEX('Roadmap Calc (Don’t Touch)'!$AA$2:$AX$151,$AI22,COLUMN()-COLUMN($J$16)+1)&gt;0,OR($D22="03. UX Discovery",$D22="04. UX Design")),IF(AND($H22&lt;&gt;"",$H22&lt;=EOMONTH(AD$12,0),$I22&gt;=AD$12),"ALL","PD+UX"),IF(AND($H22&lt;&gt;"",$H22&lt;=EOMONTH(AD$12,0),$I22&gt;=AD$12),"PD+DEV","PD")),IF(AND(INDEX('Roadmap Calc (Don’t Touch)'!$AA$2:$AX$151,$AI22,COLUMN()-COLUMN($J$16)+1)&gt;0,OR($D22="03. UX Discovery",$D22="04. UX Design")),IF(AND($H22&lt;&gt;"",$H22&lt;=EOMONTH(AD$12,0),$I22&gt;=AD$12),"UX+DEV","UX"),IF(AND($H22&lt;&gt;"",$H22&lt;=EOMONTH(AD$12,0),$I22&gt;=AD$12),"DEV",""))))</f>
      </c>
      <c r="AE22" s="158" t="str">
        <f>IF($AI22="","",IF(AND($AN22&lt;&gt;"",$AN22&lt;=EOMONTH(AE$12,0),$AO22&gt;=AE$12),IF(AND(INDEX('Roadmap Calc (Don’t Touch)'!$AA$2:$AX$151,$AI22,COLUMN()-COLUMN($J$16)+1)&gt;0,OR($D22="03. UX Discovery",$D22="04. UX Design")),IF(AND($H22&lt;&gt;"",$H22&lt;=EOMONTH(AE$12,0),$I22&gt;=AE$12),"ALL","PD+UX"),IF(AND($H22&lt;&gt;"",$H22&lt;=EOMONTH(AE$12,0),$I22&gt;=AE$12),"PD+DEV","PD")),IF(AND(INDEX('Roadmap Calc (Don’t Touch)'!$AA$2:$AX$151,$AI22,COLUMN()-COLUMN($J$16)+1)&gt;0,OR($D22="03. UX Discovery",$D22="04. UX Design")),IF(AND($H22&lt;&gt;"",$H22&lt;=EOMONTH(AE$12,0),$I22&gt;=AE$12),"UX+DEV","UX"),IF(AND($H22&lt;&gt;"",$H22&lt;=EOMONTH(AE$12,0),$I22&gt;=AE$12),"DEV",""))))</f>
      </c>
      <c r="AF22" s="158" t="str">
        <f>IF($AI22="","",IF(AND($AN22&lt;&gt;"",$AN22&lt;=EOMONTH(AF$12,0),$AO22&gt;=AF$12),IF(AND(INDEX('Roadmap Calc (Don’t Touch)'!$AA$2:$AX$151,$AI22,COLUMN()-COLUMN($J$16)+1)&gt;0,OR($D22="03. UX Discovery",$D22="04. UX Design")),IF(AND($H22&lt;&gt;"",$H22&lt;=EOMONTH(AF$12,0),$I22&gt;=AF$12),"ALL","PD+UX"),IF(AND($H22&lt;&gt;"",$H22&lt;=EOMONTH(AF$12,0),$I22&gt;=AF$12),"PD+DEV","PD")),IF(AND(INDEX('Roadmap Calc (Don’t Touch)'!$AA$2:$AX$151,$AI22,COLUMN()-COLUMN($J$16)+1)&gt;0,OR($D22="03. UX Discovery",$D22="04. UX Design")),IF(AND($H22&lt;&gt;"",$H22&lt;=EOMONTH(AF$12,0),$I22&gt;=AF$12),"UX+DEV","UX"),IF(AND($H22&lt;&gt;"",$H22&lt;=EOMONTH(AF$12,0),$I22&gt;=AF$12),"DEV",""))))</f>
      </c>
      <c r="AG22" s="158" t="str">
        <f>IF($AI22="","",IF(AND($AN22&lt;&gt;"",$AN22&lt;=EOMONTH(AG$12,0),$AO22&gt;=AG$12),IF(AND(INDEX('Roadmap Calc (Don’t Touch)'!$AA$2:$AX$151,$AI22,COLUMN()-COLUMN($J$16)+1)&gt;0,OR($D22="03. UX Discovery",$D22="04. UX Design")),IF(AND($H22&lt;&gt;"",$H22&lt;=EOMONTH(AG$12,0),$I22&gt;=AG$12),"ALL","PD+UX"),IF(AND($H22&lt;&gt;"",$H22&lt;=EOMONTH(AG$12,0),$I22&gt;=AG$12),"PD+DEV","PD")),IF(AND(INDEX('Roadmap Calc (Don’t Touch)'!$AA$2:$AX$151,$AI22,COLUMN()-COLUMN($J$16)+1)&gt;0,OR($D22="03. UX Discovery",$D22="04. UX Design")),IF(AND($H22&lt;&gt;"",$H22&lt;=EOMONTH(AG$12,0),$I22&gt;=AG$12),"UX+DEV","UX"),IF(AND($H22&lt;&gt;"",$H22&lt;=EOMONTH(AG$12,0),$I22&gt;=AG$12),"DEV",""))))</f>
      </c>
      <c r="AH22" s="145" t="str">
        <f>IF($AI22="","",INDEX('Roadmap Calc (Don’t Touch)'!$D$2:$D$151,$AI22))</f>
        <v>Improve Trade In User Flow</v>
      </c>
      <c r="AI22" s="145">
        <f>IFERROR(MATCH(7,'Roadmap Calc (Don’t Touch)'!$O$2:$O$151,0),"")</f>
        <v>10</v>
      </c>
      <c r="AJ22" s="145"/>
      <c r="AK22" s="145"/>
      <c r="AL22" s="147" t="str">
        <f>IF(COUNTA(Control!B20)=0,"",Control!B20)</f>
        <v/>
      </c>
      <c r="AM22" s="145"/>
      <c r="AN22">
        <f>IF($AI22="","",IF(ISNUMBER(INDEX('Roadmap Calc (Don’t Touch)'!$BB$2:$BB$151,$AI22)),INDEX('Roadmap Calc (Don’t Touch)'!$BB$2:$BB$151,$AI22),""))</f>
      </c>
      <c r="AO22">
        <f>IF($AI22="","",IF(ISNUMBER(INDEX('Roadmap Calc (Don’t Touch)'!$BC$2:$BC$151,$AI22)),INDEX('Roadmap Calc (Don’t Touch)'!$BC$2:$BC$151,$AI22),""))</f>
      </c>
    </row>
    <row r="23" spans="1:41" ht="20" customHeight="1" x14ac:dyDescent="0.25">
      <c r="A23" s="198" t="str">
        <f>IF($AI23="","",IF($AH23=$AH22,"",IF(INDEX('Roadmap Calc (Don’t Touch)'!$U$2:$U$151,$AI23)=0,$AH23,HYPERLINK("#'Control (Don’t Touch)'!E"&amp;INDEX('Roadmap Calc (Don’t Touch)'!$U$2:$U$151,$AI23),$AH23))))</f>
        <v/>
      </c>
      <c r="B23" s="159" t="str">
        <f>IF($AI23="","",IF(INDEX('Roadmap Calc (Don’t Touch)'!$K$2:$K$151,$AI23)="",INDEX('Roadmap Calc (Don’t Touch)'!$B$2:$B$151,$AI23),HYPERLINK("https://jira.bnh.com/browse/"&amp;INDEX('Roadmap Calc (Don’t Touch)'!$K$2:$K$151,$AI23),INDEX('Roadmap Calc (Don’t Touch)'!$B$2:$B$151,$AI23))))</f>
        <v>Trade In Email - Comprehensive Refresh Discovery</v>
      </c>
      <c r="C23" s="159" t="str">
        <f>IF($AI23="","",IF(INDEX('Roadmap Calc (Don’t Touch)'!$E$2:$E$151,$AI23)="","",HYPERLINK("https://jira.bnh.com/browse/"&amp;INDEX('Roadmap Calc (Don’t Touch)'!$E$2:$E$151,$AI23),INDEX('Roadmap Calc (Don’t Touch)'!$E$2:$E$151,$AI23))))</f>
        <v>BHUX-34772</v>
      </c>
      <c r="D23" s="161" t="str">
        <f>IF($AI23="","",INDEX('Roadmap Calc (Don’t Touch)'!$F$2:$F$151,$AI23))</f>
        <v>04. UX Design</v>
      </c>
      <c r="E23" s="155">
        <f>IF($AI23="","",IF(ISNUMBER(INDEX('Roadmap Calc (Don’t Touch)'!$G$2:$G$151,$AI23)),INDEX('Roadmap Calc (Don’t Touch)'!$G$2:$G$151,$AI23),""))</f>
        <v>46216</v>
      </c>
      <c r="F23" s="155">
        <f>IF($AI23="","",IF(ISNUMBER(INDEX('Roadmap Calc (Don’t Touch)'!$H$2:$H$151,$AI23)),INDEX('Roadmap Calc (Don’t Touch)'!$H$2:$H$151,$AI23),""))</f>
        <v>46237</v>
      </c>
      <c r="G23" s="156">
        <f>IF($AI23="","",INDEX('Roadmap Calc (Don’t Touch)'!$T$2:$T$151,$AI23))</f>
        <v>4</v>
      </c>
      <c r="H23" s="157">
        <f ca="1">IF($AI23="","",IF(ISNUMBER(INDEX('Roadmap Calc (Don’t Touch)'!$I$2:$I$151,$AI23)),INDEX('Roadmap Calc (Don’t Touch)'!$I$2:$I$151,$AI23),""))</f>
        <v>46296</v>
      </c>
      <c r="I23" s="157">
        <f ca="1">IF($AI23="","",IF(ISNUMBER(INDEX('Roadmap Calc (Don’t Touch)'!$J$2:$J$151,$AI23)),INDEX('Roadmap Calc (Don’t Touch)'!$J$2:$J$151,$AI23),""))</f>
        <v>46326</v>
      </c>
      <c r="J23" s="158" t="str">
        <f>IF($AI23="","",IF(AND($AN23&lt;&gt;"",$AN23&lt;=EOMONTH(J$12,0),$AO23&gt;=J$12),IF(AND(INDEX('Roadmap Calc (Don’t Touch)'!$AA$2:$AX$151,$AI23,COLUMN()-COLUMN($J$16)+1)&gt;0,OR($D23="03. UX Discovery",$D23="04. UX Design")),IF(AND($H23&lt;&gt;"",$H23&lt;=EOMONTH(J$12,0),$I23&gt;=J$12),"ALL","PD+UX"),IF(AND($H23&lt;&gt;"",$H23&lt;=EOMONTH(J$12,0),$I23&gt;=J$12),"PD+DEV","PD")),IF(AND(INDEX('Roadmap Calc (Don’t Touch)'!$AA$2:$AX$151,$AI23,COLUMN()-COLUMN($J$16)+1)&gt;0,OR($D23="03. UX Discovery",$D23="04. UX Design")),IF(AND($H23&lt;&gt;"",$H23&lt;=EOMONTH(J$12,0),$I23&gt;=J$12),"UX+DEV","UX"),IF(AND($H23&lt;&gt;"",$H23&lt;=EOMONTH(J$12,0),$I23&gt;=J$12),"DEV",""))))</f>
      </c>
      <c r="K23" s="158" t="str">
        <f>IF($AI23="","",IF(AND($AN23&lt;&gt;"",$AN23&lt;=EOMONTH(K$12,0),$AO23&gt;=K$12),IF(AND(INDEX('Roadmap Calc (Don’t Touch)'!$AA$2:$AX$151,$AI23,COLUMN()-COLUMN($J$16)+1)&gt;0,OR($D23="03. UX Discovery",$D23="04. UX Design")),IF(AND($H23&lt;&gt;"",$H23&lt;=EOMONTH(K$12,0),$I23&gt;=K$12),"ALL","PD+UX"),IF(AND($H23&lt;&gt;"",$H23&lt;=EOMONTH(K$12,0),$I23&gt;=K$12),"PD+DEV","PD")),IF(AND(INDEX('Roadmap Calc (Don’t Touch)'!$AA$2:$AX$151,$AI23,COLUMN()-COLUMN($J$16)+1)&gt;0,OR($D23="03. UX Discovery",$D23="04. UX Design")),IF(AND($H23&lt;&gt;"",$H23&lt;=EOMONTH(K$12,0),$I23&gt;=K$12),"UX+DEV","UX"),IF(AND($H23&lt;&gt;"",$H23&lt;=EOMONTH(K$12,0),$I23&gt;=K$12),"DEV",""))))</f>
      </c>
      <c r="L23" s="158" t="str">
        <f>IF($AI23="","",IF(AND($AN23&lt;&gt;"",$AN23&lt;=EOMONTH(L$12,0),$AO23&gt;=L$12),IF(AND(INDEX('Roadmap Calc (Don’t Touch)'!$AA$2:$AX$151,$AI23,COLUMN()-COLUMN($J$16)+1)&gt;0,OR($D23="03. UX Discovery",$D23="04. UX Design")),IF(AND($H23&lt;&gt;"",$H23&lt;=EOMONTH(L$12,0),$I23&gt;=L$12),"ALL","PD+UX"),IF(AND($H23&lt;&gt;"",$H23&lt;=EOMONTH(L$12,0),$I23&gt;=L$12),"PD+DEV","PD")),IF(AND(INDEX('Roadmap Calc (Don’t Touch)'!$AA$2:$AX$151,$AI23,COLUMN()-COLUMN($J$16)+1)&gt;0,OR($D23="03. UX Discovery",$D23="04. UX Design")),IF(AND($H23&lt;&gt;"",$H23&lt;=EOMONTH(L$12,0),$I23&gt;=L$12),"UX+DEV","UX"),IF(AND($H23&lt;&gt;"",$H23&lt;=EOMONTH(L$12,0),$I23&gt;=L$12),"DEV",""))))</f>
      </c>
      <c r="M23" s="158" t="str">
        <f>IF($AI23="","",IF(AND($AN23&lt;&gt;"",$AN23&lt;=EOMONTH(M$12,0),$AO23&gt;=M$12),IF(AND(INDEX('Roadmap Calc (Don’t Touch)'!$AA$2:$AX$151,$AI23,COLUMN()-COLUMN($J$16)+1)&gt;0,OR($D23="03. UX Discovery",$D23="04. UX Design")),IF(AND($H23&lt;&gt;"",$H23&lt;=EOMONTH(M$12,0),$I23&gt;=M$12),"ALL","PD+UX"),IF(AND($H23&lt;&gt;"",$H23&lt;=EOMONTH(M$12,0),$I23&gt;=M$12),"PD+DEV","PD")),IF(AND(INDEX('Roadmap Calc (Don’t Touch)'!$AA$2:$AX$151,$AI23,COLUMN()-COLUMN($J$16)+1)&gt;0,OR($D23="03. UX Discovery",$D23="04. UX Design")),IF(AND($H23&lt;&gt;"",$H23&lt;=EOMONTH(M$12,0),$I23&gt;=M$12),"UX+DEV","UX"),IF(AND($H23&lt;&gt;"",$H23&lt;=EOMONTH(M$12,0),$I23&gt;=M$12),"DEV",""))))</f>
      </c>
      <c r="N23" s="158" t="str">
        <f>IF($AI23="","",IF(AND($AN23&lt;&gt;"",$AN23&lt;=EOMONTH(N$12,0),$AO23&gt;=N$12),IF(AND(INDEX('Roadmap Calc (Don’t Touch)'!$AA$2:$AX$151,$AI23,COLUMN()-COLUMN($J$16)+1)&gt;0,OR($D23="03. UX Discovery",$D23="04. UX Design")),IF(AND($H23&lt;&gt;"",$H23&lt;=EOMONTH(N$12,0),$I23&gt;=N$12),"ALL","PD+UX"),IF(AND($H23&lt;&gt;"",$H23&lt;=EOMONTH(N$12,0),$I23&gt;=N$12),"PD+DEV","PD")),IF(AND(INDEX('Roadmap Calc (Don’t Touch)'!$AA$2:$AX$151,$AI23,COLUMN()-COLUMN($J$16)+1)&gt;0,OR($D23="03. UX Discovery",$D23="04. UX Design")),IF(AND($H23&lt;&gt;"",$H23&lt;=EOMONTH(N$12,0),$I23&gt;=N$12),"UX+DEV","UX"),IF(AND($H23&lt;&gt;"",$H23&lt;=EOMONTH(N$12,0),$I23&gt;=N$12),"DEV",""))))</f>
      </c>
      <c r="O23" s="158" t="str">
        <f>IF($AI23="","",IF(AND($AN23&lt;&gt;"",$AN23&lt;=EOMONTH(O$12,0),$AO23&gt;=O$12),IF(AND(INDEX('Roadmap Calc (Don’t Touch)'!$AA$2:$AX$151,$AI23,COLUMN()-COLUMN($J$16)+1)&gt;0,OR($D23="03. UX Discovery",$D23="04. UX Design")),IF(AND($H23&lt;&gt;"",$H23&lt;=EOMONTH(O$12,0),$I23&gt;=O$12),"ALL","PD+UX"),IF(AND($H23&lt;&gt;"",$H23&lt;=EOMONTH(O$12,0),$I23&gt;=O$12),"PD+DEV","PD")),IF(AND(INDEX('Roadmap Calc (Don’t Touch)'!$AA$2:$AX$151,$AI23,COLUMN()-COLUMN($J$16)+1)&gt;0,OR($D23="03. UX Discovery",$D23="04. UX Design")),IF(AND($H23&lt;&gt;"",$H23&lt;=EOMONTH(O$12,0),$I23&gt;=O$12),"UX+DEV","UX"),IF(AND($H23&lt;&gt;"",$H23&lt;=EOMONTH(O$12,0),$I23&gt;=O$12),"DEV",""))))</f>
      </c>
      <c r="P23" s="158" t="str">
        <f>IF($AI23="","",IF(AND($AN23&lt;&gt;"",$AN23&lt;=EOMONTH(P$12,0),$AO23&gt;=P$12),IF(AND(INDEX('Roadmap Calc (Don’t Touch)'!$AA$2:$AX$151,$AI23,COLUMN()-COLUMN($J$16)+1)&gt;0,OR($D23="03. UX Discovery",$D23="04. UX Design")),IF(AND($H23&lt;&gt;"",$H23&lt;=EOMONTH(P$12,0),$I23&gt;=P$12),"ALL","PD+UX"),IF(AND($H23&lt;&gt;"",$H23&lt;=EOMONTH(P$12,0),$I23&gt;=P$12),"PD+DEV","PD")),IF(AND(INDEX('Roadmap Calc (Don’t Touch)'!$AA$2:$AX$151,$AI23,COLUMN()-COLUMN($J$16)+1)&gt;0,OR($D23="03. UX Discovery",$D23="04. UX Design")),IF(AND($H23&lt;&gt;"",$H23&lt;=EOMONTH(P$12,0),$I23&gt;=P$12),"UX+DEV","UX"),IF(AND($H23&lt;&gt;"",$H23&lt;=EOMONTH(P$12,0),$I23&gt;=P$12),"DEV",""))))</f>
      </c>
      <c r="Q23" s="158" t="str">
        <f>IF($AI23="","",IF(AND($AN23&lt;&gt;"",$AN23&lt;=EOMONTH(Q$12,0),$AO23&gt;=Q$12),IF(AND(INDEX('Roadmap Calc (Don’t Touch)'!$AA$2:$AX$151,$AI23,COLUMN()-COLUMN($J$16)+1)&gt;0,OR($D23="03. UX Discovery",$D23="04. UX Design")),IF(AND($H23&lt;&gt;"",$H23&lt;=EOMONTH(Q$12,0),$I23&gt;=Q$12),"ALL","PD+UX"),IF(AND($H23&lt;&gt;"",$H23&lt;=EOMONTH(Q$12,0),$I23&gt;=Q$12),"PD+DEV","PD")),IF(AND(INDEX('Roadmap Calc (Don’t Touch)'!$AA$2:$AX$151,$AI23,COLUMN()-COLUMN($J$16)+1)&gt;0,OR($D23="03. UX Discovery",$D23="04. UX Design")),IF(AND($H23&lt;&gt;"",$H23&lt;=EOMONTH(Q$12,0),$I23&gt;=Q$12),"UX+DEV","UX"),IF(AND($H23&lt;&gt;"",$H23&lt;=EOMONTH(Q$12,0),$I23&gt;=Q$12),"DEV",""))))</f>
      </c>
      <c r="R23" s="158" t="str">
        <f>IF($AI23="","",IF(AND($AN23&lt;&gt;"",$AN23&lt;=EOMONTH(R$12,0),$AO23&gt;=R$12),IF(AND(INDEX('Roadmap Calc (Don’t Touch)'!$AA$2:$AX$151,$AI23,COLUMN()-COLUMN($J$16)+1)&gt;0,OR($D23="03. UX Discovery",$D23="04. UX Design")),IF(AND($H23&lt;&gt;"",$H23&lt;=EOMONTH(R$12,0),$I23&gt;=R$12),"ALL","PD+UX"),IF(AND($H23&lt;&gt;"",$H23&lt;=EOMONTH(R$12,0),$I23&gt;=R$12),"PD+DEV","PD")),IF(AND(INDEX('Roadmap Calc (Don’t Touch)'!$AA$2:$AX$151,$AI23,COLUMN()-COLUMN($J$16)+1)&gt;0,OR($D23="03. UX Discovery",$D23="04. UX Design")),IF(AND($H23&lt;&gt;"",$H23&lt;=EOMONTH(R$12,0),$I23&gt;=R$12),"UX+DEV","UX"),IF(AND($H23&lt;&gt;"",$H23&lt;=EOMONTH(R$12,0),$I23&gt;=R$12),"DEV",""))))</f>
      </c>
      <c r="S23" s="158" t="str">
        <f>IF($AI23="","",IF(AND($AN23&lt;&gt;"",$AN23&lt;=EOMONTH(S$12,0),$AO23&gt;=S$12),IF(AND(INDEX('Roadmap Calc (Don’t Touch)'!$AA$2:$AX$151,$AI23,COLUMN()-COLUMN($J$16)+1)&gt;0,OR($D23="03. UX Discovery",$D23="04. UX Design")),IF(AND($H23&lt;&gt;"",$H23&lt;=EOMONTH(S$12,0),$I23&gt;=S$12),"ALL","PD+UX"),IF(AND($H23&lt;&gt;"",$H23&lt;=EOMONTH(S$12,0),$I23&gt;=S$12),"PD+DEV","PD")),IF(AND(INDEX('Roadmap Calc (Don’t Touch)'!$AA$2:$AX$151,$AI23,COLUMN()-COLUMN($J$16)+1)&gt;0,OR($D23="03. UX Discovery",$D23="04. UX Design")),IF(AND($H23&lt;&gt;"",$H23&lt;=EOMONTH(S$12,0),$I23&gt;=S$12),"UX+DEV","UX"),IF(AND($H23&lt;&gt;"",$H23&lt;=EOMONTH(S$12,0),$I23&gt;=S$12),"DEV",""))))</f>
      </c>
      <c r="T23" s="158" t="str">
        <f>IF($AI23="","",IF(AND($AN23&lt;&gt;"",$AN23&lt;=EOMONTH(T$12,0),$AO23&gt;=T$12),IF(AND(INDEX('Roadmap Calc (Don’t Touch)'!$AA$2:$AX$151,$AI23,COLUMN()-COLUMN($J$16)+1)&gt;0,OR($D23="03. UX Discovery",$D23="04. UX Design")),IF(AND($H23&lt;&gt;"",$H23&lt;=EOMONTH(T$12,0),$I23&gt;=T$12),"ALL","PD+UX"),IF(AND($H23&lt;&gt;"",$H23&lt;=EOMONTH(T$12,0),$I23&gt;=T$12),"PD+DEV","PD")),IF(AND(INDEX('Roadmap Calc (Don’t Touch)'!$AA$2:$AX$151,$AI23,COLUMN()-COLUMN($J$16)+1)&gt;0,OR($D23="03. UX Discovery",$D23="04. UX Design")),IF(AND($H23&lt;&gt;"",$H23&lt;=EOMONTH(T$12,0),$I23&gt;=T$12),"UX+DEV","UX"),IF(AND($H23&lt;&gt;"",$H23&lt;=EOMONTH(T$12,0),$I23&gt;=T$12),"DEV",""))))</f>
      </c>
      <c r="U23" s="158" t="str">
        <f>IF($AI23="","",IF(AND($AN23&lt;&gt;"",$AN23&lt;=EOMONTH(U$12,0),$AO23&gt;=U$12),IF(AND(INDEX('Roadmap Calc (Don’t Touch)'!$AA$2:$AX$151,$AI23,COLUMN()-COLUMN($J$16)+1)&gt;0,OR($D23="03. UX Discovery",$D23="04. UX Design")),IF(AND($H23&lt;&gt;"",$H23&lt;=EOMONTH(U$12,0),$I23&gt;=U$12),"ALL","PD+UX"),IF(AND($H23&lt;&gt;"",$H23&lt;=EOMONTH(U$12,0),$I23&gt;=U$12),"PD+DEV","PD")),IF(AND(INDEX('Roadmap Calc (Don’t Touch)'!$AA$2:$AX$151,$AI23,COLUMN()-COLUMN($J$16)+1)&gt;0,OR($D23="03. UX Discovery",$D23="04. UX Design")),IF(AND($H23&lt;&gt;"",$H23&lt;=EOMONTH(U$12,0),$I23&gt;=U$12),"UX+DEV","UX"),IF(AND($H23&lt;&gt;"",$H23&lt;=EOMONTH(U$12,0),$I23&gt;=U$12),"DEV",""))))</f>
      </c>
      <c r="V23" s="158" t="str">
        <f>IF($AI23="","",IF(AND($AN23&lt;&gt;"",$AN23&lt;=EOMONTH(V$12,0),$AO23&gt;=V$12),IF(AND(INDEX('Roadmap Calc (Don’t Touch)'!$AA$2:$AX$151,$AI23,COLUMN()-COLUMN($J$16)+1)&gt;0,OR($D23="03. UX Discovery",$D23="04. UX Design")),IF(AND($H23&lt;&gt;"",$H23&lt;=EOMONTH(V$12,0),$I23&gt;=V$12),"ALL","PD+UX"),IF(AND($H23&lt;&gt;"",$H23&lt;=EOMONTH(V$12,0),$I23&gt;=V$12),"PD+DEV","PD")),IF(AND(INDEX('Roadmap Calc (Don’t Touch)'!$AA$2:$AX$151,$AI23,COLUMN()-COLUMN($J$16)+1)&gt;0,OR($D23="03. UX Discovery",$D23="04. UX Design")),IF(AND($H23&lt;&gt;"",$H23&lt;=EOMONTH(V$12,0),$I23&gt;=V$12),"UX+DEV","UX"),IF(AND($H23&lt;&gt;"",$H23&lt;=EOMONTH(V$12,0),$I23&gt;=V$12),"DEV",""))))</f>
      </c>
      <c r="W23" s="158" t="str">
        <f>IF($AI23="","",IF(AND($AN23&lt;&gt;"",$AN23&lt;=EOMONTH(W$12,0),$AO23&gt;=W$12),IF(AND(INDEX('Roadmap Calc (Don’t Touch)'!$AA$2:$AX$151,$AI23,COLUMN()-COLUMN($J$16)+1)&gt;0,OR($D23="03. UX Discovery",$D23="04. UX Design")),IF(AND($H23&lt;&gt;"",$H23&lt;=EOMONTH(W$12,0),$I23&gt;=W$12),"ALL","PD+UX"),IF(AND($H23&lt;&gt;"",$H23&lt;=EOMONTH(W$12,0),$I23&gt;=W$12),"PD+DEV","PD")),IF(AND(INDEX('Roadmap Calc (Don’t Touch)'!$AA$2:$AX$151,$AI23,COLUMN()-COLUMN($J$16)+1)&gt;0,OR($D23="03. UX Discovery",$D23="04. UX Design")),IF(AND($H23&lt;&gt;"",$H23&lt;=EOMONTH(W$12,0),$I23&gt;=W$12),"UX+DEV","UX"),IF(AND($H23&lt;&gt;"",$H23&lt;=EOMONTH(W$12,0),$I23&gt;=W$12),"DEV",""))))</f>
      </c>
      <c r="X23" s="158" t="str">
        <f>IF($AI23="","",IF(AND($AN23&lt;&gt;"",$AN23&lt;=EOMONTH(X$12,0),$AO23&gt;=X$12),IF(AND(INDEX('Roadmap Calc (Don’t Touch)'!$AA$2:$AX$151,$AI23,COLUMN()-COLUMN($J$16)+1)&gt;0,OR($D23="03. UX Discovery",$D23="04. UX Design")),IF(AND($H23&lt;&gt;"",$H23&lt;=EOMONTH(X$12,0),$I23&gt;=X$12),"ALL","PD+UX"),IF(AND($H23&lt;&gt;"",$H23&lt;=EOMONTH(X$12,0),$I23&gt;=X$12),"PD+DEV","PD")),IF(AND(INDEX('Roadmap Calc (Don’t Touch)'!$AA$2:$AX$151,$AI23,COLUMN()-COLUMN($J$16)+1)&gt;0,OR($D23="03. UX Discovery",$D23="04. UX Design")),IF(AND($H23&lt;&gt;"",$H23&lt;=EOMONTH(X$12,0),$I23&gt;=X$12),"UX+DEV","UX"),IF(AND($H23&lt;&gt;"",$H23&lt;=EOMONTH(X$12,0),$I23&gt;=X$12),"DEV",""))))</f>
      </c>
      <c r="Y23" s="158" t="str">
        <f>IF($AI23="","",IF(AND($AN23&lt;&gt;"",$AN23&lt;=EOMONTH(Y$12,0),$AO23&gt;=Y$12),IF(AND(INDEX('Roadmap Calc (Don’t Touch)'!$AA$2:$AX$151,$AI23,COLUMN()-COLUMN($J$16)+1)&gt;0,OR($D23="03. UX Discovery",$D23="04. UX Design")),IF(AND($H23&lt;&gt;"",$H23&lt;=EOMONTH(Y$12,0),$I23&gt;=Y$12),"ALL","PD+UX"),IF(AND($H23&lt;&gt;"",$H23&lt;=EOMONTH(Y$12,0),$I23&gt;=Y$12),"PD+DEV","PD")),IF(AND(INDEX('Roadmap Calc (Don’t Touch)'!$AA$2:$AX$151,$AI23,COLUMN()-COLUMN($J$16)+1)&gt;0,OR($D23="03. UX Discovery",$D23="04. UX Design")),IF(AND($H23&lt;&gt;"",$H23&lt;=EOMONTH(Y$12,0),$I23&gt;=Y$12),"UX+DEV","UX"),IF(AND($H23&lt;&gt;"",$H23&lt;=EOMONTH(Y$12,0),$I23&gt;=Y$12),"DEV",""))))</f>
      </c>
      <c r="Z23" s="158" t="str">
        <f>IF($AI23="","",IF(AND($AN23&lt;&gt;"",$AN23&lt;=EOMONTH(Z$12,0),$AO23&gt;=Z$12),IF(AND(INDEX('Roadmap Calc (Don’t Touch)'!$AA$2:$AX$151,$AI23,COLUMN()-COLUMN($J$16)+1)&gt;0,OR($D23="03. UX Discovery",$D23="04. UX Design")),IF(AND($H23&lt;&gt;"",$H23&lt;=EOMONTH(Z$12,0),$I23&gt;=Z$12),"ALL","PD+UX"),IF(AND($H23&lt;&gt;"",$H23&lt;=EOMONTH(Z$12,0),$I23&gt;=Z$12),"PD+DEV","PD")),IF(AND(INDEX('Roadmap Calc (Don’t Touch)'!$AA$2:$AX$151,$AI23,COLUMN()-COLUMN($J$16)+1)&gt;0,OR($D23="03. UX Discovery",$D23="04. UX Design")),IF(AND($H23&lt;&gt;"",$H23&lt;=EOMONTH(Z$12,0),$I23&gt;=Z$12),"UX+DEV","UX"),IF(AND($H23&lt;&gt;"",$H23&lt;=EOMONTH(Z$12,0),$I23&gt;=Z$12),"DEV",""))))</f>
      </c>
      <c r="AA23" s="158" t="str">
        <f>IF($AI23="","",IF(AND($AN23&lt;&gt;"",$AN23&lt;=EOMONTH(AA$12,0),$AO23&gt;=AA$12),IF(AND(INDEX('Roadmap Calc (Don’t Touch)'!$AA$2:$AX$151,$AI23,COLUMN()-COLUMN($J$16)+1)&gt;0,OR($D23="03. UX Discovery",$D23="04. UX Design")),IF(AND($H23&lt;&gt;"",$H23&lt;=EOMONTH(AA$12,0),$I23&gt;=AA$12),"ALL","PD+UX"),IF(AND($H23&lt;&gt;"",$H23&lt;=EOMONTH(AA$12,0),$I23&gt;=AA$12),"PD+DEV","PD")),IF(AND(INDEX('Roadmap Calc (Don’t Touch)'!$AA$2:$AX$151,$AI23,COLUMN()-COLUMN($J$16)+1)&gt;0,OR($D23="03. UX Discovery",$D23="04. UX Design")),IF(AND($H23&lt;&gt;"",$H23&lt;=EOMONTH(AA$12,0),$I23&gt;=AA$12),"UX+DEV","UX"),IF(AND($H23&lt;&gt;"",$H23&lt;=EOMONTH(AA$12,0),$I23&gt;=AA$12),"DEV",""))))</f>
      </c>
      <c r="AB23" s="158" t="str">
        <f>IF($AI23="","",IF(AND($AN23&lt;&gt;"",$AN23&lt;=EOMONTH(AB$12,0),$AO23&gt;=AB$12),IF(AND(INDEX('Roadmap Calc (Don’t Touch)'!$AA$2:$AX$151,$AI23,COLUMN()-COLUMN($J$16)+1)&gt;0,OR($D23="03. UX Discovery",$D23="04. UX Design")),IF(AND($H23&lt;&gt;"",$H23&lt;=EOMONTH(AB$12,0),$I23&gt;=AB$12),"ALL","PD+UX"),IF(AND($H23&lt;&gt;"",$H23&lt;=EOMONTH(AB$12,0),$I23&gt;=AB$12),"PD+DEV","PD")),IF(AND(INDEX('Roadmap Calc (Don’t Touch)'!$AA$2:$AX$151,$AI23,COLUMN()-COLUMN($J$16)+1)&gt;0,OR($D23="03. UX Discovery",$D23="04. UX Design")),IF(AND($H23&lt;&gt;"",$H23&lt;=EOMONTH(AB$12,0),$I23&gt;=AB$12),"UX+DEV","UX"),IF(AND($H23&lt;&gt;"",$H23&lt;=EOMONTH(AB$12,0),$I23&gt;=AB$12),"DEV",""))))</f>
      </c>
      <c r="AC23" s="158" t="str">
        <f>IF($AI23="","",IF(AND($AN23&lt;&gt;"",$AN23&lt;=EOMONTH(AC$12,0),$AO23&gt;=AC$12),IF(AND(INDEX('Roadmap Calc (Don’t Touch)'!$AA$2:$AX$151,$AI23,COLUMN()-COLUMN($J$16)+1)&gt;0,OR($D23="03. UX Discovery",$D23="04. UX Design")),IF(AND($H23&lt;&gt;"",$H23&lt;=EOMONTH(AC$12,0),$I23&gt;=AC$12),"ALL","PD+UX"),IF(AND($H23&lt;&gt;"",$H23&lt;=EOMONTH(AC$12,0),$I23&gt;=AC$12),"PD+DEV","PD")),IF(AND(INDEX('Roadmap Calc (Don’t Touch)'!$AA$2:$AX$151,$AI23,COLUMN()-COLUMN($J$16)+1)&gt;0,OR($D23="03. UX Discovery",$D23="04. UX Design")),IF(AND($H23&lt;&gt;"",$H23&lt;=EOMONTH(AC$12,0),$I23&gt;=AC$12),"UX+DEV","UX"),IF(AND($H23&lt;&gt;"",$H23&lt;=EOMONTH(AC$12,0),$I23&gt;=AC$12),"DEV",""))))</f>
      </c>
      <c r="AD23" s="158" t="str">
        <f>IF($AI23="","",IF(AND($AN23&lt;&gt;"",$AN23&lt;=EOMONTH(AD$12,0),$AO23&gt;=AD$12),IF(AND(INDEX('Roadmap Calc (Don’t Touch)'!$AA$2:$AX$151,$AI23,COLUMN()-COLUMN($J$16)+1)&gt;0,OR($D23="03. UX Discovery",$D23="04. UX Design")),IF(AND($H23&lt;&gt;"",$H23&lt;=EOMONTH(AD$12,0),$I23&gt;=AD$12),"ALL","PD+UX"),IF(AND($H23&lt;&gt;"",$H23&lt;=EOMONTH(AD$12,0),$I23&gt;=AD$12),"PD+DEV","PD")),IF(AND(INDEX('Roadmap Calc (Don’t Touch)'!$AA$2:$AX$151,$AI23,COLUMN()-COLUMN($J$16)+1)&gt;0,OR($D23="03. UX Discovery",$D23="04. UX Design")),IF(AND($H23&lt;&gt;"",$H23&lt;=EOMONTH(AD$12,0),$I23&gt;=AD$12),"UX+DEV","UX"),IF(AND($H23&lt;&gt;"",$H23&lt;=EOMONTH(AD$12,0),$I23&gt;=AD$12),"DEV",""))))</f>
      </c>
      <c r="AE23" s="158" t="str">
        <f>IF($AI23="","",IF(AND($AN23&lt;&gt;"",$AN23&lt;=EOMONTH(AE$12,0),$AO23&gt;=AE$12),IF(AND(INDEX('Roadmap Calc (Don’t Touch)'!$AA$2:$AX$151,$AI23,COLUMN()-COLUMN($J$16)+1)&gt;0,OR($D23="03. UX Discovery",$D23="04. UX Design")),IF(AND($H23&lt;&gt;"",$H23&lt;=EOMONTH(AE$12,0),$I23&gt;=AE$12),"ALL","PD+UX"),IF(AND($H23&lt;&gt;"",$H23&lt;=EOMONTH(AE$12,0),$I23&gt;=AE$12),"PD+DEV","PD")),IF(AND(INDEX('Roadmap Calc (Don’t Touch)'!$AA$2:$AX$151,$AI23,COLUMN()-COLUMN($J$16)+1)&gt;0,OR($D23="03. UX Discovery",$D23="04. UX Design")),IF(AND($H23&lt;&gt;"",$H23&lt;=EOMONTH(AE$12,0),$I23&gt;=AE$12),"UX+DEV","UX"),IF(AND($H23&lt;&gt;"",$H23&lt;=EOMONTH(AE$12,0),$I23&gt;=AE$12),"DEV",""))))</f>
      </c>
      <c r="AF23" s="158" t="str">
        <f>IF($AI23="","",IF(AND($AN23&lt;&gt;"",$AN23&lt;=EOMONTH(AF$12,0),$AO23&gt;=AF$12),IF(AND(INDEX('Roadmap Calc (Don’t Touch)'!$AA$2:$AX$151,$AI23,COLUMN()-COLUMN($J$16)+1)&gt;0,OR($D23="03. UX Discovery",$D23="04. UX Design")),IF(AND($H23&lt;&gt;"",$H23&lt;=EOMONTH(AF$12,0),$I23&gt;=AF$12),"ALL","PD+UX"),IF(AND($H23&lt;&gt;"",$H23&lt;=EOMONTH(AF$12,0),$I23&gt;=AF$12),"PD+DEV","PD")),IF(AND(INDEX('Roadmap Calc (Don’t Touch)'!$AA$2:$AX$151,$AI23,COLUMN()-COLUMN($J$16)+1)&gt;0,OR($D23="03. UX Discovery",$D23="04. UX Design")),IF(AND($H23&lt;&gt;"",$H23&lt;=EOMONTH(AF$12,0),$I23&gt;=AF$12),"UX+DEV","UX"),IF(AND($H23&lt;&gt;"",$H23&lt;=EOMONTH(AF$12,0),$I23&gt;=AF$12),"DEV",""))))</f>
      </c>
      <c r="AG23" s="158" t="str">
        <f>IF($AI23="","",IF(AND($AN23&lt;&gt;"",$AN23&lt;=EOMONTH(AG$12,0),$AO23&gt;=AG$12),IF(AND(INDEX('Roadmap Calc (Don’t Touch)'!$AA$2:$AX$151,$AI23,COLUMN()-COLUMN($J$16)+1)&gt;0,OR($D23="03. UX Discovery",$D23="04. UX Design")),IF(AND($H23&lt;&gt;"",$H23&lt;=EOMONTH(AG$12,0),$I23&gt;=AG$12),"ALL","PD+UX"),IF(AND($H23&lt;&gt;"",$H23&lt;=EOMONTH(AG$12,0),$I23&gt;=AG$12),"PD+DEV","PD")),IF(AND(INDEX('Roadmap Calc (Don’t Touch)'!$AA$2:$AX$151,$AI23,COLUMN()-COLUMN($J$16)+1)&gt;0,OR($D23="03. UX Discovery",$D23="04. UX Design")),IF(AND($H23&lt;&gt;"",$H23&lt;=EOMONTH(AG$12,0),$I23&gt;=AG$12),"UX+DEV","UX"),IF(AND($H23&lt;&gt;"",$H23&lt;=EOMONTH(AG$12,0),$I23&gt;=AG$12),"DEV",""))))</f>
      </c>
      <c r="AH23" s="145" t="str">
        <f>IF($AI23="","",INDEX('Roadmap Calc (Don’t Touch)'!$D$2:$D$151,$AI23))</f>
        <v>Improve Trade In User Flow</v>
      </c>
      <c r="AI23" s="145">
        <f>IFERROR(MATCH(8,'Roadmap Calc (Don’t Touch)'!$O$2:$O$151,0),"")</f>
        <v>21</v>
      </c>
      <c r="AJ23" s="145"/>
      <c r="AK23" s="145"/>
      <c r="AL23" s="147" t="str">
        <f>IF(COUNTA(Control!B21)=0,"",Control!B21)</f>
        <v/>
      </c>
      <c r="AM23" s="145"/>
      <c r="AN23">
        <f>IF($AI23="","",IF(ISNUMBER(INDEX('Roadmap Calc (Don’t Touch)'!$BB$2:$BB$151,$AI23)),INDEX('Roadmap Calc (Don’t Touch)'!$BB$2:$BB$151,$AI23),""))</f>
      </c>
      <c r="AO23">
        <f>IF($AI23="","",IF(ISNUMBER(INDEX('Roadmap Calc (Don’t Touch)'!$BC$2:$BC$151,$AI23)),INDEX('Roadmap Calc (Don’t Touch)'!$BC$2:$BC$151,$AI23),""))</f>
      </c>
    </row>
    <row r="24" spans="1:41" ht="20" customHeight="1" x14ac:dyDescent="0.25">
      <c r="A24" s="198" t="str">
        <f>IF($AI24="","",IF($AH24=$AH23,"",IF(INDEX('Roadmap Calc (Don’t Touch)'!$U$2:$U$151,$AI24)=0,$AH24,HYPERLINK("#'Control (Don’t Touch)'!E"&amp;INDEX('Roadmap Calc (Don’t Touch)'!$U$2:$U$151,$AI24),$AH24))))</f>
        <v/>
      </c>
      <c r="B24" s="159" t="str">
        <f>IF($AI24="","",IF(INDEX('Roadmap Calc (Don’t Touch)'!$K$2:$K$151,$AI24)="",INDEX('Roadmap Calc (Don’t Touch)'!$B$2:$B$151,$AI24),HYPERLINK("https://jira.bnh.com/browse/"&amp;INDEX('Roadmap Calc (Don’t Touch)'!$K$2:$K$151,$AI24),INDEX('Roadmap Calc (Don’t Touch)'!$B$2:$B$151,$AI24))))</f>
        <v>Used - Sell Used Experience</v>
      </c>
      <c r="C24" s="159" t="str">
        <f>IF($AI24="","",IF(INDEX('Roadmap Calc (Don’t Touch)'!$E$2:$E$151,$AI24)="","",HYPERLINK("https://jira.bnh.com/browse/"&amp;INDEX('Roadmap Calc (Don’t Touch)'!$E$2:$E$151,$AI24),INDEX('Roadmap Calc (Don’t Touch)'!$E$2:$E$151,$AI24))))</f>
        <v>BHUX-33009</v>
      </c>
      <c r="D24" s="161" t="str">
        <f>IF($AI24="","",INDEX('Roadmap Calc (Don’t Touch)'!$F$2:$F$151,$AI24))</f>
        <v>04. UX Design</v>
      </c>
      <c r="E24" s="155">
        <f>IF($AI24="","",IF(ISNUMBER(INDEX('Roadmap Calc (Don’t Touch)'!$G$2:$G$151,$AI24)),INDEX('Roadmap Calc (Don’t Touch)'!$G$2:$G$151,$AI24),""))</f>
        <v>46132</v>
      </c>
      <c r="F24" s="155">
        <f>IF($AI24="","",IF(ISNUMBER(INDEX('Roadmap Calc (Don’t Touch)'!$H$2:$H$151,$AI24)),INDEX('Roadmap Calc (Don’t Touch)'!$H$2:$H$151,$AI24),""))</f>
        <v>46293</v>
      </c>
      <c r="G24" s="156">
        <f>IF($AI24="","",INDEX('Roadmap Calc (Don’t Touch)'!$T$2:$T$151,$AI24))</f>
        <v>24</v>
      </c>
      <c r="H24" s="157">
        <f ca="1">IF($AI24="","",IF(ISNUMBER(INDEX('Roadmap Calc (Don’t Touch)'!$I$2:$I$151,$AI24)),INDEX('Roadmap Calc (Don’t Touch)'!$I$2:$I$151,$AI24),""))</f>
        <v>46388</v>
      </c>
      <c r="I24" s="157">
        <f ca="1">IF($AI24="","",IF(ISNUMBER(INDEX('Roadmap Calc (Don’t Touch)'!$J$2:$J$151,$AI24)),INDEX('Roadmap Calc (Don’t Touch)'!$J$2:$J$151,$AI24),""))</f>
        <v>46477</v>
      </c>
      <c r="J24" s="158" t="str">
        <f>IF($AI24="","",IF(AND($AN24&lt;&gt;"",$AN24&lt;=EOMONTH(J$12,0),$AO24&gt;=J$12),IF(AND(INDEX('Roadmap Calc (Don’t Touch)'!$AA$2:$AX$151,$AI24,COLUMN()-COLUMN($J$16)+1)&gt;0,OR($D24="03. UX Discovery",$D24="04. UX Design")),IF(AND($H24&lt;&gt;"",$H24&lt;=EOMONTH(J$12,0),$I24&gt;=J$12),"ALL","PD+UX"),IF(AND($H24&lt;&gt;"",$H24&lt;=EOMONTH(J$12,0),$I24&gt;=J$12),"PD+DEV","PD")),IF(AND(INDEX('Roadmap Calc (Don’t Touch)'!$AA$2:$AX$151,$AI24,COLUMN()-COLUMN($J$16)+1)&gt;0,OR($D24="03. UX Discovery",$D24="04. UX Design")),IF(AND($H24&lt;&gt;"",$H24&lt;=EOMONTH(J$12,0),$I24&gt;=J$12),"UX+DEV","UX"),IF(AND($H24&lt;&gt;"",$H24&lt;=EOMONTH(J$12,0),$I24&gt;=J$12),"DEV",""))))</f>
      </c>
      <c r="K24" s="158" t="str">
        <f>IF($AI24="","",IF(AND($AN24&lt;&gt;"",$AN24&lt;=EOMONTH(K$12,0),$AO24&gt;=K$12),IF(AND(INDEX('Roadmap Calc (Don’t Touch)'!$AA$2:$AX$151,$AI24,COLUMN()-COLUMN($J$16)+1)&gt;0,OR($D24="03. UX Discovery",$D24="04. UX Design")),IF(AND($H24&lt;&gt;"",$H24&lt;=EOMONTH(K$12,0),$I24&gt;=K$12),"ALL","PD+UX"),IF(AND($H24&lt;&gt;"",$H24&lt;=EOMONTH(K$12,0),$I24&gt;=K$12),"PD+DEV","PD")),IF(AND(INDEX('Roadmap Calc (Don’t Touch)'!$AA$2:$AX$151,$AI24,COLUMN()-COLUMN($J$16)+1)&gt;0,OR($D24="03. UX Discovery",$D24="04. UX Design")),IF(AND($H24&lt;&gt;"",$H24&lt;=EOMONTH(K$12,0),$I24&gt;=K$12),"UX+DEV","UX"),IF(AND($H24&lt;&gt;"",$H24&lt;=EOMONTH(K$12,0),$I24&gt;=K$12),"DEV",""))))</f>
      </c>
      <c r="L24" s="158" t="str">
        <f>IF($AI24="","",IF(AND($AN24&lt;&gt;"",$AN24&lt;=EOMONTH(L$12,0),$AO24&gt;=L$12),IF(AND(INDEX('Roadmap Calc (Don’t Touch)'!$AA$2:$AX$151,$AI24,COLUMN()-COLUMN($J$16)+1)&gt;0,OR($D24="03. UX Discovery",$D24="04. UX Design")),IF(AND($H24&lt;&gt;"",$H24&lt;=EOMONTH(L$12,0),$I24&gt;=L$12),"ALL","PD+UX"),IF(AND($H24&lt;&gt;"",$H24&lt;=EOMONTH(L$12,0),$I24&gt;=L$12),"PD+DEV","PD")),IF(AND(INDEX('Roadmap Calc (Don’t Touch)'!$AA$2:$AX$151,$AI24,COLUMN()-COLUMN($J$16)+1)&gt;0,OR($D24="03. UX Discovery",$D24="04. UX Design")),IF(AND($H24&lt;&gt;"",$H24&lt;=EOMONTH(L$12,0),$I24&gt;=L$12),"UX+DEV","UX"),IF(AND($H24&lt;&gt;"",$H24&lt;=EOMONTH(L$12,0),$I24&gt;=L$12),"DEV",""))))</f>
      </c>
      <c r="M24" s="158" t="str">
        <f>IF($AI24="","",IF(AND($AN24&lt;&gt;"",$AN24&lt;=EOMONTH(M$12,0),$AO24&gt;=M$12),IF(AND(INDEX('Roadmap Calc (Don’t Touch)'!$AA$2:$AX$151,$AI24,COLUMN()-COLUMN($J$16)+1)&gt;0,OR($D24="03. UX Discovery",$D24="04. UX Design")),IF(AND($H24&lt;&gt;"",$H24&lt;=EOMONTH(M$12,0),$I24&gt;=M$12),"ALL","PD+UX"),IF(AND($H24&lt;&gt;"",$H24&lt;=EOMONTH(M$12,0),$I24&gt;=M$12),"PD+DEV","PD")),IF(AND(INDEX('Roadmap Calc (Don’t Touch)'!$AA$2:$AX$151,$AI24,COLUMN()-COLUMN($J$16)+1)&gt;0,OR($D24="03. UX Discovery",$D24="04. UX Design")),IF(AND($H24&lt;&gt;"",$H24&lt;=EOMONTH(M$12,0),$I24&gt;=M$12),"UX+DEV","UX"),IF(AND($H24&lt;&gt;"",$H24&lt;=EOMONTH(M$12,0),$I24&gt;=M$12),"DEV",""))))</f>
      </c>
      <c r="N24" s="158" t="str">
        <f>IF($AI24="","",IF(AND($AN24&lt;&gt;"",$AN24&lt;=EOMONTH(N$12,0),$AO24&gt;=N$12),IF(AND(INDEX('Roadmap Calc (Don’t Touch)'!$AA$2:$AX$151,$AI24,COLUMN()-COLUMN($J$16)+1)&gt;0,OR($D24="03. UX Discovery",$D24="04. UX Design")),IF(AND($H24&lt;&gt;"",$H24&lt;=EOMONTH(N$12,0),$I24&gt;=N$12),"ALL","PD+UX"),IF(AND($H24&lt;&gt;"",$H24&lt;=EOMONTH(N$12,0),$I24&gt;=N$12),"PD+DEV","PD")),IF(AND(INDEX('Roadmap Calc (Don’t Touch)'!$AA$2:$AX$151,$AI24,COLUMN()-COLUMN($J$16)+1)&gt;0,OR($D24="03. UX Discovery",$D24="04. UX Design")),IF(AND($H24&lt;&gt;"",$H24&lt;=EOMONTH(N$12,0),$I24&gt;=N$12),"UX+DEV","UX"),IF(AND($H24&lt;&gt;"",$H24&lt;=EOMONTH(N$12,0),$I24&gt;=N$12),"DEV",""))))</f>
      </c>
      <c r="O24" s="158" t="str">
        <f>IF($AI24="","",IF(AND($AN24&lt;&gt;"",$AN24&lt;=EOMONTH(O$12,0),$AO24&gt;=O$12),IF(AND(INDEX('Roadmap Calc (Don’t Touch)'!$AA$2:$AX$151,$AI24,COLUMN()-COLUMN($J$16)+1)&gt;0,OR($D24="03. UX Discovery",$D24="04. UX Design")),IF(AND($H24&lt;&gt;"",$H24&lt;=EOMONTH(O$12,0),$I24&gt;=O$12),"ALL","PD+UX"),IF(AND($H24&lt;&gt;"",$H24&lt;=EOMONTH(O$12,0),$I24&gt;=O$12),"PD+DEV","PD")),IF(AND(INDEX('Roadmap Calc (Don’t Touch)'!$AA$2:$AX$151,$AI24,COLUMN()-COLUMN($J$16)+1)&gt;0,OR($D24="03. UX Discovery",$D24="04. UX Design")),IF(AND($H24&lt;&gt;"",$H24&lt;=EOMONTH(O$12,0),$I24&gt;=O$12),"UX+DEV","UX"),IF(AND($H24&lt;&gt;"",$H24&lt;=EOMONTH(O$12,0),$I24&gt;=O$12),"DEV",""))))</f>
      </c>
      <c r="P24" s="158" t="str">
        <f>IF($AI24="","",IF(AND($AN24&lt;&gt;"",$AN24&lt;=EOMONTH(P$12,0),$AO24&gt;=P$12),IF(AND(INDEX('Roadmap Calc (Don’t Touch)'!$AA$2:$AX$151,$AI24,COLUMN()-COLUMN($J$16)+1)&gt;0,OR($D24="03. UX Discovery",$D24="04. UX Design")),IF(AND($H24&lt;&gt;"",$H24&lt;=EOMONTH(P$12,0),$I24&gt;=P$12),"ALL","PD+UX"),IF(AND($H24&lt;&gt;"",$H24&lt;=EOMONTH(P$12,0),$I24&gt;=P$12),"PD+DEV","PD")),IF(AND(INDEX('Roadmap Calc (Don’t Touch)'!$AA$2:$AX$151,$AI24,COLUMN()-COLUMN($J$16)+1)&gt;0,OR($D24="03. UX Discovery",$D24="04. UX Design")),IF(AND($H24&lt;&gt;"",$H24&lt;=EOMONTH(P$12,0),$I24&gt;=P$12),"UX+DEV","UX"),IF(AND($H24&lt;&gt;"",$H24&lt;=EOMONTH(P$12,0),$I24&gt;=P$12),"DEV",""))))</f>
      </c>
      <c r="Q24" s="158" t="str">
        <f>IF($AI24="","",IF(AND($AN24&lt;&gt;"",$AN24&lt;=EOMONTH(Q$12,0),$AO24&gt;=Q$12),IF(AND(INDEX('Roadmap Calc (Don’t Touch)'!$AA$2:$AX$151,$AI24,COLUMN()-COLUMN($J$16)+1)&gt;0,OR($D24="03. UX Discovery",$D24="04. UX Design")),IF(AND($H24&lt;&gt;"",$H24&lt;=EOMONTH(Q$12,0),$I24&gt;=Q$12),"ALL","PD+UX"),IF(AND($H24&lt;&gt;"",$H24&lt;=EOMONTH(Q$12,0),$I24&gt;=Q$12),"PD+DEV","PD")),IF(AND(INDEX('Roadmap Calc (Don’t Touch)'!$AA$2:$AX$151,$AI24,COLUMN()-COLUMN($J$16)+1)&gt;0,OR($D24="03. UX Discovery",$D24="04. UX Design")),IF(AND($H24&lt;&gt;"",$H24&lt;=EOMONTH(Q$12,0),$I24&gt;=Q$12),"UX+DEV","UX"),IF(AND($H24&lt;&gt;"",$H24&lt;=EOMONTH(Q$12,0),$I24&gt;=Q$12),"DEV",""))))</f>
      </c>
      <c r="R24" s="158" t="str">
        <f>IF($AI24="","",IF(AND($AN24&lt;&gt;"",$AN24&lt;=EOMONTH(R$12,0),$AO24&gt;=R$12),IF(AND(INDEX('Roadmap Calc (Don’t Touch)'!$AA$2:$AX$151,$AI24,COLUMN()-COLUMN($J$16)+1)&gt;0,OR($D24="03. UX Discovery",$D24="04. UX Design")),IF(AND($H24&lt;&gt;"",$H24&lt;=EOMONTH(R$12,0),$I24&gt;=R$12),"ALL","PD+UX"),IF(AND($H24&lt;&gt;"",$H24&lt;=EOMONTH(R$12,0),$I24&gt;=R$12),"PD+DEV","PD")),IF(AND(INDEX('Roadmap Calc (Don’t Touch)'!$AA$2:$AX$151,$AI24,COLUMN()-COLUMN($J$16)+1)&gt;0,OR($D24="03. UX Discovery",$D24="04. UX Design")),IF(AND($H24&lt;&gt;"",$H24&lt;=EOMONTH(R$12,0),$I24&gt;=R$12),"UX+DEV","UX"),IF(AND($H24&lt;&gt;"",$H24&lt;=EOMONTH(R$12,0),$I24&gt;=R$12),"DEV",""))))</f>
      </c>
      <c r="S24" s="158" t="str">
        <f>IF($AI24="","",IF(AND($AN24&lt;&gt;"",$AN24&lt;=EOMONTH(S$12,0),$AO24&gt;=S$12),IF(AND(INDEX('Roadmap Calc (Don’t Touch)'!$AA$2:$AX$151,$AI24,COLUMN()-COLUMN($J$16)+1)&gt;0,OR($D24="03. UX Discovery",$D24="04. UX Design")),IF(AND($H24&lt;&gt;"",$H24&lt;=EOMONTH(S$12,0),$I24&gt;=S$12),"ALL","PD+UX"),IF(AND($H24&lt;&gt;"",$H24&lt;=EOMONTH(S$12,0),$I24&gt;=S$12),"PD+DEV","PD")),IF(AND(INDEX('Roadmap Calc (Don’t Touch)'!$AA$2:$AX$151,$AI24,COLUMN()-COLUMN($J$16)+1)&gt;0,OR($D24="03. UX Discovery",$D24="04. UX Design")),IF(AND($H24&lt;&gt;"",$H24&lt;=EOMONTH(S$12,0),$I24&gt;=S$12),"UX+DEV","UX"),IF(AND($H24&lt;&gt;"",$H24&lt;=EOMONTH(S$12,0),$I24&gt;=S$12),"DEV",""))))</f>
      </c>
      <c r="T24" s="158" t="str">
        <f>IF($AI24="","",IF(AND($AN24&lt;&gt;"",$AN24&lt;=EOMONTH(T$12,0),$AO24&gt;=T$12),IF(AND(INDEX('Roadmap Calc (Don’t Touch)'!$AA$2:$AX$151,$AI24,COLUMN()-COLUMN($J$16)+1)&gt;0,OR($D24="03. UX Discovery",$D24="04. UX Design")),IF(AND($H24&lt;&gt;"",$H24&lt;=EOMONTH(T$12,0),$I24&gt;=T$12),"ALL","PD+UX"),IF(AND($H24&lt;&gt;"",$H24&lt;=EOMONTH(T$12,0),$I24&gt;=T$12),"PD+DEV","PD")),IF(AND(INDEX('Roadmap Calc (Don’t Touch)'!$AA$2:$AX$151,$AI24,COLUMN()-COLUMN($J$16)+1)&gt;0,OR($D24="03. UX Discovery",$D24="04. UX Design")),IF(AND($H24&lt;&gt;"",$H24&lt;=EOMONTH(T$12,0),$I24&gt;=T$12),"UX+DEV","UX"),IF(AND($H24&lt;&gt;"",$H24&lt;=EOMONTH(T$12,0),$I24&gt;=T$12),"DEV",""))))</f>
      </c>
      <c r="U24" s="158" t="str">
        <f>IF($AI24="","",IF(AND($AN24&lt;&gt;"",$AN24&lt;=EOMONTH(U$12,0),$AO24&gt;=U$12),IF(AND(INDEX('Roadmap Calc (Don’t Touch)'!$AA$2:$AX$151,$AI24,COLUMN()-COLUMN($J$16)+1)&gt;0,OR($D24="03. UX Discovery",$D24="04. UX Design")),IF(AND($H24&lt;&gt;"",$H24&lt;=EOMONTH(U$12,0),$I24&gt;=U$12),"ALL","PD+UX"),IF(AND($H24&lt;&gt;"",$H24&lt;=EOMONTH(U$12,0),$I24&gt;=U$12),"PD+DEV","PD")),IF(AND(INDEX('Roadmap Calc (Don’t Touch)'!$AA$2:$AX$151,$AI24,COLUMN()-COLUMN($J$16)+1)&gt;0,OR($D24="03. UX Discovery",$D24="04. UX Design")),IF(AND($H24&lt;&gt;"",$H24&lt;=EOMONTH(U$12,0),$I24&gt;=U$12),"UX+DEV","UX"),IF(AND($H24&lt;&gt;"",$H24&lt;=EOMONTH(U$12,0),$I24&gt;=U$12),"DEV",""))))</f>
      </c>
      <c r="V24" s="158" t="str">
        <f>IF($AI24="","",IF(AND($AN24&lt;&gt;"",$AN24&lt;=EOMONTH(V$12,0),$AO24&gt;=V$12),IF(AND(INDEX('Roadmap Calc (Don’t Touch)'!$AA$2:$AX$151,$AI24,COLUMN()-COLUMN($J$16)+1)&gt;0,OR($D24="03. UX Discovery",$D24="04. UX Design")),IF(AND($H24&lt;&gt;"",$H24&lt;=EOMONTH(V$12,0),$I24&gt;=V$12),"ALL","PD+UX"),IF(AND($H24&lt;&gt;"",$H24&lt;=EOMONTH(V$12,0),$I24&gt;=V$12),"PD+DEV","PD")),IF(AND(INDEX('Roadmap Calc (Don’t Touch)'!$AA$2:$AX$151,$AI24,COLUMN()-COLUMN($J$16)+1)&gt;0,OR($D24="03. UX Discovery",$D24="04. UX Design")),IF(AND($H24&lt;&gt;"",$H24&lt;=EOMONTH(V$12,0),$I24&gt;=V$12),"UX+DEV","UX"),IF(AND($H24&lt;&gt;"",$H24&lt;=EOMONTH(V$12,0),$I24&gt;=V$12),"DEV",""))))</f>
      </c>
      <c r="W24" s="158" t="str">
        <f>IF($AI24="","",IF(AND($AN24&lt;&gt;"",$AN24&lt;=EOMONTH(W$12,0),$AO24&gt;=W$12),IF(AND(INDEX('Roadmap Calc (Don’t Touch)'!$AA$2:$AX$151,$AI24,COLUMN()-COLUMN($J$16)+1)&gt;0,OR($D24="03. UX Discovery",$D24="04. UX Design")),IF(AND($H24&lt;&gt;"",$H24&lt;=EOMONTH(W$12,0),$I24&gt;=W$12),"ALL","PD+UX"),IF(AND($H24&lt;&gt;"",$H24&lt;=EOMONTH(W$12,0),$I24&gt;=W$12),"PD+DEV","PD")),IF(AND(INDEX('Roadmap Calc (Don’t Touch)'!$AA$2:$AX$151,$AI24,COLUMN()-COLUMN($J$16)+1)&gt;0,OR($D24="03. UX Discovery",$D24="04. UX Design")),IF(AND($H24&lt;&gt;"",$H24&lt;=EOMONTH(W$12,0),$I24&gt;=W$12),"UX+DEV","UX"),IF(AND($H24&lt;&gt;"",$H24&lt;=EOMONTH(W$12,0),$I24&gt;=W$12),"DEV",""))))</f>
      </c>
      <c r="X24" s="158" t="str">
        <f>IF($AI24="","",IF(AND($AN24&lt;&gt;"",$AN24&lt;=EOMONTH(X$12,0),$AO24&gt;=X$12),IF(AND(INDEX('Roadmap Calc (Don’t Touch)'!$AA$2:$AX$151,$AI24,COLUMN()-COLUMN($J$16)+1)&gt;0,OR($D24="03. UX Discovery",$D24="04. UX Design")),IF(AND($H24&lt;&gt;"",$H24&lt;=EOMONTH(X$12,0),$I24&gt;=X$12),"ALL","PD+UX"),IF(AND($H24&lt;&gt;"",$H24&lt;=EOMONTH(X$12,0),$I24&gt;=X$12),"PD+DEV","PD")),IF(AND(INDEX('Roadmap Calc (Don’t Touch)'!$AA$2:$AX$151,$AI24,COLUMN()-COLUMN($J$16)+1)&gt;0,OR($D24="03. UX Discovery",$D24="04. UX Design")),IF(AND($H24&lt;&gt;"",$H24&lt;=EOMONTH(X$12,0),$I24&gt;=X$12),"UX+DEV","UX"),IF(AND($H24&lt;&gt;"",$H24&lt;=EOMONTH(X$12,0),$I24&gt;=X$12),"DEV",""))))</f>
      </c>
      <c r="Y24" s="158" t="str">
        <f>IF($AI24="","",IF(AND($AN24&lt;&gt;"",$AN24&lt;=EOMONTH(Y$12,0),$AO24&gt;=Y$12),IF(AND(INDEX('Roadmap Calc (Don’t Touch)'!$AA$2:$AX$151,$AI24,COLUMN()-COLUMN($J$16)+1)&gt;0,OR($D24="03. UX Discovery",$D24="04. UX Design")),IF(AND($H24&lt;&gt;"",$H24&lt;=EOMONTH(Y$12,0),$I24&gt;=Y$12),"ALL","PD+UX"),IF(AND($H24&lt;&gt;"",$H24&lt;=EOMONTH(Y$12,0),$I24&gt;=Y$12),"PD+DEV","PD")),IF(AND(INDEX('Roadmap Calc (Don’t Touch)'!$AA$2:$AX$151,$AI24,COLUMN()-COLUMN($J$16)+1)&gt;0,OR($D24="03. UX Discovery",$D24="04. UX Design")),IF(AND($H24&lt;&gt;"",$H24&lt;=EOMONTH(Y$12,0),$I24&gt;=Y$12),"UX+DEV","UX"),IF(AND($H24&lt;&gt;"",$H24&lt;=EOMONTH(Y$12,0),$I24&gt;=Y$12),"DEV",""))))</f>
      </c>
      <c r="Z24" s="158" t="str">
        <f>IF($AI24="","",IF(AND($AN24&lt;&gt;"",$AN24&lt;=EOMONTH(Z$12,0),$AO24&gt;=Z$12),IF(AND(INDEX('Roadmap Calc (Don’t Touch)'!$AA$2:$AX$151,$AI24,COLUMN()-COLUMN($J$16)+1)&gt;0,OR($D24="03. UX Discovery",$D24="04. UX Design")),IF(AND($H24&lt;&gt;"",$H24&lt;=EOMONTH(Z$12,0),$I24&gt;=Z$12),"ALL","PD+UX"),IF(AND($H24&lt;&gt;"",$H24&lt;=EOMONTH(Z$12,0),$I24&gt;=Z$12),"PD+DEV","PD")),IF(AND(INDEX('Roadmap Calc (Don’t Touch)'!$AA$2:$AX$151,$AI24,COLUMN()-COLUMN($J$16)+1)&gt;0,OR($D24="03. UX Discovery",$D24="04. UX Design")),IF(AND($H24&lt;&gt;"",$H24&lt;=EOMONTH(Z$12,0),$I24&gt;=Z$12),"UX+DEV","UX"),IF(AND($H24&lt;&gt;"",$H24&lt;=EOMONTH(Z$12,0),$I24&gt;=Z$12),"DEV",""))))</f>
      </c>
      <c r="AA24" s="158" t="str">
        <f>IF($AI24="","",IF(AND($AN24&lt;&gt;"",$AN24&lt;=EOMONTH(AA$12,0),$AO24&gt;=AA$12),IF(AND(INDEX('Roadmap Calc (Don’t Touch)'!$AA$2:$AX$151,$AI24,COLUMN()-COLUMN($J$16)+1)&gt;0,OR($D24="03. UX Discovery",$D24="04. UX Design")),IF(AND($H24&lt;&gt;"",$H24&lt;=EOMONTH(AA$12,0),$I24&gt;=AA$12),"ALL","PD+UX"),IF(AND($H24&lt;&gt;"",$H24&lt;=EOMONTH(AA$12,0),$I24&gt;=AA$12),"PD+DEV","PD")),IF(AND(INDEX('Roadmap Calc (Don’t Touch)'!$AA$2:$AX$151,$AI24,COLUMN()-COLUMN($J$16)+1)&gt;0,OR($D24="03. UX Discovery",$D24="04. UX Design")),IF(AND($H24&lt;&gt;"",$H24&lt;=EOMONTH(AA$12,0),$I24&gt;=AA$12),"UX+DEV","UX"),IF(AND($H24&lt;&gt;"",$H24&lt;=EOMONTH(AA$12,0),$I24&gt;=AA$12),"DEV",""))))</f>
      </c>
      <c r="AB24" s="158" t="str">
        <f>IF($AI24="","",IF(AND($AN24&lt;&gt;"",$AN24&lt;=EOMONTH(AB$12,0),$AO24&gt;=AB$12),IF(AND(INDEX('Roadmap Calc (Don’t Touch)'!$AA$2:$AX$151,$AI24,COLUMN()-COLUMN($J$16)+1)&gt;0,OR($D24="03. UX Discovery",$D24="04. UX Design")),IF(AND($H24&lt;&gt;"",$H24&lt;=EOMONTH(AB$12,0),$I24&gt;=AB$12),"ALL","PD+UX"),IF(AND($H24&lt;&gt;"",$H24&lt;=EOMONTH(AB$12,0),$I24&gt;=AB$12),"PD+DEV","PD")),IF(AND(INDEX('Roadmap Calc (Don’t Touch)'!$AA$2:$AX$151,$AI24,COLUMN()-COLUMN($J$16)+1)&gt;0,OR($D24="03. UX Discovery",$D24="04. UX Design")),IF(AND($H24&lt;&gt;"",$H24&lt;=EOMONTH(AB$12,0),$I24&gt;=AB$12),"UX+DEV","UX"),IF(AND($H24&lt;&gt;"",$H24&lt;=EOMONTH(AB$12,0),$I24&gt;=AB$12),"DEV",""))))</f>
      </c>
      <c r="AC24" s="158" t="str">
        <f>IF($AI24="","",IF(AND($AN24&lt;&gt;"",$AN24&lt;=EOMONTH(AC$12,0),$AO24&gt;=AC$12),IF(AND(INDEX('Roadmap Calc (Don’t Touch)'!$AA$2:$AX$151,$AI24,COLUMN()-COLUMN($J$16)+1)&gt;0,OR($D24="03. UX Discovery",$D24="04. UX Design")),IF(AND($H24&lt;&gt;"",$H24&lt;=EOMONTH(AC$12,0),$I24&gt;=AC$12),"ALL","PD+UX"),IF(AND($H24&lt;&gt;"",$H24&lt;=EOMONTH(AC$12,0),$I24&gt;=AC$12),"PD+DEV","PD")),IF(AND(INDEX('Roadmap Calc (Don’t Touch)'!$AA$2:$AX$151,$AI24,COLUMN()-COLUMN($J$16)+1)&gt;0,OR($D24="03. UX Discovery",$D24="04. UX Design")),IF(AND($H24&lt;&gt;"",$H24&lt;=EOMONTH(AC$12,0),$I24&gt;=AC$12),"UX+DEV","UX"),IF(AND($H24&lt;&gt;"",$H24&lt;=EOMONTH(AC$12,0),$I24&gt;=AC$12),"DEV",""))))</f>
      </c>
      <c r="AD24" s="158" t="str">
        <f>IF($AI24="","",IF(AND($AN24&lt;&gt;"",$AN24&lt;=EOMONTH(AD$12,0),$AO24&gt;=AD$12),IF(AND(INDEX('Roadmap Calc (Don’t Touch)'!$AA$2:$AX$151,$AI24,COLUMN()-COLUMN($J$16)+1)&gt;0,OR($D24="03. UX Discovery",$D24="04. UX Design")),IF(AND($H24&lt;&gt;"",$H24&lt;=EOMONTH(AD$12,0),$I24&gt;=AD$12),"ALL","PD+UX"),IF(AND($H24&lt;&gt;"",$H24&lt;=EOMONTH(AD$12,0),$I24&gt;=AD$12),"PD+DEV","PD")),IF(AND(INDEX('Roadmap Calc (Don’t Touch)'!$AA$2:$AX$151,$AI24,COLUMN()-COLUMN($J$16)+1)&gt;0,OR($D24="03. UX Discovery",$D24="04. UX Design")),IF(AND($H24&lt;&gt;"",$H24&lt;=EOMONTH(AD$12,0),$I24&gt;=AD$12),"UX+DEV","UX"),IF(AND($H24&lt;&gt;"",$H24&lt;=EOMONTH(AD$12,0),$I24&gt;=AD$12),"DEV",""))))</f>
      </c>
      <c r="AE24" s="158" t="str">
        <f>IF($AI24="","",IF(AND($AN24&lt;&gt;"",$AN24&lt;=EOMONTH(AE$12,0),$AO24&gt;=AE$12),IF(AND(INDEX('Roadmap Calc (Don’t Touch)'!$AA$2:$AX$151,$AI24,COLUMN()-COLUMN($J$16)+1)&gt;0,OR($D24="03. UX Discovery",$D24="04. UX Design")),IF(AND($H24&lt;&gt;"",$H24&lt;=EOMONTH(AE$12,0),$I24&gt;=AE$12),"ALL","PD+UX"),IF(AND($H24&lt;&gt;"",$H24&lt;=EOMONTH(AE$12,0),$I24&gt;=AE$12),"PD+DEV","PD")),IF(AND(INDEX('Roadmap Calc (Don’t Touch)'!$AA$2:$AX$151,$AI24,COLUMN()-COLUMN($J$16)+1)&gt;0,OR($D24="03. UX Discovery",$D24="04. UX Design")),IF(AND($H24&lt;&gt;"",$H24&lt;=EOMONTH(AE$12,0),$I24&gt;=AE$12),"UX+DEV","UX"),IF(AND($H24&lt;&gt;"",$H24&lt;=EOMONTH(AE$12,0),$I24&gt;=AE$12),"DEV",""))))</f>
      </c>
      <c r="AF24" s="158" t="str">
        <f>IF($AI24="","",IF(AND($AN24&lt;&gt;"",$AN24&lt;=EOMONTH(AF$12,0),$AO24&gt;=AF$12),IF(AND(INDEX('Roadmap Calc (Don’t Touch)'!$AA$2:$AX$151,$AI24,COLUMN()-COLUMN($J$16)+1)&gt;0,OR($D24="03. UX Discovery",$D24="04. UX Design")),IF(AND($H24&lt;&gt;"",$H24&lt;=EOMONTH(AF$12,0),$I24&gt;=AF$12),"ALL","PD+UX"),IF(AND($H24&lt;&gt;"",$H24&lt;=EOMONTH(AF$12,0),$I24&gt;=AF$12),"PD+DEV","PD")),IF(AND(INDEX('Roadmap Calc (Don’t Touch)'!$AA$2:$AX$151,$AI24,COLUMN()-COLUMN($J$16)+1)&gt;0,OR($D24="03. UX Discovery",$D24="04. UX Design")),IF(AND($H24&lt;&gt;"",$H24&lt;=EOMONTH(AF$12,0),$I24&gt;=AF$12),"UX+DEV","UX"),IF(AND($H24&lt;&gt;"",$H24&lt;=EOMONTH(AF$12,0),$I24&gt;=AF$12),"DEV",""))))</f>
      </c>
      <c r="AG24" s="158" t="str">
        <f>IF($AI24="","",IF(AND($AN24&lt;&gt;"",$AN24&lt;=EOMONTH(AG$12,0),$AO24&gt;=AG$12),IF(AND(INDEX('Roadmap Calc (Don’t Touch)'!$AA$2:$AX$151,$AI24,COLUMN()-COLUMN($J$16)+1)&gt;0,OR($D24="03. UX Discovery",$D24="04. UX Design")),IF(AND($H24&lt;&gt;"",$H24&lt;=EOMONTH(AG$12,0),$I24&gt;=AG$12),"ALL","PD+UX"),IF(AND($H24&lt;&gt;"",$H24&lt;=EOMONTH(AG$12,0),$I24&gt;=AG$12),"PD+DEV","PD")),IF(AND(INDEX('Roadmap Calc (Don’t Touch)'!$AA$2:$AX$151,$AI24,COLUMN()-COLUMN($J$16)+1)&gt;0,OR($D24="03. UX Discovery",$D24="04. UX Design")),IF(AND($H24&lt;&gt;"",$H24&lt;=EOMONTH(AG$12,0),$I24&gt;=AG$12),"UX+DEV","UX"),IF(AND($H24&lt;&gt;"",$H24&lt;=EOMONTH(AG$12,0),$I24&gt;=AG$12),"DEV",""))))</f>
      </c>
      <c r="AH24" s="145" t="str">
        <f>IF($AI24="","",INDEX('Roadmap Calc (Don’t Touch)'!$D$2:$D$151,$AI24))</f>
        <v>Improve Trade In User Flow</v>
      </c>
      <c r="AI24" s="145">
        <f>IFERROR(MATCH(9,'Roadmap Calc (Don’t Touch)'!$O$2:$O$151,0),"")</f>
        <v>22</v>
      </c>
      <c r="AJ24" s="145"/>
      <c r="AK24" s="145"/>
      <c r="AL24" s="147" t="str">
        <f>IF(COUNTA(Control!B22)=0,"",Control!B22)</f>
        <v/>
      </c>
      <c r="AM24" s="145"/>
      <c r="AN24">
        <f>IF($AI24="","",IF(ISNUMBER(INDEX('Roadmap Calc (Don’t Touch)'!$BB$2:$BB$151,$AI24)),INDEX('Roadmap Calc (Don’t Touch)'!$BB$2:$BB$151,$AI24),""))</f>
      </c>
      <c r="AO24">
        <f>IF($AI24="","",IF(ISNUMBER(INDEX('Roadmap Calc (Don’t Touch)'!$BC$2:$BC$151,$AI24)),INDEX('Roadmap Calc (Don’t Touch)'!$BC$2:$BC$151,$AI24),""))</f>
      </c>
    </row>
    <row r="25" spans="1:41" ht="20" customHeight="1" x14ac:dyDescent="0.25">
      <c r="A25" s="198" t="str">
        <f>IF($AI25="","",IF($AH25=$AH24,"",IF(INDEX('Roadmap Calc (Don’t Touch)'!$U$2:$U$151,$AI25)=0,$AH25,HYPERLINK("#'Control (Don’t Touch)'!E"&amp;INDEX('Roadmap Calc (Don’t Touch)'!$U$2:$U$151,$AI25),$AH25))))</f>
        <v/>
      </c>
      <c r="B25" s="159" t="str">
        <f>IF($AI25="","",IF(INDEX('Roadmap Calc (Don’t Touch)'!$K$2:$K$151,$AI25)="",INDEX('Roadmap Calc (Don’t Touch)'!$B$2:$B$151,$AI25),HYPERLINK("https://jira.bnh.com/browse/"&amp;INDEX('Roadmap Calc (Don’t Touch)'!$K$2:$K$151,$AI25),INDEX('Roadmap Calc (Don’t Touch)'!$B$2:$B$151,$AI25))))</f>
        <v>Sell Used User Flow Design Validation</v>
      </c>
      <c r="C25" s="159" t="str">
        <f>IF($AI25="","",IF(INDEX('Roadmap Calc (Don’t Touch)'!$E$2:$E$151,$AI25)="","",HYPERLINK("https://jira.bnh.com/browse/"&amp;INDEX('Roadmap Calc (Don’t Touch)'!$E$2:$E$151,$AI25),INDEX('Roadmap Calc (Don’t Touch)'!$E$2:$E$151,$AI25))))</f>
        <v>BHUR-133</v>
      </c>
      <c r="D25" s="161" t="str">
        <f>IF($AI25="","",INDEX('Roadmap Calc (Don’t Touch)'!$F$2:$F$151,$AI25))</f>
        <v>04A. Research - Design Validation</v>
      </c>
      <c r="E25" s="155">
        <f>IF($AI25="","",IF(ISNUMBER(INDEX('Roadmap Calc (Don’t Touch)'!$G$2:$G$151,$AI25)),INDEX('Roadmap Calc (Don’t Touch)'!$G$2:$G$151,$AI25),""))</f>
        <v>46209</v>
      </c>
      <c r="F25" s="155">
        <f>IF($AI25="","",IF(ISNUMBER(INDEX('Roadmap Calc (Don’t Touch)'!$H$2:$H$151,$AI25)),INDEX('Roadmap Calc (Don’t Touch)'!$H$2:$H$151,$AI25),""))</f>
        <v>46272</v>
      </c>
      <c r="G25" s="156">
        <f>IF($AI25="","",INDEX('Roadmap Calc (Don’t Touch)'!$T$2:$T$151,$AI25))</f>
        <v>10</v>
      </c>
      <c r="H25" s="157" t="str">
        <f ca="1">IF($AI25="","",IF(ISNUMBER(INDEX('Roadmap Calc (Don’t Touch)'!$I$2:$I$151,$AI25)),INDEX('Roadmap Calc (Don’t Touch)'!$I$2:$I$151,$AI25),""))</f>
        <v/>
      </c>
      <c r="I25" s="157" t="str">
        <f ca="1">IF($AI25="","",IF(ISNUMBER(INDEX('Roadmap Calc (Don’t Touch)'!$J$2:$J$151,$AI25)),INDEX('Roadmap Calc (Don’t Touch)'!$J$2:$J$151,$AI25),""))</f>
        <v/>
      </c>
      <c r="J25" s="158" t="str">
        <f>IF($AI25="","",IF(AND($AN25&lt;&gt;"",$AN25&lt;=EOMONTH(J$12,0),$AO25&gt;=J$12),IF(AND(INDEX('Roadmap Calc (Don’t Touch)'!$AA$2:$AX$151,$AI25,COLUMN()-COLUMN($J$16)+1)&gt;0,OR($D25="03. UX Discovery",$D25="04. UX Design")),IF(AND($H25&lt;&gt;"",$H25&lt;=EOMONTH(J$12,0),$I25&gt;=J$12),"ALL","PD+UX"),IF(AND($H25&lt;&gt;"",$H25&lt;=EOMONTH(J$12,0),$I25&gt;=J$12),"PD+DEV","PD")),IF(AND(INDEX('Roadmap Calc (Don’t Touch)'!$AA$2:$AX$151,$AI25,COLUMN()-COLUMN($J$16)+1)&gt;0,OR($D25="03. UX Discovery",$D25="04. UX Design")),IF(AND($H25&lt;&gt;"",$H25&lt;=EOMONTH(J$12,0),$I25&gt;=J$12),"UX+DEV","UX"),IF(AND($H25&lt;&gt;"",$H25&lt;=EOMONTH(J$12,0),$I25&gt;=J$12),"DEV",""))))</f>
      </c>
      <c r="K25" s="158" t="str">
        <f>IF($AI25="","",IF(AND($AN25&lt;&gt;"",$AN25&lt;=EOMONTH(K$12,0),$AO25&gt;=K$12),IF(AND(INDEX('Roadmap Calc (Don’t Touch)'!$AA$2:$AX$151,$AI25,COLUMN()-COLUMN($J$16)+1)&gt;0,OR($D25="03. UX Discovery",$D25="04. UX Design")),IF(AND($H25&lt;&gt;"",$H25&lt;=EOMONTH(K$12,0),$I25&gt;=K$12),"ALL","PD+UX"),IF(AND($H25&lt;&gt;"",$H25&lt;=EOMONTH(K$12,0),$I25&gt;=K$12),"PD+DEV","PD")),IF(AND(INDEX('Roadmap Calc (Don’t Touch)'!$AA$2:$AX$151,$AI25,COLUMN()-COLUMN($J$16)+1)&gt;0,OR($D25="03. UX Discovery",$D25="04. UX Design")),IF(AND($H25&lt;&gt;"",$H25&lt;=EOMONTH(K$12,0),$I25&gt;=K$12),"UX+DEV","UX"),IF(AND($H25&lt;&gt;"",$H25&lt;=EOMONTH(K$12,0),$I25&gt;=K$12),"DEV",""))))</f>
      </c>
      <c r="L25" s="158" t="str">
        <f>IF($AI25="","",IF(AND($AN25&lt;&gt;"",$AN25&lt;=EOMONTH(L$12,0),$AO25&gt;=L$12),IF(AND(INDEX('Roadmap Calc (Don’t Touch)'!$AA$2:$AX$151,$AI25,COLUMN()-COLUMN($J$16)+1)&gt;0,OR($D25="03. UX Discovery",$D25="04. UX Design")),IF(AND($H25&lt;&gt;"",$H25&lt;=EOMONTH(L$12,0),$I25&gt;=L$12),"ALL","PD+UX"),IF(AND($H25&lt;&gt;"",$H25&lt;=EOMONTH(L$12,0),$I25&gt;=L$12),"PD+DEV","PD")),IF(AND(INDEX('Roadmap Calc (Don’t Touch)'!$AA$2:$AX$151,$AI25,COLUMN()-COLUMN($J$16)+1)&gt;0,OR($D25="03. UX Discovery",$D25="04. UX Design")),IF(AND($H25&lt;&gt;"",$H25&lt;=EOMONTH(L$12,0),$I25&gt;=L$12),"UX+DEV","UX"),IF(AND($H25&lt;&gt;"",$H25&lt;=EOMONTH(L$12,0),$I25&gt;=L$12),"DEV",""))))</f>
      </c>
      <c r="M25" s="158" t="str">
        <f>IF($AI25="","",IF(AND($AN25&lt;&gt;"",$AN25&lt;=EOMONTH(M$12,0),$AO25&gt;=M$12),IF(AND(INDEX('Roadmap Calc (Don’t Touch)'!$AA$2:$AX$151,$AI25,COLUMN()-COLUMN($J$16)+1)&gt;0,OR($D25="03. UX Discovery",$D25="04. UX Design")),IF(AND($H25&lt;&gt;"",$H25&lt;=EOMONTH(M$12,0),$I25&gt;=M$12),"ALL","PD+UX"),IF(AND($H25&lt;&gt;"",$H25&lt;=EOMONTH(M$12,0),$I25&gt;=M$12),"PD+DEV","PD")),IF(AND(INDEX('Roadmap Calc (Don’t Touch)'!$AA$2:$AX$151,$AI25,COLUMN()-COLUMN($J$16)+1)&gt;0,OR($D25="03. UX Discovery",$D25="04. UX Design")),IF(AND($H25&lt;&gt;"",$H25&lt;=EOMONTH(M$12,0),$I25&gt;=M$12),"UX+DEV","UX"),IF(AND($H25&lt;&gt;"",$H25&lt;=EOMONTH(M$12,0),$I25&gt;=M$12),"DEV",""))))</f>
      </c>
      <c r="N25" s="158" t="str">
        <f>IF($AI25="","",IF(AND($AN25&lt;&gt;"",$AN25&lt;=EOMONTH(N$12,0),$AO25&gt;=N$12),IF(AND(INDEX('Roadmap Calc (Don’t Touch)'!$AA$2:$AX$151,$AI25,COLUMN()-COLUMN($J$16)+1)&gt;0,OR($D25="03. UX Discovery",$D25="04. UX Design")),IF(AND($H25&lt;&gt;"",$H25&lt;=EOMONTH(N$12,0),$I25&gt;=N$12),"ALL","PD+UX"),IF(AND($H25&lt;&gt;"",$H25&lt;=EOMONTH(N$12,0),$I25&gt;=N$12),"PD+DEV","PD")),IF(AND(INDEX('Roadmap Calc (Don’t Touch)'!$AA$2:$AX$151,$AI25,COLUMN()-COLUMN($J$16)+1)&gt;0,OR($D25="03. UX Discovery",$D25="04. UX Design")),IF(AND($H25&lt;&gt;"",$H25&lt;=EOMONTH(N$12,0),$I25&gt;=N$12),"UX+DEV","UX"),IF(AND($H25&lt;&gt;"",$H25&lt;=EOMONTH(N$12,0),$I25&gt;=N$12),"DEV",""))))</f>
      </c>
      <c r="O25" s="158" t="str">
        <f>IF($AI25="","",IF(AND($AN25&lt;&gt;"",$AN25&lt;=EOMONTH(O$12,0),$AO25&gt;=O$12),IF(AND(INDEX('Roadmap Calc (Don’t Touch)'!$AA$2:$AX$151,$AI25,COLUMN()-COLUMN($J$16)+1)&gt;0,OR($D25="03. UX Discovery",$D25="04. UX Design")),IF(AND($H25&lt;&gt;"",$H25&lt;=EOMONTH(O$12,0),$I25&gt;=O$12),"ALL","PD+UX"),IF(AND($H25&lt;&gt;"",$H25&lt;=EOMONTH(O$12,0),$I25&gt;=O$12),"PD+DEV","PD")),IF(AND(INDEX('Roadmap Calc (Don’t Touch)'!$AA$2:$AX$151,$AI25,COLUMN()-COLUMN($J$16)+1)&gt;0,OR($D25="03. UX Discovery",$D25="04. UX Design")),IF(AND($H25&lt;&gt;"",$H25&lt;=EOMONTH(O$12,0),$I25&gt;=O$12),"UX+DEV","UX"),IF(AND($H25&lt;&gt;"",$H25&lt;=EOMONTH(O$12,0),$I25&gt;=O$12),"DEV",""))))</f>
      </c>
      <c r="P25" s="158" t="str">
        <f>IF($AI25="","",IF(AND($AN25&lt;&gt;"",$AN25&lt;=EOMONTH(P$12,0),$AO25&gt;=P$12),IF(AND(INDEX('Roadmap Calc (Don’t Touch)'!$AA$2:$AX$151,$AI25,COLUMN()-COLUMN($J$16)+1)&gt;0,OR($D25="03. UX Discovery",$D25="04. UX Design")),IF(AND($H25&lt;&gt;"",$H25&lt;=EOMONTH(P$12,0),$I25&gt;=P$12),"ALL","PD+UX"),IF(AND($H25&lt;&gt;"",$H25&lt;=EOMONTH(P$12,0),$I25&gt;=P$12),"PD+DEV","PD")),IF(AND(INDEX('Roadmap Calc (Don’t Touch)'!$AA$2:$AX$151,$AI25,COLUMN()-COLUMN($J$16)+1)&gt;0,OR($D25="03. UX Discovery",$D25="04. UX Design")),IF(AND($H25&lt;&gt;"",$H25&lt;=EOMONTH(P$12,0),$I25&gt;=P$12),"UX+DEV","UX"),IF(AND($H25&lt;&gt;"",$H25&lt;=EOMONTH(P$12,0),$I25&gt;=P$12),"DEV",""))))</f>
      </c>
      <c r="Q25" s="158" t="str">
        <f>IF($AI25="","",IF(AND($AN25&lt;&gt;"",$AN25&lt;=EOMONTH(Q$12,0),$AO25&gt;=Q$12),IF(AND(INDEX('Roadmap Calc (Don’t Touch)'!$AA$2:$AX$151,$AI25,COLUMN()-COLUMN($J$16)+1)&gt;0,OR($D25="03. UX Discovery",$D25="04. UX Design")),IF(AND($H25&lt;&gt;"",$H25&lt;=EOMONTH(Q$12,0),$I25&gt;=Q$12),"ALL","PD+UX"),IF(AND($H25&lt;&gt;"",$H25&lt;=EOMONTH(Q$12,0),$I25&gt;=Q$12),"PD+DEV","PD")),IF(AND(INDEX('Roadmap Calc (Don’t Touch)'!$AA$2:$AX$151,$AI25,COLUMN()-COLUMN($J$16)+1)&gt;0,OR($D25="03. UX Discovery",$D25="04. UX Design")),IF(AND($H25&lt;&gt;"",$H25&lt;=EOMONTH(Q$12,0),$I25&gt;=Q$12),"UX+DEV","UX"),IF(AND($H25&lt;&gt;"",$H25&lt;=EOMONTH(Q$12,0),$I25&gt;=Q$12),"DEV",""))))</f>
      </c>
      <c r="R25" s="158" t="str">
        <f>IF($AI25="","",IF(AND($AN25&lt;&gt;"",$AN25&lt;=EOMONTH(R$12,0),$AO25&gt;=R$12),IF(AND(INDEX('Roadmap Calc (Don’t Touch)'!$AA$2:$AX$151,$AI25,COLUMN()-COLUMN($J$16)+1)&gt;0,OR($D25="03. UX Discovery",$D25="04. UX Design")),IF(AND($H25&lt;&gt;"",$H25&lt;=EOMONTH(R$12,0),$I25&gt;=R$12),"ALL","PD+UX"),IF(AND($H25&lt;&gt;"",$H25&lt;=EOMONTH(R$12,0),$I25&gt;=R$12),"PD+DEV","PD")),IF(AND(INDEX('Roadmap Calc (Don’t Touch)'!$AA$2:$AX$151,$AI25,COLUMN()-COLUMN($J$16)+1)&gt;0,OR($D25="03. UX Discovery",$D25="04. UX Design")),IF(AND($H25&lt;&gt;"",$H25&lt;=EOMONTH(R$12,0),$I25&gt;=R$12),"UX+DEV","UX"),IF(AND($H25&lt;&gt;"",$H25&lt;=EOMONTH(R$12,0),$I25&gt;=R$12),"DEV",""))))</f>
      </c>
      <c r="S25" s="158" t="str">
        <f>IF($AI25="","",IF(AND($AN25&lt;&gt;"",$AN25&lt;=EOMONTH(S$12,0),$AO25&gt;=S$12),IF(AND(INDEX('Roadmap Calc (Don’t Touch)'!$AA$2:$AX$151,$AI25,COLUMN()-COLUMN($J$16)+1)&gt;0,OR($D25="03. UX Discovery",$D25="04. UX Design")),IF(AND($H25&lt;&gt;"",$H25&lt;=EOMONTH(S$12,0),$I25&gt;=S$12),"ALL","PD+UX"),IF(AND($H25&lt;&gt;"",$H25&lt;=EOMONTH(S$12,0),$I25&gt;=S$12),"PD+DEV","PD")),IF(AND(INDEX('Roadmap Calc (Don’t Touch)'!$AA$2:$AX$151,$AI25,COLUMN()-COLUMN($J$16)+1)&gt;0,OR($D25="03. UX Discovery",$D25="04. UX Design")),IF(AND($H25&lt;&gt;"",$H25&lt;=EOMONTH(S$12,0),$I25&gt;=S$12),"UX+DEV","UX"),IF(AND($H25&lt;&gt;"",$H25&lt;=EOMONTH(S$12,0),$I25&gt;=S$12),"DEV",""))))</f>
      </c>
      <c r="T25" s="158" t="str">
        <f>IF($AI25="","",IF(AND($AN25&lt;&gt;"",$AN25&lt;=EOMONTH(T$12,0),$AO25&gt;=T$12),IF(AND(INDEX('Roadmap Calc (Don’t Touch)'!$AA$2:$AX$151,$AI25,COLUMN()-COLUMN($J$16)+1)&gt;0,OR($D25="03. UX Discovery",$D25="04. UX Design")),IF(AND($H25&lt;&gt;"",$H25&lt;=EOMONTH(T$12,0),$I25&gt;=T$12),"ALL","PD+UX"),IF(AND($H25&lt;&gt;"",$H25&lt;=EOMONTH(T$12,0),$I25&gt;=T$12),"PD+DEV","PD")),IF(AND(INDEX('Roadmap Calc (Don’t Touch)'!$AA$2:$AX$151,$AI25,COLUMN()-COLUMN($J$16)+1)&gt;0,OR($D25="03. UX Discovery",$D25="04. UX Design")),IF(AND($H25&lt;&gt;"",$H25&lt;=EOMONTH(T$12,0),$I25&gt;=T$12),"UX+DEV","UX"),IF(AND($H25&lt;&gt;"",$H25&lt;=EOMONTH(T$12,0),$I25&gt;=T$12),"DEV",""))))</f>
      </c>
      <c r="U25" s="158" t="str">
        <f>IF($AI25="","",IF(AND($AN25&lt;&gt;"",$AN25&lt;=EOMONTH(U$12,0),$AO25&gt;=U$12),IF(AND(INDEX('Roadmap Calc (Don’t Touch)'!$AA$2:$AX$151,$AI25,COLUMN()-COLUMN($J$16)+1)&gt;0,OR($D25="03. UX Discovery",$D25="04. UX Design")),IF(AND($H25&lt;&gt;"",$H25&lt;=EOMONTH(U$12,0),$I25&gt;=U$12),"ALL","PD+UX"),IF(AND($H25&lt;&gt;"",$H25&lt;=EOMONTH(U$12,0),$I25&gt;=U$12),"PD+DEV","PD")),IF(AND(INDEX('Roadmap Calc (Don’t Touch)'!$AA$2:$AX$151,$AI25,COLUMN()-COLUMN($J$16)+1)&gt;0,OR($D25="03. UX Discovery",$D25="04. UX Design")),IF(AND($H25&lt;&gt;"",$H25&lt;=EOMONTH(U$12,0),$I25&gt;=U$12),"UX+DEV","UX"),IF(AND($H25&lt;&gt;"",$H25&lt;=EOMONTH(U$12,0),$I25&gt;=U$12),"DEV",""))))</f>
      </c>
      <c r="V25" s="158" t="str">
        <f>IF($AI25="","",IF(AND($AN25&lt;&gt;"",$AN25&lt;=EOMONTH(V$12,0),$AO25&gt;=V$12),IF(AND(INDEX('Roadmap Calc (Don’t Touch)'!$AA$2:$AX$151,$AI25,COLUMN()-COLUMN($J$16)+1)&gt;0,OR($D25="03. UX Discovery",$D25="04. UX Design")),IF(AND($H25&lt;&gt;"",$H25&lt;=EOMONTH(V$12,0),$I25&gt;=V$12),"ALL","PD+UX"),IF(AND($H25&lt;&gt;"",$H25&lt;=EOMONTH(V$12,0),$I25&gt;=V$12),"PD+DEV","PD")),IF(AND(INDEX('Roadmap Calc (Don’t Touch)'!$AA$2:$AX$151,$AI25,COLUMN()-COLUMN($J$16)+1)&gt;0,OR($D25="03. UX Discovery",$D25="04. UX Design")),IF(AND($H25&lt;&gt;"",$H25&lt;=EOMONTH(V$12,0),$I25&gt;=V$12),"UX+DEV","UX"),IF(AND($H25&lt;&gt;"",$H25&lt;=EOMONTH(V$12,0),$I25&gt;=V$12),"DEV",""))))</f>
      </c>
      <c r="W25" s="158" t="str">
        <f>IF($AI25="","",IF(AND($AN25&lt;&gt;"",$AN25&lt;=EOMONTH(W$12,0),$AO25&gt;=W$12),IF(AND(INDEX('Roadmap Calc (Don’t Touch)'!$AA$2:$AX$151,$AI25,COLUMN()-COLUMN($J$16)+1)&gt;0,OR($D25="03. UX Discovery",$D25="04. UX Design")),IF(AND($H25&lt;&gt;"",$H25&lt;=EOMONTH(W$12,0),$I25&gt;=W$12),"ALL","PD+UX"),IF(AND($H25&lt;&gt;"",$H25&lt;=EOMONTH(W$12,0),$I25&gt;=W$12),"PD+DEV","PD")),IF(AND(INDEX('Roadmap Calc (Don’t Touch)'!$AA$2:$AX$151,$AI25,COLUMN()-COLUMN($J$16)+1)&gt;0,OR($D25="03. UX Discovery",$D25="04. UX Design")),IF(AND($H25&lt;&gt;"",$H25&lt;=EOMONTH(W$12,0),$I25&gt;=W$12),"UX+DEV","UX"),IF(AND($H25&lt;&gt;"",$H25&lt;=EOMONTH(W$12,0),$I25&gt;=W$12),"DEV",""))))</f>
      </c>
      <c r="X25" s="158" t="str">
        <f>IF($AI25="","",IF(AND($AN25&lt;&gt;"",$AN25&lt;=EOMONTH(X$12,0),$AO25&gt;=X$12),IF(AND(INDEX('Roadmap Calc (Don’t Touch)'!$AA$2:$AX$151,$AI25,COLUMN()-COLUMN($J$16)+1)&gt;0,OR($D25="03. UX Discovery",$D25="04. UX Design")),IF(AND($H25&lt;&gt;"",$H25&lt;=EOMONTH(X$12,0),$I25&gt;=X$12),"ALL","PD+UX"),IF(AND($H25&lt;&gt;"",$H25&lt;=EOMONTH(X$12,0),$I25&gt;=X$12),"PD+DEV","PD")),IF(AND(INDEX('Roadmap Calc (Don’t Touch)'!$AA$2:$AX$151,$AI25,COLUMN()-COLUMN($J$16)+1)&gt;0,OR($D25="03. UX Discovery",$D25="04. UX Design")),IF(AND($H25&lt;&gt;"",$H25&lt;=EOMONTH(X$12,0),$I25&gt;=X$12),"UX+DEV","UX"),IF(AND($H25&lt;&gt;"",$H25&lt;=EOMONTH(X$12,0),$I25&gt;=X$12),"DEV",""))))</f>
      </c>
      <c r="Y25" s="158" t="str">
        <f>IF($AI25="","",IF(AND($AN25&lt;&gt;"",$AN25&lt;=EOMONTH(Y$12,0),$AO25&gt;=Y$12),IF(AND(INDEX('Roadmap Calc (Don’t Touch)'!$AA$2:$AX$151,$AI25,COLUMN()-COLUMN($J$16)+1)&gt;0,OR($D25="03. UX Discovery",$D25="04. UX Design")),IF(AND($H25&lt;&gt;"",$H25&lt;=EOMONTH(Y$12,0),$I25&gt;=Y$12),"ALL","PD+UX"),IF(AND($H25&lt;&gt;"",$H25&lt;=EOMONTH(Y$12,0),$I25&gt;=Y$12),"PD+DEV","PD")),IF(AND(INDEX('Roadmap Calc (Don’t Touch)'!$AA$2:$AX$151,$AI25,COLUMN()-COLUMN($J$16)+1)&gt;0,OR($D25="03. UX Discovery",$D25="04. UX Design")),IF(AND($H25&lt;&gt;"",$H25&lt;=EOMONTH(Y$12,0),$I25&gt;=Y$12),"UX+DEV","UX"),IF(AND($H25&lt;&gt;"",$H25&lt;=EOMONTH(Y$12,0),$I25&gt;=Y$12),"DEV",""))))</f>
      </c>
      <c r="Z25" s="158" t="str">
        <f>IF($AI25="","",IF(AND($AN25&lt;&gt;"",$AN25&lt;=EOMONTH(Z$12,0),$AO25&gt;=Z$12),IF(AND(INDEX('Roadmap Calc (Don’t Touch)'!$AA$2:$AX$151,$AI25,COLUMN()-COLUMN($J$16)+1)&gt;0,OR($D25="03. UX Discovery",$D25="04. UX Design")),IF(AND($H25&lt;&gt;"",$H25&lt;=EOMONTH(Z$12,0),$I25&gt;=Z$12),"ALL","PD+UX"),IF(AND($H25&lt;&gt;"",$H25&lt;=EOMONTH(Z$12,0),$I25&gt;=Z$12),"PD+DEV","PD")),IF(AND(INDEX('Roadmap Calc (Don’t Touch)'!$AA$2:$AX$151,$AI25,COLUMN()-COLUMN($J$16)+1)&gt;0,OR($D25="03. UX Discovery",$D25="04. UX Design")),IF(AND($H25&lt;&gt;"",$H25&lt;=EOMONTH(Z$12,0),$I25&gt;=Z$12),"UX+DEV","UX"),IF(AND($H25&lt;&gt;"",$H25&lt;=EOMONTH(Z$12,0),$I25&gt;=Z$12),"DEV",""))))</f>
      </c>
      <c r="AA25" s="158" t="str">
        <f>IF($AI25="","",IF(AND($AN25&lt;&gt;"",$AN25&lt;=EOMONTH(AA$12,0),$AO25&gt;=AA$12),IF(AND(INDEX('Roadmap Calc (Don’t Touch)'!$AA$2:$AX$151,$AI25,COLUMN()-COLUMN($J$16)+1)&gt;0,OR($D25="03. UX Discovery",$D25="04. UX Design")),IF(AND($H25&lt;&gt;"",$H25&lt;=EOMONTH(AA$12,0),$I25&gt;=AA$12),"ALL","PD+UX"),IF(AND($H25&lt;&gt;"",$H25&lt;=EOMONTH(AA$12,0),$I25&gt;=AA$12),"PD+DEV","PD")),IF(AND(INDEX('Roadmap Calc (Don’t Touch)'!$AA$2:$AX$151,$AI25,COLUMN()-COLUMN($J$16)+1)&gt;0,OR($D25="03. UX Discovery",$D25="04. UX Design")),IF(AND($H25&lt;&gt;"",$H25&lt;=EOMONTH(AA$12,0),$I25&gt;=AA$12),"UX+DEV","UX"),IF(AND($H25&lt;&gt;"",$H25&lt;=EOMONTH(AA$12,0),$I25&gt;=AA$12),"DEV",""))))</f>
      </c>
      <c r="AB25" s="158" t="str">
        <f>IF($AI25="","",IF(AND($AN25&lt;&gt;"",$AN25&lt;=EOMONTH(AB$12,0),$AO25&gt;=AB$12),IF(AND(INDEX('Roadmap Calc (Don’t Touch)'!$AA$2:$AX$151,$AI25,COLUMN()-COLUMN($J$16)+1)&gt;0,OR($D25="03. UX Discovery",$D25="04. UX Design")),IF(AND($H25&lt;&gt;"",$H25&lt;=EOMONTH(AB$12,0),$I25&gt;=AB$12),"ALL","PD+UX"),IF(AND($H25&lt;&gt;"",$H25&lt;=EOMONTH(AB$12,0),$I25&gt;=AB$12),"PD+DEV","PD")),IF(AND(INDEX('Roadmap Calc (Don’t Touch)'!$AA$2:$AX$151,$AI25,COLUMN()-COLUMN($J$16)+1)&gt;0,OR($D25="03. UX Discovery",$D25="04. UX Design")),IF(AND($H25&lt;&gt;"",$H25&lt;=EOMONTH(AB$12,0),$I25&gt;=AB$12),"UX+DEV","UX"),IF(AND($H25&lt;&gt;"",$H25&lt;=EOMONTH(AB$12,0),$I25&gt;=AB$12),"DEV",""))))</f>
      </c>
      <c r="AC25" s="158" t="str">
        <f>IF($AI25="","",IF(AND($AN25&lt;&gt;"",$AN25&lt;=EOMONTH(AC$12,0),$AO25&gt;=AC$12),IF(AND(INDEX('Roadmap Calc (Don’t Touch)'!$AA$2:$AX$151,$AI25,COLUMN()-COLUMN($J$16)+1)&gt;0,OR($D25="03. UX Discovery",$D25="04. UX Design")),IF(AND($H25&lt;&gt;"",$H25&lt;=EOMONTH(AC$12,0),$I25&gt;=AC$12),"ALL","PD+UX"),IF(AND($H25&lt;&gt;"",$H25&lt;=EOMONTH(AC$12,0),$I25&gt;=AC$12),"PD+DEV","PD")),IF(AND(INDEX('Roadmap Calc (Don’t Touch)'!$AA$2:$AX$151,$AI25,COLUMN()-COLUMN($J$16)+1)&gt;0,OR($D25="03. UX Discovery",$D25="04. UX Design")),IF(AND($H25&lt;&gt;"",$H25&lt;=EOMONTH(AC$12,0),$I25&gt;=AC$12),"UX+DEV","UX"),IF(AND($H25&lt;&gt;"",$H25&lt;=EOMONTH(AC$12,0),$I25&gt;=AC$12),"DEV",""))))</f>
      </c>
      <c r="AD25" s="158" t="str">
        <f>IF($AI25="","",IF(AND($AN25&lt;&gt;"",$AN25&lt;=EOMONTH(AD$12,0),$AO25&gt;=AD$12),IF(AND(INDEX('Roadmap Calc (Don’t Touch)'!$AA$2:$AX$151,$AI25,COLUMN()-COLUMN($J$16)+1)&gt;0,OR($D25="03. UX Discovery",$D25="04. UX Design")),IF(AND($H25&lt;&gt;"",$H25&lt;=EOMONTH(AD$12,0),$I25&gt;=AD$12),"ALL","PD+UX"),IF(AND($H25&lt;&gt;"",$H25&lt;=EOMONTH(AD$12,0),$I25&gt;=AD$12),"PD+DEV","PD")),IF(AND(INDEX('Roadmap Calc (Don’t Touch)'!$AA$2:$AX$151,$AI25,COLUMN()-COLUMN($J$16)+1)&gt;0,OR($D25="03. UX Discovery",$D25="04. UX Design")),IF(AND($H25&lt;&gt;"",$H25&lt;=EOMONTH(AD$12,0),$I25&gt;=AD$12),"UX+DEV","UX"),IF(AND($H25&lt;&gt;"",$H25&lt;=EOMONTH(AD$12,0),$I25&gt;=AD$12),"DEV",""))))</f>
      </c>
      <c r="AE25" s="158" t="str">
        <f>IF($AI25="","",IF(AND($AN25&lt;&gt;"",$AN25&lt;=EOMONTH(AE$12,0),$AO25&gt;=AE$12),IF(AND(INDEX('Roadmap Calc (Don’t Touch)'!$AA$2:$AX$151,$AI25,COLUMN()-COLUMN($J$16)+1)&gt;0,OR($D25="03. UX Discovery",$D25="04. UX Design")),IF(AND($H25&lt;&gt;"",$H25&lt;=EOMONTH(AE$12,0),$I25&gt;=AE$12),"ALL","PD+UX"),IF(AND($H25&lt;&gt;"",$H25&lt;=EOMONTH(AE$12,0),$I25&gt;=AE$12),"PD+DEV","PD")),IF(AND(INDEX('Roadmap Calc (Don’t Touch)'!$AA$2:$AX$151,$AI25,COLUMN()-COLUMN($J$16)+1)&gt;0,OR($D25="03. UX Discovery",$D25="04. UX Design")),IF(AND($H25&lt;&gt;"",$H25&lt;=EOMONTH(AE$12,0),$I25&gt;=AE$12),"UX+DEV","UX"),IF(AND($H25&lt;&gt;"",$H25&lt;=EOMONTH(AE$12,0),$I25&gt;=AE$12),"DEV",""))))</f>
      </c>
      <c r="AF25" s="158" t="str">
        <f>IF($AI25="","",IF(AND($AN25&lt;&gt;"",$AN25&lt;=EOMONTH(AF$12,0),$AO25&gt;=AF$12),IF(AND(INDEX('Roadmap Calc (Don’t Touch)'!$AA$2:$AX$151,$AI25,COLUMN()-COLUMN($J$16)+1)&gt;0,OR($D25="03. UX Discovery",$D25="04. UX Design")),IF(AND($H25&lt;&gt;"",$H25&lt;=EOMONTH(AF$12,0),$I25&gt;=AF$12),"ALL","PD+UX"),IF(AND($H25&lt;&gt;"",$H25&lt;=EOMONTH(AF$12,0),$I25&gt;=AF$12),"PD+DEV","PD")),IF(AND(INDEX('Roadmap Calc (Don’t Touch)'!$AA$2:$AX$151,$AI25,COLUMN()-COLUMN($J$16)+1)&gt;0,OR($D25="03. UX Discovery",$D25="04. UX Design")),IF(AND($H25&lt;&gt;"",$H25&lt;=EOMONTH(AF$12,0),$I25&gt;=AF$12),"UX+DEV","UX"),IF(AND($H25&lt;&gt;"",$H25&lt;=EOMONTH(AF$12,0),$I25&gt;=AF$12),"DEV",""))))</f>
      </c>
      <c r="AG25" s="158" t="str">
        <f>IF($AI25="","",IF(AND($AN25&lt;&gt;"",$AN25&lt;=EOMONTH(AG$12,0),$AO25&gt;=AG$12),IF(AND(INDEX('Roadmap Calc (Don’t Touch)'!$AA$2:$AX$151,$AI25,COLUMN()-COLUMN($J$16)+1)&gt;0,OR($D25="03. UX Discovery",$D25="04. UX Design")),IF(AND($H25&lt;&gt;"",$H25&lt;=EOMONTH(AG$12,0),$I25&gt;=AG$12),"ALL","PD+UX"),IF(AND($H25&lt;&gt;"",$H25&lt;=EOMONTH(AG$12,0),$I25&gt;=AG$12),"PD+DEV","PD")),IF(AND(INDEX('Roadmap Calc (Don’t Touch)'!$AA$2:$AX$151,$AI25,COLUMN()-COLUMN($J$16)+1)&gt;0,OR($D25="03. UX Discovery",$D25="04. UX Design")),IF(AND($H25&lt;&gt;"",$H25&lt;=EOMONTH(AG$12,0),$I25&gt;=AG$12),"UX+DEV","UX"),IF(AND($H25&lt;&gt;"",$H25&lt;=EOMONTH(AG$12,0),$I25&gt;=AG$12),"DEV",""))))</f>
      </c>
      <c r="AH25" s="145" t="str">
        <f>IF($AI25="","",INDEX('Roadmap Calc (Don’t Touch)'!$D$2:$D$151,$AI25))</f>
        <v>Improve Trade In User Flow</v>
      </c>
      <c r="AI25" s="145">
        <f>IFERROR(MATCH(10,'Roadmap Calc (Don’t Touch)'!$O$2:$O$151,0),"")</f>
        <v>27</v>
      </c>
      <c r="AJ25" s="145"/>
      <c r="AK25" s="145"/>
      <c r="AL25" s="145"/>
      <c r="AM25" s="145"/>
      <c r="AN25">
        <f>IF($AI25="","",IF(ISNUMBER(INDEX('Roadmap Calc (Don’t Touch)'!$BB$2:$BB$151,$AI25)),INDEX('Roadmap Calc (Don’t Touch)'!$BB$2:$BB$151,$AI25),""))</f>
      </c>
      <c r="AO25">
        <f>IF($AI25="","",IF(ISNUMBER(INDEX('Roadmap Calc (Don’t Touch)'!$BC$2:$BC$151,$AI25)),INDEX('Roadmap Calc (Don’t Touch)'!$BC$2:$BC$151,$AI25),""))</f>
      </c>
    </row>
    <row r="26" spans="1:41" ht="20" customHeight="1" x14ac:dyDescent="0.25">
      <c r="A26" s="198" t="str">
        <f>IF($AI26="","",IF($AH26=$AH25,"",IF(INDEX('Roadmap Calc (Don’t Touch)'!$U$2:$U$151,$AI26)=0,$AH26,HYPERLINK("#'Control (Don’t Touch)'!E"&amp;INDEX('Roadmap Calc (Don’t Touch)'!$U$2:$U$151,$AI26),$AH26))))</f>
        <v/>
      </c>
      <c r="B26" s="159" t="str">
        <f>IF($AI26="","",IF(INDEX('Roadmap Calc (Don’t Touch)'!$K$2:$K$151,$AI26)="",INDEX('Roadmap Calc (Don’t Touch)'!$B$2:$B$151,$AI26),HYPERLINK("https://jira.bnh.com/browse/"&amp;INDEX('Roadmap Calc (Don’t Touch)'!$K$2:$K$151,$AI26),INDEX('Roadmap Calc (Don’t Touch)'!$B$2:$B$151,$AI26))))</f>
        <v>Used Status Email Update</v>
      </c>
      <c r="C26" s="159" t="str">
        <f>IF($AI26="","",IF(INDEX('Roadmap Calc (Don’t Touch)'!$E$2:$E$151,$AI26)="","",HYPERLINK("https://jira.bnh.com/browse/"&amp;INDEX('Roadmap Calc (Don’t Touch)'!$E$2:$E$151,$AI26),INDEX('Roadmap Calc (Don’t Touch)'!$E$2:$E$151,$AI26))))</f>
        <v>BHUX-34723</v>
      </c>
      <c r="D26" s="161" t="str">
        <f>IF($AI26="","",INDEX('Roadmap Calc (Don’t Touch)'!$F$2:$F$151,$AI26))</f>
        <v>06. Architecture</v>
      </c>
      <c r="E26" s="155">
        <f>IF($AI26="","",IF(ISNUMBER(INDEX('Roadmap Calc (Don’t Touch)'!$G$2:$G$151,$AI26)),INDEX('Roadmap Calc (Don’t Touch)'!$G$2:$G$151,$AI26),""))</f>
        <v>46216</v>
      </c>
      <c r="F26" s="155">
        <f>IF($AI26="","",IF(ISNUMBER(INDEX('Roadmap Calc (Don’t Touch)'!$H$2:$H$151,$AI26)),INDEX('Roadmap Calc (Don’t Touch)'!$H$2:$H$151,$AI26),""))</f>
        <v>46216</v>
      </c>
      <c r="G26" s="156">
        <f>IF($AI26="","",INDEX('Roadmap Calc (Don’t Touch)'!$T$2:$T$151,$AI26))</f>
        <v>1</v>
      </c>
      <c r="H26" s="157">
        <f ca="1">IF($AI26="","",IF(ISNUMBER(INDEX('Roadmap Calc (Don’t Touch)'!$I$2:$I$151,$AI26)),INDEX('Roadmap Calc (Don’t Touch)'!$I$2:$I$151,$AI26),""))</f>
        <v>46296</v>
      </c>
      <c r="I26" s="157">
        <f ca="1">IF($AI26="","",IF(ISNUMBER(INDEX('Roadmap Calc (Don’t Touch)'!$J$2:$J$151,$AI26)),INDEX('Roadmap Calc (Don’t Touch)'!$J$2:$J$151,$AI26),""))</f>
        <v>46326</v>
      </c>
      <c r="J26" s="158" t="str">
        <f>IF($AI26="","",IF(AND($AN26&lt;&gt;"",$AN26&lt;=EOMONTH(J$12,0),$AO26&gt;=J$12),IF(AND(INDEX('Roadmap Calc (Don’t Touch)'!$AA$2:$AX$151,$AI26,COLUMN()-COLUMN($J$16)+1)&gt;0,OR($D26="03. UX Discovery",$D26="04. UX Design")),IF(AND($H26&lt;&gt;"",$H26&lt;=EOMONTH(J$12,0),$I26&gt;=J$12),"ALL","PD+UX"),IF(AND($H26&lt;&gt;"",$H26&lt;=EOMONTH(J$12,0),$I26&gt;=J$12),"PD+DEV","PD")),IF(AND(INDEX('Roadmap Calc (Don’t Touch)'!$AA$2:$AX$151,$AI26,COLUMN()-COLUMN($J$16)+1)&gt;0,OR($D26="03. UX Discovery",$D26="04. UX Design")),IF(AND($H26&lt;&gt;"",$H26&lt;=EOMONTH(J$12,0),$I26&gt;=J$12),"UX+DEV","UX"),IF(AND($H26&lt;&gt;"",$H26&lt;=EOMONTH(J$12,0),$I26&gt;=J$12),"DEV",""))))</f>
      </c>
      <c r="K26" s="158" t="str">
        <f>IF($AI26="","",IF(AND($AN26&lt;&gt;"",$AN26&lt;=EOMONTH(K$12,0),$AO26&gt;=K$12),IF(AND(INDEX('Roadmap Calc (Don’t Touch)'!$AA$2:$AX$151,$AI26,COLUMN()-COLUMN($J$16)+1)&gt;0,OR($D26="03. UX Discovery",$D26="04. UX Design")),IF(AND($H26&lt;&gt;"",$H26&lt;=EOMONTH(K$12,0),$I26&gt;=K$12),"ALL","PD+UX"),IF(AND($H26&lt;&gt;"",$H26&lt;=EOMONTH(K$12,0),$I26&gt;=K$12),"PD+DEV","PD")),IF(AND(INDEX('Roadmap Calc (Don’t Touch)'!$AA$2:$AX$151,$AI26,COLUMN()-COLUMN($J$16)+1)&gt;0,OR($D26="03. UX Discovery",$D26="04. UX Design")),IF(AND($H26&lt;&gt;"",$H26&lt;=EOMONTH(K$12,0),$I26&gt;=K$12),"UX+DEV","UX"),IF(AND($H26&lt;&gt;"",$H26&lt;=EOMONTH(K$12,0),$I26&gt;=K$12),"DEV",""))))</f>
      </c>
      <c r="L26" s="158" t="str">
        <f>IF($AI26="","",IF(AND($AN26&lt;&gt;"",$AN26&lt;=EOMONTH(L$12,0),$AO26&gt;=L$12),IF(AND(INDEX('Roadmap Calc (Don’t Touch)'!$AA$2:$AX$151,$AI26,COLUMN()-COLUMN($J$16)+1)&gt;0,OR($D26="03. UX Discovery",$D26="04. UX Design")),IF(AND($H26&lt;&gt;"",$H26&lt;=EOMONTH(L$12,0),$I26&gt;=L$12),"ALL","PD+UX"),IF(AND($H26&lt;&gt;"",$H26&lt;=EOMONTH(L$12,0),$I26&gt;=L$12),"PD+DEV","PD")),IF(AND(INDEX('Roadmap Calc (Don’t Touch)'!$AA$2:$AX$151,$AI26,COLUMN()-COLUMN($J$16)+1)&gt;0,OR($D26="03. UX Discovery",$D26="04. UX Design")),IF(AND($H26&lt;&gt;"",$H26&lt;=EOMONTH(L$12,0),$I26&gt;=L$12),"UX+DEV","UX"),IF(AND($H26&lt;&gt;"",$H26&lt;=EOMONTH(L$12,0),$I26&gt;=L$12),"DEV",""))))</f>
      </c>
      <c r="M26" s="158" t="str">
        <f>IF($AI26="","",IF(AND($AN26&lt;&gt;"",$AN26&lt;=EOMONTH(M$12,0),$AO26&gt;=M$12),IF(AND(INDEX('Roadmap Calc (Don’t Touch)'!$AA$2:$AX$151,$AI26,COLUMN()-COLUMN($J$16)+1)&gt;0,OR($D26="03. UX Discovery",$D26="04. UX Design")),IF(AND($H26&lt;&gt;"",$H26&lt;=EOMONTH(M$12,0),$I26&gt;=M$12),"ALL","PD+UX"),IF(AND($H26&lt;&gt;"",$H26&lt;=EOMONTH(M$12,0),$I26&gt;=M$12),"PD+DEV","PD")),IF(AND(INDEX('Roadmap Calc (Don’t Touch)'!$AA$2:$AX$151,$AI26,COLUMN()-COLUMN($J$16)+1)&gt;0,OR($D26="03. UX Discovery",$D26="04. UX Design")),IF(AND($H26&lt;&gt;"",$H26&lt;=EOMONTH(M$12,0),$I26&gt;=M$12),"UX+DEV","UX"),IF(AND($H26&lt;&gt;"",$H26&lt;=EOMONTH(M$12,0),$I26&gt;=M$12),"DEV",""))))</f>
      </c>
      <c r="N26" s="158" t="str">
        <f>IF($AI26="","",IF(AND($AN26&lt;&gt;"",$AN26&lt;=EOMONTH(N$12,0),$AO26&gt;=N$12),IF(AND(INDEX('Roadmap Calc (Don’t Touch)'!$AA$2:$AX$151,$AI26,COLUMN()-COLUMN($J$16)+1)&gt;0,OR($D26="03. UX Discovery",$D26="04. UX Design")),IF(AND($H26&lt;&gt;"",$H26&lt;=EOMONTH(N$12,0),$I26&gt;=N$12),"ALL","PD+UX"),IF(AND($H26&lt;&gt;"",$H26&lt;=EOMONTH(N$12,0),$I26&gt;=N$12),"PD+DEV","PD")),IF(AND(INDEX('Roadmap Calc (Don’t Touch)'!$AA$2:$AX$151,$AI26,COLUMN()-COLUMN($J$16)+1)&gt;0,OR($D26="03. UX Discovery",$D26="04. UX Design")),IF(AND($H26&lt;&gt;"",$H26&lt;=EOMONTH(N$12,0),$I26&gt;=N$12),"UX+DEV","UX"),IF(AND($H26&lt;&gt;"",$H26&lt;=EOMONTH(N$12,0),$I26&gt;=N$12),"DEV",""))))</f>
      </c>
      <c r="O26" s="158" t="str">
        <f>IF($AI26="","",IF(AND($AN26&lt;&gt;"",$AN26&lt;=EOMONTH(O$12,0),$AO26&gt;=O$12),IF(AND(INDEX('Roadmap Calc (Don’t Touch)'!$AA$2:$AX$151,$AI26,COLUMN()-COLUMN($J$16)+1)&gt;0,OR($D26="03. UX Discovery",$D26="04. UX Design")),IF(AND($H26&lt;&gt;"",$H26&lt;=EOMONTH(O$12,0),$I26&gt;=O$12),"ALL","PD+UX"),IF(AND($H26&lt;&gt;"",$H26&lt;=EOMONTH(O$12,0),$I26&gt;=O$12),"PD+DEV","PD")),IF(AND(INDEX('Roadmap Calc (Don’t Touch)'!$AA$2:$AX$151,$AI26,COLUMN()-COLUMN($J$16)+1)&gt;0,OR($D26="03. UX Discovery",$D26="04. UX Design")),IF(AND($H26&lt;&gt;"",$H26&lt;=EOMONTH(O$12,0),$I26&gt;=O$12),"UX+DEV","UX"),IF(AND($H26&lt;&gt;"",$H26&lt;=EOMONTH(O$12,0),$I26&gt;=O$12),"DEV",""))))</f>
      </c>
      <c r="P26" s="158" t="str">
        <f>IF($AI26="","",IF(AND($AN26&lt;&gt;"",$AN26&lt;=EOMONTH(P$12,0),$AO26&gt;=P$12),IF(AND(INDEX('Roadmap Calc (Don’t Touch)'!$AA$2:$AX$151,$AI26,COLUMN()-COLUMN($J$16)+1)&gt;0,OR($D26="03. UX Discovery",$D26="04. UX Design")),IF(AND($H26&lt;&gt;"",$H26&lt;=EOMONTH(P$12,0),$I26&gt;=P$12),"ALL","PD+UX"),IF(AND($H26&lt;&gt;"",$H26&lt;=EOMONTH(P$12,0),$I26&gt;=P$12),"PD+DEV","PD")),IF(AND(INDEX('Roadmap Calc (Don’t Touch)'!$AA$2:$AX$151,$AI26,COLUMN()-COLUMN($J$16)+1)&gt;0,OR($D26="03. UX Discovery",$D26="04. UX Design")),IF(AND($H26&lt;&gt;"",$H26&lt;=EOMONTH(P$12,0),$I26&gt;=P$12),"UX+DEV","UX"),IF(AND($H26&lt;&gt;"",$H26&lt;=EOMONTH(P$12,0),$I26&gt;=P$12),"DEV",""))))</f>
      </c>
      <c r="Q26" s="158" t="str">
        <f>IF($AI26="","",IF(AND($AN26&lt;&gt;"",$AN26&lt;=EOMONTH(Q$12,0),$AO26&gt;=Q$12),IF(AND(INDEX('Roadmap Calc (Don’t Touch)'!$AA$2:$AX$151,$AI26,COLUMN()-COLUMN($J$16)+1)&gt;0,OR($D26="03. UX Discovery",$D26="04. UX Design")),IF(AND($H26&lt;&gt;"",$H26&lt;=EOMONTH(Q$12,0),$I26&gt;=Q$12),"ALL","PD+UX"),IF(AND($H26&lt;&gt;"",$H26&lt;=EOMONTH(Q$12,0),$I26&gt;=Q$12),"PD+DEV","PD")),IF(AND(INDEX('Roadmap Calc (Don’t Touch)'!$AA$2:$AX$151,$AI26,COLUMN()-COLUMN($J$16)+1)&gt;0,OR($D26="03. UX Discovery",$D26="04. UX Design")),IF(AND($H26&lt;&gt;"",$H26&lt;=EOMONTH(Q$12,0),$I26&gt;=Q$12),"UX+DEV","UX"),IF(AND($H26&lt;&gt;"",$H26&lt;=EOMONTH(Q$12,0),$I26&gt;=Q$12),"DEV",""))))</f>
      </c>
      <c r="R26" s="158" t="str">
        <f>IF($AI26="","",IF(AND($AN26&lt;&gt;"",$AN26&lt;=EOMONTH(R$12,0),$AO26&gt;=R$12),IF(AND(INDEX('Roadmap Calc (Don’t Touch)'!$AA$2:$AX$151,$AI26,COLUMN()-COLUMN($J$16)+1)&gt;0,OR($D26="03. UX Discovery",$D26="04. UX Design")),IF(AND($H26&lt;&gt;"",$H26&lt;=EOMONTH(R$12,0),$I26&gt;=R$12),"ALL","PD+UX"),IF(AND($H26&lt;&gt;"",$H26&lt;=EOMONTH(R$12,0),$I26&gt;=R$12),"PD+DEV","PD")),IF(AND(INDEX('Roadmap Calc (Don’t Touch)'!$AA$2:$AX$151,$AI26,COLUMN()-COLUMN($J$16)+1)&gt;0,OR($D26="03. UX Discovery",$D26="04. UX Design")),IF(AND($H26&lt;&gt;"",$H26&lt;=EOMONTH(R$12,0),$I26&gt;=R$12),"UX+DEV","UX"),IF(AND($H26&lt;&gt;"",$H26&lt;=EOMONTH(R$12,0),$I26&gt;=R$12),"DEV",""))))</f>
      </c>
      <c r="S26" s="158" t="str">
        <f>IF($AI26="","",IF(AND($AN26&lt;&gt;"",$AN26&lt;=EOMONTH(S$12,0),$AO26&gt;=S$12),IF(AND(INDEX('Roadmap Calc (Don’t Touch)'!$AA$2:$AX$151,$AI26,COLUMN()-COLUMN($J$16)+1)&gt;0,OR($D26="03. UX Discovery",$D26="04. UX Design")),IF(AND($H26&lt;&gt;"",$H26&lt;=EOMONTH(S$12,0),$I26&gt;=S$12),"ALL","PD+UX"),IF(AND($H26&lt;&gt;"",$H26&lt;=EOMONTH(S$12,0),$I26&gt;=S$12),"PD+DEV","PD")),IF(AND(INDEX('Roadmap Calc (Don’t Touch)'!$AA$2:$AX$151,$AI26,COLUMN()-COLUMN($J$16)+1)&gt;0,OR($D26="03. UX Discovery",$D26="04. UX Design")),IF(AND($H26&lt;&gt;"",$H26&lt;=EOMONTH(S$12,0),$I26&gt;=S$12),"UX+DEV","UX"),IF(AND($H26&lt;&gt;"",$H26&lt;=EOMONTH(S$12,0),$I26&gt;=S$12),"DEV",""))))</f>
      </c>
      <c r="T26" s="158" t="str">
        <f>IF($AI26="","",IF(AND($AN26&lt;&gt;"",$AN26&lt;=EOMONTH(T$12,0),$AO26&gt;=T$12),IF(AND(INDEX('Roadmap Calc (Don’t Touch)'!$AA$2:$AX$151,$AI26,COLUMN()-COLUMN($J$16)+1)&gt;0,OR($D26="03. UX Discovery",$D26="04. UX Design")),IF(AND($H26&lt;&gt;"",$H26&lt;=EOMONTH(T$12,0),$I26&gt;=T$12),"ALL","PD+UX"),IF(AND($H26&lt;&gt;"",$H26&lt;=EOMONTH(T$12,0),$I26&gt;=T$12),"PD+DEV","PD")),IF(AND(INDEX('Roadmap Calc (Don’t Touch)'!$AA$2:$AX$151,$AI26,COLUMN()-COLUMN($J$16)+1)&gt;0,OR($D26="03. UX Discovery",$D26="04. UX Design")),IF(AND($H26&lt;&gt;"",$H26&lt;=EOMONTH(T$12,0),$I26&gt;=T$12),"UX+DEV","UX"),IF(AND($H26&lt;&gt;"",$H26&lt;=EOMONTH(T$12,0),$I26&gt;=T$12),"DEV",""))))</f>
      </c>
      <c r="U26" s="158" t="str">
        <f>IF($AI26="","",IF(AND($AN26&lt;&gt;"",$AN26&lt;=EOMONTH(U$12,0),$AO26&gt;=U$12),IF(AND(INDEX('Roadmap Calc (Don’t Touch)'!$AA$2:$AX$151,$AI26,COLUMN()-COLUMN($J$16)+1)&gt;0,OR($D26="03. UX Discovery",$D26="04. UX Design")),IF(AND($H26&lt;&gt;"",$H26&lt;=EOMONTH(U$12,0),$I26&gt;=U$12),"ALL","PD+UX"),IF(AND($H26&lt;&gt;"",$H26&lt;=EOMONTH(U$12,0),$I26&gt;=U$12),"PD+DEV","PD")),IF(AND(INDEX('Roadmap Calc (Don’t Touch)'!$AA$2:$AX$151,$AI26,COLUMN()-COLUMN($J$16)+1)&gt;0,OR($D26="03. UX Discovery",$D26="04. UX Design")),IF(AND($H26&lt;&gt;"",$H26&lt;=EOMONTH(U$12,0),$I26&gt;=U$12),"UX+DEV","UX"),IF(AND($H26&lt;&gt;"",$H26&lt;=EOMONTH(U$12,0),$I26&gt;=U$12),"DEV",""))))</f>
      </c>
      <c r="V26" s="158" t="str">
        <f>IF($AI26="","",IF(AND($AN26&lt;&gt;"",$AN26&lt;=EOMONTH(V$12,0),$AO26&gt;=V$12),IF(AND(INDEX('Roadmap Calc (Don’t Touch)'!$AA$2:$AX$151,$AI26,COLUMN()-COLUMN($J$16)+1)&gt;0,OR($D26="03. UX Discovery",$D26="04. UX Design")),IF(AND($H26&lt;&gt;"",$H26&lt;=EOMONTH(V$12,0),$I26&gt;=V$12),"ALL","PD+UX"),IF(AND($H26&lt;&gt;"",$H26&lt;=EOMONTH(V$12,0),$I26&gt;=V$12),"PD+DEV","PD")),IF(AND(INDEX('Roadmap Calc (Don’t Touch)'!$AA$2:$AX$151,$AI26,COLUMN()-COLUMN($J$16)+1)&gt;0,OR($D26="03. UX Discovery",$D26="04. UX Design")),IF(AND($H26&lt;&gt;"",$H26&lt;=EOMONTH(V$12,0),$I26&gt;=V$12),"UX+DEV","UX"),IF(AND($H26&lt;&gt;"",$H26&lt;=EOMONTH(V$12,0),$I26&gt;=V$12),"DEV",""))))</f>
      </c>
      <c r="W26" s="158" t="str">
        <f>IF($AI26="","",IF(AND($AN26&lt;&gt;"",$AN26&lt;=EOMONTH(W$12,0),$AO26&gt;=W$12),IF(AND(INDEX('Roadmap Calc (Don’t Touch)'!$AA$2:$AX$151,$AI26,COLUMN()-COLUMN($J$16)+1)&gt;0,OR($D26="03. UX Discovery",$D26="04. UX Design")),IF(AND($H26&lt;&gt;"",$H26&lt;=EOMONTH(W$12,0),$I26&gt;=W$12),"ALL","PD+UX"),IF(AND($H26&lt;&gt;"",$H26&lt;=EOMONTH(W$12,0),$I26&gt;=W$12),"PD+DEV","PD")),IF(AND(INDEX('Roadmap Calc (Don’t Touch)'!$AA$2:$AX$151,$AI26,COLUMN()-COLUMN($J$16)+1)&gt;0,OR($D26="03. UX Discovery",$D26="04. UX Design")),IF(AND($H26&lt;&gt;"",$H26&lt;=EOMONTH(W$12,0),$I26&gt;=W$12),"UX+DEV","UX"),IF(AND($H26&lt;&gt;"",$H26&lt;=EOMONTH(W$12,0),$I26&gt;=W$12),"DEV",""))))</f>
      </c>
      <c r="X26" s="158" t="str">
        <f>IF($AI26="","",IF(AND($AN26&lt;&gt;"",$AN26&lt;=EOMONTH(X$12,0),$AO26&gt;=X$12),IF(AND(INDEX('Roadmap Calc (Don’t Touch)'!$AA$2:$AX$151,$AI26,COLUMN()-COLUMN($J$16)+1)&gt;0,OR($D26="03. UX Discovery",$D26="04. UX Design")),IF(AND($H26&lt;&gt;"",$H26&lt;=EOMONTH(X$12,0),$I26&gt;=X$12),"ALL","PD+UX"),IF(AND($H26&lt;&gt;"",$H26&lt;=EOMONTH(X$12,0),$I26&gt;=X$12),"PD+DEV","PD")),IF(AND(INDEX('Roadmap Calc (Don’t Touch)'!$AA$2:$AX$151,$AI26,COLUMN()-COLUMN($J$16)+1)&gt;0,OR($D26="03. UX Discovery",$D26="04. UX Design")),IF(AND($H26&lt;&gt;"",$H26&lt;=EOMONTH(X$12,0),$I26&gt;=X$12),"UX+DEV","UX"),IF(AND($H26&lt;&gt;"",$H26&lt;=EOMONTH(X$12,0),$I26&gt;=X$12),"DEV",""))))</f>
      </c>
      <c r="Y26" s="158" t="str">
        <f>IF($AI26="","",IF(AND($AN26&lt;&gt;"",$AN26&lt;=EOMONTH(Y$12,0),$AO26&gt;=Y$12),IF(AND(INDEX('Roadmap Calc (Don’t Touch)'!$AA$2:$AX$151,$AI26,COLUMN()-COLUMN($J$16)+1)&gt;0,OR($D26="03. UX Discovery",$D26="04. UX Design")),IF(AND($H26&lt;&gt;"",$H26&lt;=EOMONTH(Y$12,0),$I26&gt;=Y$12),"ALL","PD+UX"),IF(AND($H26&lt;&gt;"",$H26&lt;=EOMONTH(Y$12,0),$I26&gt;=Y$12),"PD+DEV","PD")),IF(AND(INDEX('Roadmap Calc (Don’t Touch)'!$AA$2:$AX$151,$AI26,COLUMN()-COLUMN($J$16)+1)&gt;0,OR($D26="03. UX Discovery",$D26="04. UX Design")),IF(AND($H26&lt;&gt;"",$H26&lt;=EOMONTH(Y$12,0),$I26&gt;=Y$12),"UX+DEV","UX"),IF(AND($H26&lt;&gt;"",$H26&lt;=EOMONTH(Y$12,0),$I26&gt;=Y$12),"DEV",""))))</f>
      </c>
      <c r="Z26" s="158" t="str">
        <f>IF($AI26="","",IF(AND($AN26&lt;&gt;"",$AN26&lt;=EOMONTH(Z$12,0),$AO26&gt;=Z$12),IF(AND(INDEX('Roadmap Calc (Don’t Touch)'!$AA$2:$AX$151,$AI26,COLUMN()-COLUMN($J$16)+1)&gt;0,OR($D26="03. UX Discovery",$D26="04. UX Design")),IF(AND($H26&lt;&gt;"",$H26&lt;=EOMONTH(Z$12,0),$I26&gt;=Z$12),"ALL","PD+UX"),IF(AND($H26&lt;&gt;"",$H26&lt;=EOMONTH(Z$12,0),$I26&gt;=Z$12),"PD+DEV","PD")),IF(AND(INDEX('Roadmap Calc (Don’t Touch)'!$AA$2:$AX$151,$AI26,COLUMN()-COLUMN($J$16)+1)&gt;0,OR($D26="03. UX Discovery",$D26="04. UX Design")),IF(AND($H26&lt;&gt;"",$H26&lt;=EOMONTH(Z$12,0),$I26&gt;=Z$12),"UX+DEV","UX"),IF(AND($H26&lt;&gt;"",$H26&lt;=EOMONTH(Z$12,0),$I26&gt;=Z$12),"DEV",""))))</f>
      </c>
      <c r="AA26" s="158" t="str">
        <f>IF($AI26="","",IF(AND($AN26&lt;&gt;"",$AN26&lt;=EOMONTH(AA$12,0),$AO26&gt;=AA$12),IF(AND(INDEX('Roadmap Calc (Don’t Touch)'!$AA$2:$AX$151,$AI26,COLUMN()-COLUMN($J$16)+1)&gt;0,OR($D26="03. UX Discovery",$D26="04. UX Design")),IF(AND($H26&lt;&gt;"",$H26&lt;=EOMONTH(AA$12,0),$I26&gt;=AA$12),"ALL","PD+UX"),IF(AND($H26&lt;&gt;"",$H26&lt;=EOMONTH(AA$12,0),$I26&gt;=AA$12),"PD+DEV","PD")),IF(AND(INDEX('Roadmap Calc (Don’t Touch)'!$AA$2:$AX$151,$AI26,COLUMN()-COLUMN($J$16)+1)&gt;0,OR($D26="03. UX Discovery",$D26="04. UX Design")),IF(AND($H26&lt;&gt;"",$H26&lt;=EOMONTH(AA$12,0),$I26&gt;=AA$12),"UX+DEV","UX"),IF(AND($H26&lt;&gt;"",$H26&lt;=EOMONTH(AA$12,0),$I26&gt;=AA$12),"DEV",""))))</f>
      </c>
      <c r="AB26" s="158" t="str">
        <f>IF($AI26="","",IF(AND($AN26&lt;&gt;"",$AN26&lt;=EOMONTH(AB$12,0),$AO26&gt;=AB$12),IF(AND(INDEX('Roadmap Calc (Don’t Touch)'!$AA$2:$AX$151,$AI26,COLUMN()-COLUMN($J$16)+1)&gt;0,OR($D26="03. UX Discovery",$D26="04. UX Design")),IF(AND($H26&lt;&gt;"",$H26&lt;=EOMONTH(AB$12,0),$I26&gt;=AB$12),"ALL","PD+UX"),IF(AND($H26&lt;&gt;"",$H26&lt;=EOMONTH(AB$12,0),$I26&gt;=AB$12),"PD+DEV","PD")),IF(AND(INDEX('Roadmap Calc (Don’t Touch)'!$AA$2:$AX$151,$AI26,COLUMN()-COLUMN($J$16)+1)&gt;0,OR($D26="03. UX Discovery",$D26="04. UX Design")),IF(AND($H26&lt;&gt;"",$H26&lt;=EOMONTH(AB$12,0),$I26&gt;=AB$12),"UX+DEV","UX"),IF(AND($H26&lt;&gt;"",$H26&lt;=EOMONTH(AB$12,0),$I26&gt;=AB$12),"DEV",""))))</f>
      </c>
      <c r="AC26" s="158" t="str">
        <f>IF($AI26="","",IF(AND($AN26&lt;&gt;"",$AN26&lt;=EOMONTH(AC$12,0),$AO26&gt;=AC$12),IF(AND(INDEX('Roadmap Calc (Don’t Touch)'!$AA$2:$AX$151,$AI26,COLUMN()-COLUMN($J$16)+1)&gt;0,OR($D26="03. UX Discovery",$D26="04. UX Design")),IF(AND($H26&lt;&gt;"",$H26&lt;=EOMONTH(AC$12,0),$I26&gt;=AC$12),"ALL","PD+UX"),IF(AND($H26&lt;&gt;"",$H26&lt;=EOMONTH(AC$12,0),$I26&gt;=AC$12),"PD+DEV","PD")),IF(AND(INDEX('Roadmap Calc (Don’t Touch)'!$AA$2:$AX$151,$AI26,COLUMN()-COLUMN($J$16)+1)&gt;0,OR($D26="03. UX Discovery",$D26="04. UX Design")),IF(AND($H26&lt;&gt;"",$H26&lt;=EOMONTH(AC$12,0),$I26&gt;=AC$12),"UX+DEV","UX"),IF(AND($H26&lt;&gt;"",$H26&lt;=EOMONTH(AC$12,0),$I26&gt;=AC$12),"DEV",""))))</f>
      </c>
      <c r="AD26" s="158" t="str">
        <f>IF($AI26="","",IF(AND($AN26&lt;&gt;"",$AN26&lt;=EOMONTH(AD$12,0),$AO26&gt;=AD$12),IF(AND(INDEX('Roadmap Calc (Don’t Touch)'!$AA$2:$AX$151,$AI26,COLUMN()-COLUMN($J$16)+1)&gt;0,OR($D26="03. UX Discovery",$D26="04. UX Design")),IF(AND($H26&lt;&gt;"",$H26&lt;=EOMONTH(AD$12,0),$I26&gt;=AD$12),"ALL","PD+UX"),IF(AND($H26&lt;&gt;"",$H26&lt;=EOMONTH(AD$12,0),$I26&gt;=AD$12),"PD+DEV","PD")),IF(AND(INDEX('Roadmap Calc (Don’t Touch)'!$AA$2:$AX$151,$AI26,COLUMN()-COLUMN($J$16)+1)&gt;0,OR($D26="03. UX Discovery",$D26="04. UX Design")),IF(AND($H26&lt;&gt;"",$H26&lt;=EOMONTH(AD$12,0),$I26&gt;=AD$12),"UX+DEV","UX"),IF(AND($H26&lt;&gt;"",$H26&lt;=EOMONTH(AD$12,0),$I26&gt;=AD$12),"DEV",""))))</f>
      </c>
      <c r="AE26" s="158" t="str">
        <f>IF($AI26="","",IF(AND($AN26&lt;&gt;"",$AN26&lt;=EOMONTH(AE$12,0),$AO26&gt;=AE$12),IF(AND(INDEX('Roadmap Calc (Don’t Touch)'!$AA$2:$AX$151,$AI26,COLUMN()-COLUMN($J$16)+1)&gt;0,OR($D26="03. UX Discovery",$D26="04. UX Design")),IF(AND($H26&lt;&gt;"",$H26&lt;=EOMONTH(AE$12,0),$I26&gt;=AE$12),"ALL","PD+UX"),IF(AND($H26&lt;&gt;"",$H26&lt;=EOMONTH(AE$12,0),$I26&gt;=AE$12),"PD+DEV","PD")),IF(AND(INDEX('Roadmap Calc (Don’t Touch)'!$AA$2:$AX$151,$AI26,COLUMN()-COLUMN($J$16)+1)&gt;0,OR($D26="03. UX Discovery",$D26="04. UX Design")),IF(AND($H26&lt;&gt;"",$H26&lt;=EOMONTH(AE$12,0),$I26&gt;=AE$12),"UX+DEV","UX"),IF(AND($H26&lt;&gt;"",$H26&lt;=EOMONTH(AE$12,0),$I26&gt;=AE$12),"DEV",""))))</f>
      </c>
      <c r="AF26" s="158" t="str">
        <f>IF($AI26="","",IF(AND($AN26&lt;&gt;"",$AN26&lt;=EOMONTH(AF$12,0),$AO26&gt;=AF$12),IF(AND(INDEX('Roadmap Calc (Don’t Touch)'!$AA$2:$AX$151,$AI26,COLUMN()-COLUMN($J$16)+1)&gt;0,OR($D26="03. UX Discovery",$D26="04. UX Design")),IF(AND($H26&lt;&gt;"",$H26&lt;=EOMONTH(AF$12,0),$I26&gt;=AF$12),"ALL","PD+UX"),IF(AND($H26&lt;&gt;"",$H26&lt;=EOMONTH(AF$12,0),$I26&gt;=AF$12),"PD+DEV","PD")),IF(AND(INDEX('Roadmap Calc (Don’t Touch)'!$AA$2:$AX$151,$AI26,COLUMN()-COLUMN($J$16)+1)&gt;0,OR($D26="03. UX Discovery",$D26="04. UX Design")),IF(AND($H26&lt;&gt;"",$H26&lt;=EOMONTH(AF$12,0),$I26&gt;=AF$12),"UX+DEV","UX"),IF(AND($H26&lt;&gt;"",$H26&lt;=EOMONTH(AF$12,0),$I26&gt;=AF$12),"DEV",""))))</f>
      </c>
      <c r="AG26" s="158" t="str">
        <f>IF($AI26="","",IF(AND($AN26&lt;&gt;"",$AN26&lt;=EOMONTH(AG$12,0),$AO26&gt;=AG$12),IF(AND(INDEX('Roadmap Calc (Don’t Touch)'!$AA$2:$AX$151,$AI26,COLUMN()-COLUMN($J$16)+1)&gt;0,OR($D26="03. UX Discovery",$D26="04. UX Design")),IF(AND($H26&lt;&gt;"",$H26&lt;=EOMONTH(AG$12,0),$I26&gt;=AG$12),"ALL","PD+UX"),IF(AND($H26&lt;&gt;"",$H26&lt;=EOMONTH(AG$12,0),$I26&gt;=AG$12),"PD+DEV","PD")),IF(AND(INDEX('Roadmap Calc (Don’t Touch)'!$AA$2:$AX$151,$AI26,COLUMN()-COLUMN($J$16)+1)&gt;0,OR($D26="03. UX Discovery",$D26="04. UX Design")),IF(AND($H26&lt;&gt;"",$H26&lt;=EOMONTH(AG$12,0),$I26&gt;=AG$12),"UX+DEV","UX"),IF(AND($H26&lt;&gt;"",$H26&lt;=EOMONTH(AG$12,0),$I26&gt;=AG$12),"DEV",""))))</f>
      </c>
      <c r="AH26" s="145" t="str">
        <f>IF($AI26="","",INDEX('Roadmap Calc (Don’t Touch)'!$D$2:$D$151,$AI26))</f>
        <v>Improve Trade In User Flow</v>
      </c>
      <c r="AI26" s="145">
        <f>IFERROR(MATCH(11,'Roadmap Calc (Don’t Touch)'!$O$2:$O$151,0),"")</f>
        <v>28</v>
      </c>
      <c r="AJ26" s="145"/>
      <c r="AK26" s="145"/>
      <c r="AL26" s="145"/>
      <c r="AM26" s="145"/>
      <c r="AN26">
        <f>IF($AI26="","",IF(ISNUMBER(INDEX('Roadmap Calc (Don’t Touch)'!$BB$2:$BB$151,$AI26)),INDEX('Roadmap Calc (Don’t Touch)'!$BB$2:$BB$151,$AI26),""))</f>
      </c>
      <c r="AO26">
        <f>IF($AI26="","",IF(ISNUMBER(INDEX('Roadmap Calc (Don’t Touch)'!$BC$2:$BC$151,$AI26)),INDEX('Roadmap Calc (Don’t Touch)'!$BC$2:$BC$151,$AI26),""))</f>
      </c>
    </row>
    <row r="27" spans="1:41" ht="20" customHeight="1" x14ac:dyDescent="0.25">
      <c r="A27" s="198" t="str">
        <f>IF($AI27="","",IF($AH27=$AH26,"",IF(INDEX('Roadmap Calc (Don’t Touch)'!$U$2:$U$151,$AI27)=0,$AH27,HYPERLINK("#'Control (Don’t Touch)'!E"&amp;INDEX('Roadmap Calc (Don’t Touch)'!$U$2:$U$151,$AI27),$AH27))))</f>
        <v/>
      </c>
      <c r="B27" s="159" t="str">
        <f>IF($AI27="","",IF(INDEX('Roadmap Calc (Don’t Touch)'!$K$2:$K$151,$AI27)="",INDEX('Roadmap Calc (Don’t Touch)'!$B$2:$B$151,$AI27),HYPERLINK("https://jira.bnh.com/browse/"&amp;INDEX('Roadmap Calc (Don’t Touch)'!$K$2:$K$151,$AI27),INDEX('Roadmap Calc (Don’t Touch)'!$B$2:$B$151,$AI27))))</f>
        <v>Trade In Discrepancy Email Refresh (Copy Only)</v>
      </c>
      <c r="C27" s="159" t="str">
        <f>IF($AI27="","",IF(INDEX('Roadmap Calc (Don’t Touch)'!$E$2:$E$151,$AI27)="","",HYPERLINK("https://jira.bnh.com/browse/"&amp;INDEX('Roadmap Calc (Don’t Touch)'!$E$2:$E$151,$AI27),INDEX('Roadmap Calc (Don’t Touch)'!$E$2:$E$151,$AI27))))</f>
        <v/>
      </c>
      <c r="D27" s="161" t="str">
        <f>IF($AI27="","",INDEX('Roadmap Calc (Don’t Touch)'!$F$2:$F$151,$AI27))</f>
        <v>09. In Dev</v>
      </c>
      <c r="E27" s="155">
        <f>IF($AI27="","",IF(ISNUMBER(INDEX('Roadmap Calc (Don’t Touch)'!$G$2:$G$151,$AI27)),INDEX('Roadmap Calc (Don’t Touch)'!$G$2:$G$151,$AI27),""))</f>
        <v>46216</v>
      </c>
      <c r="F27" s="155">
        <f>IF($AI27="","",IF(ISNUMBER(INDEX('Roadmap Calc (Don’t Touch)'!$H$2:$H$151,$AI27)),INDEX('Roadmap Calc (Don’t Touch)'!$H$2:$H$151,$AI27),""))</f>
        <v>46223</v>
      </c>
      <c r="G27" s="156">
        <f>IF($AI27="","",INDEX('Roadmap Calc (Don’t Touch)'!$T$2:$T$151,$AI27))</f>
        <v>2</v>
      </c>
      <c r="H27" s="157">
        <f ca="1">IF($AI27="","",IF(ISNUMBER(INDEX('Roadmap Calc (Don’t Touch)'!$I$2:$I$151,$AI27)),INDEX('Roadmap Calc (Don’t Touch)'!$I$2:$I$151,$AI27),""))</f>
        <v>46266</v>
      </c>
      <c r="I27" s="157">
        <f ca="1">IF($AI27="","",IF(ISNUMBER(INDEX('Roadmap Calc (Don’t Touch)'!$J$2:$J$151,$AI27)),INDEX('Roadmap Calc (Don’t Touch)'!$J$2:$J$151,$AI27),""))</f>
        <v>46295</v>
      </c>
      <c r="J27" s="158" t="str">
        <f>IF($AI27="","",IF(AND($AN27&lt;&gt;"",$AN27&lt;=EOMONTH(J$12,0),$AO27&gt;=J$12),IF(AND(INDEX('Roadmap Calc (Don’t Touch)'!$AA$2:$AX$151,$AI27,COLUMN()-COLUMN($J$16)+1)&gt;0,OR($D27="03. UX Discovery",$D27="04. UX Design")),IF(AND($H27&lt;&gt;"",$H27&lt;=EOMONTH(J$12,0),$I27&gt;=J$12),"ALL","PD+UX"),IF(AND($H27&lt;&gt;"",$H27&lt;=EOMONTH(J$12,0),$I27&gt;=J$12),"PD+DEV","PD")),IF(AND(INDEX('Roadmap Calc (Don’t Touch)'!$AA$2:$AX$151,$AI27,COLUMN()-COLUMN($J$16)+1)&gt;0,OR($D27="03. UX Discovery",$D27="04. UX Design")),IF(AND($H27&lt;&gt;"",$H27&lt;=EOMONTH(J$12,0),$I27&gt;=J$12),"UX+DEV","UX"),IF(AND($H27&lt;&gt;"",$H27&lt;=EOMONTH(J$12,0),$I27&gt;=J$12),"DEV",""))))</f>
      </c>
      <c r="K27" s="158" t="str">
        <f>IF($AI27="","",IF(AND($AN27&lt;&gt;"",$AN27&lt;=EOMONTH(K$12,0),$AO27&gt;=K$12),IF(AND(INDEX('Roadmap Calc (Don’t Touch)'!$AA$2:$AX$151,$AI27,COLUMN()-COLUMN($J$16)+1)&gt;0,OR($D27="03. UX Discovery",$D27="04. UX Design")),IF(AND($H27&lt;&gt;"",$H27&lt;=EOMONTH(K$12,0),$I27&gt;=K$12),"ALL","PD+UX"),IF(AND($H27&lt;&gt;"",$H27&lt;=EOMONTH(K$12,0),$I27&gt;=K$12),"PD+DEV","PD")),IF(AND(INDEX('Roadmap Calc (Don’t Touch)'!$AA$2:$AX$151,$AI27,COLUMN()-COLUMN($J$16)+1)&gt;0,OR($D27="03. UX Discovery",$D27="04. UX Design")),IF(AND($H27&lt;&gt;"",$H27&lt;=EOMONTH(K$12,0),$I27&gt;=K$12),"UX+DEV","UX"),IF(AND($H27&lt;&gt;"",$H27&lt;=EOMONTH(K$12,0),$I27&gt;=K$12),"DEV",""))))</f>
      </c>
      <c r="L27" s="158" t="str">
        <f>IF($AI27="","",IF(AND($AN27&lt;&gt;"",$AN27&lt;=EOMONTH(L$12,0),$AO27&gt;=L$12),IF(AND(INDEX('Roadmap Calc (Don’t Touch)'!$AA$2:$AX$151,$AI27,COLUMN()-COLUMN($J$16)+1)&gt;0,OR($D27="03. UX Discovery",$D27="04. UX Design")),IF(AND($H27&lt;&gt;"",$H27&lt;=EOMONTH(L$12,0),$I27&gt;=L$12),"ALL","PD+UX"),IF(AND($H27&lt;&gt;"",$H27&lt;=EOMONTH(L$12,0),$I27&gt;=L$12),"PD+DEV","PD")),IF(AND(INDEX('Roadmap Calc (Don’t Touch)'!$AA$2:$AX$151,$AI27,COLUMN()-COLUMN($J$16)+1)&gt;0,OR($D27="03. UX Discovery",$D27="04. UX Design")),IF(AND($H27&lt;&gt;"",$H27&lt;=EOMONTH(L$12,0),$I27&gt;=L$12),"UX+DEV","UX"),IF(AND($H27&lt;&gt;"",$H27&lt;=EOMONTH(L$12,0),$I27&gt;=L$12),"DEV",""))))</f>
      </c>
      <c r="M27" s="158" t="str">
        <f>IF($AI27="","",IF(AND($AN27&lt;&gt;"",$AN27&lt;=EOMONTH(M$12,0),$AO27&gt;=M$12),IF(AND(INDEX('Roadmap Calc (Don’t Touch)'!$AA$2:$AX$151,$AI27,COLUMN()-COLUMN($J$16)+1)&gt;0,OR($D27="03. UX Discovery",$D27="04. UX Design")),IF(AND($H27&lt;&gt;"",$H27&lt;=EOMONTH(M$12,0),$I27&gt;=M$12),"ALL","PD+UX"),IF(AND($H27&lt;&gt;"",$H27&lt;=EOMONTH(M$12,0),$I27&gt;=M$12),"PD+DEV","PD")),IF(AND(INDEX('Roadmap Calc (Don’t Touch)'!$AA$2:$AX$151,$AI27,COLUMN()-COLUMN($J$16)+1)&gt;0,OR($D27="03. UX Discovery",$D27="04. UX Design")),IF(AND($H27&lt;&gt;"",$H27&lt;=EOMONTH(M$12,0),$I27&gt;=M$12),"UX+DEV","UX"),IF(AND($H27&lt;&gt;"",$H27&lt;=EOMONTH(M$12,0),$I27&gt;=M$12),"DEV",""))))</f>
      </c>
      <c r="N27" s="158" t="str">
        <f>IF($AI27="","",IF(AND($AN27&lt;&gt;"",$AN27&lt;=EOMONTH(N$12,0),$AO27&gt;=N$12),IF(AND(INDEX('Roadmap Calc (Don’t Touch)'!$AA$2:$AX$151,$AI27,COLUMN()-COLUMN($J$16)+1)&gt;0,OR($D27="03. UX Discovery",$D27="04. UX Design")),IF(AND($H27&lt;&gt;"",$H27&lt;=EOMONTH(N$12,0),$I27&gt;=N$12),"ALL","PD+UX"),IF(AND($H27&lt;&gt;"",$H27&lt;=EOMONTH(N$12,0),$I27&gt;=N$12),"PD+DEV","PD")),IF(AND(INDEX('Roadmap Calc (Don’t Touch)'!$AA$2:$AX$151,$AI27,COLUMN()-COLUMN($J$16)+1)&gt;0,OR($D27="03. UX Discovery",$D27="04. UX Design")),IF(AND($H27&lt;&gt;"",$H27&lt;=EOMONTH(N$12,0),$I27&gt;=N$12),"UX+DEV","UX"),IF(AND($H27&lt;&gt;"",$H27&lt;=EOMONTH(N$12,0),$I27&gt;=N$12),"DEV",""))))</f>
      </c>
      <c r="O27" s="158" t="str">
        <f>IF($AI27="","",IF(AND($AN27&lt;&gt;"",$AN27&lt;=EOMONTH(O$12,0),$AO27&gt;=O$12),IF(AND(INDEX('Roadmap Calc (Don’t Touch)'!$AA$2:$AX$151,$AI27,COLUMN()-COLUMN($J$16)+1)&gt;0,OR($D27="03. UX Discovery",$D27="04. UX Design")),IF(AND($H27&lt;&gt;"",$H27&lt;=EOMONTH(O$12,0),$I27&gt;=O$12),"ALL","PD+UX"),IF(AND($H27&lt;&gt;"",$H27&lt;=EOMONTH(O$12,0),$I27&gt;=O$12),"PD+DEV","PD")),IF(AND(INDEX('Roadmap Calc (Don’t Touch)'!$AA$2:$AX$151,$AI27,COLUMN()-COLUMN($J$16)+1)&gt;0,OR($D27="03. UX Discovery",$D27="04. UX Design")),IF(AND($H27&lt;&gt;"",$H27&lt;=EOMONTH(O$12,0),$I27&gt;=O$12),"UX+DEV","UX"),IF(AND($H27&lt;&gt;"",$H27&lt;=EOMONTH(O$12,0),$I27&gt;=O$12),"DEV",""))))</f>
      </c>
      <c r="P27" s="158" t="str">
        <f>IF($AI27="","",IF(AND($AN27&lt;&gt;"",$AN27&lt;=EOMONTH(P$12,0),$AO27&gt;=P$12),IF(AND(INDEX('Roadmap Calc (Don’t Touch)'!$AA$2:$AX$151,$AI27,COLUMN()-COLUMN($J$16)+1)&gt;0,OR($D27="03. UX Discovery",$D27="04. UX Design")),IF(AND($H27&lt;&gt;"",$H27&lt;=EOMONTH(P$12,0),$I27&gt;=P$12),"ALL","PD+UX"),IF(AND($H27&lt;&gt;"",$H27&lt;=EOMONTH(P$12,0),$I27&gt;=P$12),"PD+DEV","PD")),IF(AND(INDEX('Roadmap Calc (Don’t Touch)'!$AA$2:$AX$151,$AI27,COLUMN()-COLUMN($J$16)+1)&gt;0,OR($D27="03. UX Discovery",$D27="04. UX Design")),IF(AND($H27&lt;&gt;"",$H27&lt;=EOMONTH(P$12,0),$I27&gt;=P$12),"UX+DEV","UX"),IF(AND($H27&lt;&gt;"",$H27&lt;=EOMONTH(P$12,0),$I27&gt;=P$12),"DEV",""))))</f>
      </c>
      <c r="Q27" s="158" t="str">
        <f>IF($AI27="","",IF(AND($AN27&lt;&gt;"",$AN27&lt;=EOMONTH(Q$12,0),$AO27&gt;=Q$12),IF(AND(INDEX('Roadmap Calc (Don’t Touch)'!$AA$2:$AX$151,$AI27,COLUMN()-COLUMN($J$16)+1)&gt;0,OR($D27="03. UX Discovery",$D27="04. UX Design")),IF(AND($H27&lt;&gt;"",$H27&lt;=EOMONTH(Q$12,0),$I27&gt;=Q$12),"ALL","PD+UX"),IF(AND($H27&lt;&gt;"",$H27&lt;=EOMONTH(Q$12,0),$I27&gt;=Q$12),"PD+DEV","PD")),IF(AND(INDEX('Roadmap Calc (Don’t Touch)'!$AA$2:$AX$151,$AI27,COLUMN()-COLUMN($J$16)+1)&gt;0,OR($D27="03. UX Discovery",$D27="04. UX Design")),IF(AND($H27&lt;&gt;"",$H27&lt;=EOMONTH(Q$12,0),$I27&gt;=Q$12),"UX+DEV","UX"),IF(AND($H27&lt;&gt;"",$H27&lt;=EOMONTH(Q$12,0),$I27&gt;=Q$12),"DEV",""))))</f>
      </c>
      <c r="R27" s="158" t="str">
        <f>IF($AI27="","",IF(AND($AN27&lt;&gt;"",$AN27&lt;=EOMONTH(R$12,0),$AO27&gt;=R$12),IF(AND(INDEX('Roadmap Calc (Don’t Touch)'!$AA$2:$AX$151,$AI27,COLUMN()-COLUMN($J$16)+1)&gt;0,OR($D27="03. UX Discovery",$D27="04. UX Design")),IF(AND($H27&lt;&gt;"",$H27&lt;=EOMONTH(R$12,0),$I27&gt;=R$12),"ALL","PD+UX"),IF(AND($H27&lt;&gt;"",$H27&lt;=EOMONTH(R$12,0),$I27&gt;=R$12),"PD+DEV","PD")),IF(AND(INDEX('Roadmap Calc (Don’t Touch)'!$AA$2:$AX$151,$AI27,COLUMN()-COLUMN($J$16)+1)&gt;0,OR($D27="03. UX Discovery",$D27="04. UX Design")),IF(AND($H27&lt;&gt;"",$H27&lt;=EOMONTH(R$12,0),$I27&gt;=R$12),"UX+DEV","UX"),IF(AND($H27&lt;&gt;"",$H27&lt;=EOMONTH(R$12,0),$I27&gt;=R$12),"DEV",""))))</f>
      </c>
      <c r="S27" s="158" t="str">
        <f>IF($AI27="","",IF(AND($AN27&lt;&gt;"",$AN27&lt;=EOMONTH(S$12,0),$AO27&gt;=S$12),IF(AND(INDEX('Roadmap Calc (Don’t Touch)'!$AA$2:$AX$151,$AI27,COLUMN()-COLUMN($J$16)+1)&gt;0,OR($D27="03. UX Discovery",$D27="04. UX Design")),IF(AND($H27&lt;&gt;"",$H27&lt;=EOMONTH(S$12,0),$I27&gt;=S$12),"ALL","PD+UX"),IF(AND($H27&lt;&gt;"",$H27&lt;=EOMONTH(S$12,0),$I27&gt;=S$12),"PD+DEV","PD")),IF(AND(INDEX('Roadmap Calc (Don’t Touch)'!$AA$2:$AX$151,$AI27,COLUMN()-COLUMN($J$16)+1)&gt;0,OR($D27="03. UX Discovery",$D27="04. UX Design")),IF(AND($H27&lt;&gt;"",$H27&lt;=EOMONTH(S$12,0),$I27&gt;=S$12),"UX+DEV","UX"),IF(AND($H27&lt;&gt;"",$H27&lt;=EOMONTH(S$12,0),$I27&gt;=S$12),"DEV",""))))</f>
      </c>
      <c r="T27" s="158" t="str">
        <f>IF($AI27="","",IF(AND($AN27&lt;&gt;"",$AN27&lt;=EOMONTH(T$12,0),$AO27&gt;=T$12),IF(AND(INDEX('Roadmap Calc (Don’t Touch)'!$AA$2:$AX$151,$AI27,COLUMN()-COLUMN($J$16)+1)&gt;0,OR($D27="03. UX Discovery",$D27="04. UX Design")),IF(AND($H27&lt;&gt;"",$H27&lt;=EOMONTH(T$12,0),$I27&gt;=T$12),"ALL","PD+UX"),IF(AND($H27&lt;&gt;"",$H27&lt;=EOMONTH(T$12,0),$I27&gt;=T$12),"PD+DEV","PD")),IF(AND(INDEX('Roadmap Calc (Don’t Touch)'!$AA$2:$AX$151,$AI27,COLUMN()-COLUMN($J$16)+1)&gt;0,OR($D27="03. UX Discovery",$D27="04. UX Design")),IF(AND($H27&lt;&gt;"",$H27&lt;=EOMONTH(T$12,0),$I27&gt;=T$12),"UX+DEV","UX"),IF(AND($H27&lt;&gt;"",$H27&lt;=EOMONTH(T$12,0),$I27&gt;=T$12),"DEV",""))))</f>
      </c>
      <c r="U27" s="158" t="str">
        <f>IF($AI27="","",IF(AND($AN27&lt;&gt;"",$AN27&lt;=EOMONTH(U$12,0),$AO27&gt;=U$12),IF(AND(INDEX('Roadmap Calc (Don’t Touch)'!$AA$2:$AX$151,$AI27,COLUMN()-COLUMN($J$16)+1)&gt;0,OR($D27="03. UX Discovery",$D27="04. UX Design")),IF(AND($H27&lt;&gt;"",$H27&lt;=EOMONTH(U$12,0),$I27&gt;=U$12),"ALL","PD+UX"),IF(AND($H27&lt;&gt;"",$H27&lt;=EOMONTH(U$12,0),$I27&gt;=U$12),"PD+DEV","PD")),IF(AND(INDEX('Roadmap Calc (Don’t Touch)'!$AA$2:$AX$151,$AI27,COLUMN()-COLUMN($J$16)+1)&gt;0,OR($D27="03. UX Discovery",$D27="04. UX Design")),IF(AND($H27&lt;&gt;"",$H27&lt;=EOMONTH(U$12,0),$I27&gt;=U$12),"UX+DEV","UX"),IF(AND($H27&lt;&gt;"",$H27&lt;=EOMONTH(U$12,0),$I27&gt;=U$12),"DEV",""))))</f>
      </c>
      <c r="V27" s="158" t="str">
        <f>IF($AI27="","",IF(AND($AN27&lt;&gt;"",$AN27&lt;=EOMONTH(V$12,0),$AO27&gt;=V$12),IF(AND(INDEX('Roadmap Calc (Don’t Touch)'!$AA$2:$AX$151,$AI27,COLUMN()-COLUMN($J$16)+1)&gt;0,OR($D27="03. UX Discovery",$D27="04. UX Design")),IF(AND($H27&lt;&gt;"",$H27&lt;=EOMONTH(V$12,0),$I27&gt;=V$12),"ALL","PD+UX"),IF(AND($H27&lt;&gt;"",$H27&lt;=EOMONTH(V$12,0),$I27&gt;=V$12),"PD+DEV","PD")),IF(AND(INDEX('Roadmap Calc (Don’t Touch)'!$AA$2:$AX$151,$AI27,COLUMN()-COLUMN($J$16)+1)&gt;0,OR($D27="03. UX Discovery",$D27="04. UX Design")),IF(AND($H27&lt;&gt;"",$H27&lt;=EOMONTH(V$12,0),$I27&gt;=V$12),"UX+DEV","UX"),IF(AND($H27&lt;&gt;"",$H27&lt;=EOMONTH(V$12,0),$I27&gt;=V$12),"DEV",""))))</f>
      </c>
      <c r="W27" s="158" t="str">
        <f>IF($AI27="","",IF(AND($AN27&lt;&gt;"",$AN27&lt;=EOMONTH(W$12,0),$AO27&gt;=W$12),IF(AND(INDEX('Roadmap Calc (Don’t Touch)'!$AA$2:$AX$151,$AI27,COLUMN()-COLUMN($J$16)+1)&gt;0,OR($D27="03. UX Discovery",$D27="04. UX Design")),IF(AND($H27&lt;&gt;"",$H27&lt;=EOMONTH(W$12,0),$I27&gt;=W$12),"ALL","PD+UX"),IF(AND($H27&lt;&gt;"",$H27&lt;=EOMONTH(W$12,0),$I27&gt;=W$12),"PD+DEV","PD")),IF(AND(INDEX('Roadmap Calc (Don’t Touch)'!$AA$2:$AX$151,$AI27,COLUMN()-COLUMN($J$16)+1)&gt;0,OR($D27="03. UX Discovery",$D27="04. UX Design")),IF(AND($H27&lt;&gt;"",$H27&lt;=EOMONTH(W$12,0),$I27&gt;=W$12),"UX+DEV","UX"),IF(AND($H27&lt;&gt;"",$H27&lt;=EOMONTH(W$12,0),$I27&gt;=W$12),"DEV",""))))</f>
      </c>
      <c r="X27" s="158" t="str">
        <f>IF($AI27="","",IF(AND($AN27&lt;&gt;"",$AN27&lt;=EOMONTH(X$12,0),$AO27&gt;=X$12),IF(AND(INDEX('Roadmap Calc (Don’t Touch)'!$AA$2:$AX$151,$AI27,COLUMN()-COLUMN($J$16)+1)&gt;0,OR($D27="03. UX Discovery",$D27="04. UX Design")),IF(AND($H27&lt;&gt;"",$H27&lt;=EOMONTH(X$12,0),$I27&gt;=X$12),"ALL","PD+UX"),IF(AND($H27&lt;&gt;"",$H27&lt;=EOMONTH(X$12,0),$I27&gt;=X$12),"PD+DEV","PD")),IF(AND(INDEX('Roadmap Calc (Don’t Touch)'!$AA$2:$AX$151,$AI27,COLUMN()-COLUMN($J$16)+1)&gt;0,OR($D27="03. UX Discovery",$D27="04. UX Design")),IF(AND($H27&lt;&gt;"",$H27&lt;=EOMONTH(X$12,0),$I27&gt;=X$12),"UX+DEV","UX"),IF(AND($H27&lt;&gt;"",$H27&lt;=EOMONTH(X$12,0),$I27&gt;=X$12),"DEV",""))))</f>
      </c>
      <c r="Y27" s="158" t="str">
        <f>IF($AI27="","",IF(AND($AN27&lt;&gt;"",$AN27&lt;=EOMONTH(Y$12,0),$AO27&gt;=Y$12),IF(AND(INDEX('Roadmap Calc (Don’t Touch)'!$AA$2:$AX$151,$AI27,COLUMN()-COLUMN($J$16)+1)&gt;0,OR($D27="03. UX Discovery",$D27="04. UX Design")),IF(AND($H27&lt;&gt;"",$H27&lt;=EOMONTH(Y$12,0),$I27&gt;=Y$12),"ALL","PD+UX"),IF(AND($H27&lt;&gt;"",$H27&lt;=EOMONTH(Y$12,0),$I27&gt;=Y$12),"PD+DEV","PD")),IF(AND(INDEX('Roadmap Calc (Don’t Touch)'!$AA$2:$AX$151,$AI27,COLUMN()-COLUMN($J$16)+1)&gt;0,OR($D27="03. UX Discovery",$D27="04. UX Design")),IF(AND($H27&lt;&gt;"",$H27&lt;=EOMONTH(Y$12,0),$I27&gt;=Y$12),"UX+DEV","UX"),IF(AND($H27&lt;&gt;"",$H27&lt;=EOMONTH(Y$12,0),$I27&gt;=Y$12),"DEV",""))))</f>
      </c>
      <c r="Z27" s="158" t="str">
        <f>IF($AI27="","",IF(AND($AN27&lt;&gt;"",$AN27&lt;=EOMONTH(Z$12,0),$AO27&gt;=Z$12),IF(AND(INDEX('Roadmap Calc (Don’t Touch)'!$AA$2:$AX$151,$AI27,COLUMN()-COLUMN($J$16)+1)&gt;0,OR($D27="03. UX Discovery",$D27="04. UX Design")),IF(AND($H27&lt;&gt;"",$H27&lt;=EOMONTH(Z$12,0),$I27&gt;=Z$12),"ALL","PD+UX"),IF(AND($H27&lt;&gt;"",$H27&lt;=EOMONTH(Z$12,0),$I27&gt;=Z$12),"PD+DEV","PD")),IF(AND(INDEX('Roadmap Calc (Don’t Touch)'!$AA$2:$AX$151,$AI27,COLUMN()-COLUMN($J$16)+1)&gt;0,OR($D27="03. UX Discovery",$D27="04. UX Design")),IF(AND($H27&lt;&gt;"",$H27&lt;=EOMONTH(Z$12,0),$I27&gt;=Z$12),"UX+DEV","UX"),IF(AND($H27&lt;&gt;"",$H27&lt;=EOMONTH(Z$12,0),$I27&gt;=Z$12),"DEV",""))))</f>
      </c>
      <c r="AA27" s="158" t="str">
        <f>IF($AI27="","",IF(AND($AN27&lt;&gt;"",$AN27&lt;=EOMONTH(AA$12,0),$AO27&gt;=AA$12),IF(AND(INDEX('Roadmap Calc (Don’t Touch)'!$AA$2:$AX$151,$AI27,COLUMN()-COLUMN($J$16)+1)&gt;0,OR($D27="03. UX Discovery",$D27="04. UX Design")),IF(AND($H27&lt;&gt;"",$H27&lt;=EOMONTH(AA$12,0),$I27&gt;=AA$12),"ALL","PD+UX"),IF(AND($H27&lt;&gt;"",$H27&lt;=EOMONTH(AA$12,0),$I27&gt;=AA$12),"PD+DEV","PD")),IF(AND(INDEX('Roadmap Calc (Don’t Touch)'!$AA$2:$AX$151,$AI27,COLUMN()-COLUMN($J$16)+1)&gt;0,OR($D27="03. UX Discovery",$D27="04. UX Design")),IF(AND($H27&lt;&gt;"",$H27&lt;=EOMONTH(AA$12,0),$I27&gt;=AA$12),"UX+DEV","UX"),IF(AND($H27&lt;&gt;"",$H27&lt;=EOMONTH(AA$12,0),$I27&gt;=AA$12),"DEV",""))))</f>
      </c>
      <c r="AB27" s="158" t="str">
        <f>IF($AI27="","",IF(AND($AN27&lt;&gt;"",$AN27&lt;=EOMONTH(AB$12,0),$AO27&gt;=AB$12),IF(AND(INDEX('Roadmap Calc (Don’t Touch)'!$AA$2:$AX$151,$AI27,COLUMN()-COLUMN($J$16)+1)&gt;0,OR($D27="03. UX Discovery",$D27="04. UX Design")),IF(AND($H27&lt;&gt;"",$H27&lt;=EOMONTH(AB$12,0),$I27&gt;=AB$12),"ALL","PD+UX"),IF(AND($H27&lt;&gt;"",$H27&lt;=EOMONTH(AB$12,0),$I27&gt;=AB$12),"PD+DEV","PD")),IF(AND(INDEX('Roadmap Calc (Don’t Touch)'!$AA$2:$AX$151,$AI27,COLUMN()-COLUMN($J$16)+1)&gt;0,OR($D27="03. UX Discovery",$D27="04. UX Design")),IF(AND($H27&lt;&gt;"",$H27&lt;=EOMONTH(AB$12,0),$I27&gt;=AB$12),"UX+DEV","UX"),IF(AND($H27&lt;&gt;"",$H27&lt;=EOMONTH(AB$12,0),$I27&gt;=AB$12),"DEV",""))))</f>
      </c>
      <c r="AC27" s="158" t="str">
        <f>IF($AI27="","",IF(AND($AN27&lt;&gt;"",$AN27&lt;=EOMONTH(AC$12,0),$AO27&gt;=AC$12),IF(AND(INDEX('Roadmap Calc (Don’t Touch)'!$AA$2:$AX$151,$AI27,COLUMN()-COLUMN($J$16)+1)&gt;0,OR($D27="03. UX Discovery",$D27="04. UX Design")),IF(AND($H27&lt;&gt;"",$H27&lt;=EOMONTH(AC$12,0),$I27&gt;=AC$12),"ALL","PD+UX"),IF(AND($H27&lt;&gt;"",$H27&lt;=EOMONTH(AC$12,0),$I27&gt;=AC$12),"PD+DEV","PD")),IF(AND(INDEX('Roadmap Calc (Don’t Touch)'!$AA$2:$AX$151,$AI27,COLUMN()-COLUMN($J$16)+1)&gt;0,OR($D27="03. UX Discovery",$D27="04. UX Design")),IF(AND($H27&lt;&gt;"",$H27&lt;=EOMONTH(AC$12,0),$I27&gt;=AC$12),"UX+DEV","UX"),IF(AND($H27&lt;&gt;"",$H27&lt;=EOMONTH(AC$12,0),$I27&gt;=AC$12),"DEV",""))))</f>
      </c>
      <c r="AD27" s="158" t="str">
        <f>IF($AI27="","",IF(AND($AN27&lt;&gt;"",$AN27&lt;=EOMONTH(AD$12,0),$AO27&gt;=AD$12),IF(AND(INDEX('Roadmap Calc (Don’t Touch)'!$AA$2:$AX$151,$AI27,COLUMN()-COLUMN($J$16)+1)&gt;0,OR($D27="03. UX Discovery",$D27="04. UX Design")),IF(AND($H27&lt;&gt;"",$H27&lt;=EOMONTH(AD$12,0),$I27&gt;=AD$12),"ALL","PD+UX"),IF(AND($H27&lt;&gt;"",$H27&lt;=EOMONTH(AD$12,0),$I27&gt;=AD$12),"PD+DEV","PD")),IF(AND(INDEX('Roadmap Calc (Don’t Touch)'!$AA$2:$AX$151,$AI27,COLUMN()-COLUMN($J$16)+1)&gt;0,OR($D27="03. UX Discovery",$D27="04. UX Design")),IF(AND($H27&lt;&gt;"",$H27&lt;=EOMONTH(AD$12,0),$I27&gt;=AD$12),"UX+DEV","UX"),IF(AND($H27&lt;&gt;"",$H27&lt;=EOMONTH(AD$12,0),$I27&gt;=AD$12),"DEV",""))))</f>
      </c>
      <c r="AE27" s="158" t="str">
        <f>IF($AI27="","",IF(AND($AN27&lt;&gt;"",$AN27&lt;=EOMONTH(AE$12,0),$AO27&gt;=AE$12),IF(AND(INDEX('Roadmap Calc (Don’t Touch)'!$AA$2:$AX$151,$AI27,COLUMN()-COLUMN($J$16)+1)&gt;0,OR($D27="03. UX Discovery",$D27="04. UX Design")),IF(AND($H27&lt;&gt;"",$H27&lt;=EOMONTH(AE$12,0),$I27&gt;=AE$12),"ALL","PD+UX"),IF(AND($H27&lt;&gt;"",$H27&lt;=EOMONTH(AE$12,0),$I27&gt;=AE$12),"PD+DEV","PD")),IF(AND(INDEX('Roadmap Calc (Don’t Touch)'!$AA$2:$AX$151,$AI27,COLUMN()-COLUMN($J$16)+1)&gt;0,OR($D27="03. UX Discovery",$D27="04. UX Design")),IF(AND($H27&lt;&gt;"",$H27&lt;=EOMONTH(AE$12,0),$I27&gt;=AE$12),"UX+DEV","UX"),IF(AND($H27&lt;&gt;"",$H27&lt;=EOMONTH(AE$12,0),$I27&gt;=AE$12),"DEV",""))))</f>
      </c>
      <c r="AF27" s="158" t="str">
        <f>IF($AI27="","",IF(AND($AN27&lt;&gt;"",$AN27&lt;=EOMONTH(AF$12,0),$AO27&gt;=AF$12),IF(AND(INDEX('Roadmap Calc (Don’t Touch)'!$AA$2:$AX$151,$AI27,COLUMN()-COLUMN($J$16)+1)&gt;0,OR($D27="03. UX Discovery",$D27="04. UX Design")),IF(AND($H27&lt;&gt;"",$H27&lt;=EOMONTH(AF$12,0),$I27&gt;=AF$12),"ALL","PD+UX"),IF(AND($H27&lt;&gt;"",$H27&lt;=EOMONTH(AF$12,0),$I27&gt;=AF$12),"PD+DEV","PD")),IF(AND(INDEX('Roadmap Calc (Don’t Touch)'!$AA$2:$AX$151,$AI27,COLUMN()-COLUMN($J$16)+1)&gt;0,OR($D27="03. UX Discovery",$D27="04. UX Design")),IF(AND($H27&lt;&gt;"",$H27&lt;=EOMONTH(AF$12,0),$I27&gt;=AF$12),"UX+DEV","UX"),IF(AND($H27&lt;&gt;"",$H27&lt;=EOMONTH(AF$12,0),$I27&gt;=AF$12),"DEV",""))))</f>
      </c>
      <c r="AG27" s="158" t="str">
        <f>IF($AI27="","",IF(AND($AN27&lt;&gt;"",$AN27&lt;=EOMONTH(AG$12,0),$AO27&gt;=AG$12),IF(AND(INDEX('Roadmap Calc (Don’t Touch)'!$AA$2:$AX$151,$AI27,COLUMN()-COLUMN($J$16)+1)&gt;0,OR($D27="03. UX Discovery",$D27="04. UX Design")),IF(AND($H27&lt;&gt;"",$H27&lt;=EOMONTH(AG$12,0),$I27&gt;=AG$12),"ALL","PD+UX"),IF(AND($H27&lt;&gt;"",$H27&lt;=EOMONTH(AG$12,0),$I27&gt;=AG$12),"PD+DEV","PD")),IF(AND(INDEX('Roadmap Calc (Don’t Touch)'!$AA$2:$AX$151,$AI27,COLUMN()-COLUMN($J$16)+1)&gt;0,OR($D27="03. UX Discovery",$D27="04. UX Design")),IF(AND($H27&lt;&gt;"",$H27&lt;=EOMONTH(AG$12,0),$I27&gt;=AG$12),"UX+DEV","UX"),IF(AND($H27&lt;&gt;"",$H27&lt;=EOMONTH(AG$12,0),$I27&gt;=AG$12),"DEV",""))))</f>
      </c>
      <c r="AH27" s="145" t="str">
        <f>IF($AI27="","",INDEX('Roadmap Calc (Don’t Touch)'!$D$2:$D$151,$AI27))</f>
        <v>Improve Trade In User Flow</v>
      </c>
      <c r="AI27" s="145">
        <f>IFERROR(MATCH(12,'Roadmap Calc (Don’t Touch)'!$O$2:$O$151,0),"")</f>
        <v>37</v>
      </c>
      <c r="AJ27" s="145"/>
      <c r="AK27" s="145"/>
      <c r="AL27" s="145"/>
      <c r="AM27" s="145"/>
      <c r="AN27">
        <f>IF($AI27="","",IF(ISNUMBER(INDEX('Roadmap Calc (Don’t Touch)'!$BB$2:$BB$151,$AI27)),INDEX('Roadmap Calc (Don’t Touch)'!$BB$2:$BB$151,$AI27),""))</f>
      </c>
      <c r="AO27">
        <f>IF($AI27="","",IF(ISNUMBER(INDEX('Roadmap Calc (Don’t Touch)'!$BC$2:$BC$151,$AI27)),INDEX('Roadmap Calc (Don’t Touch)'!$BC$2:$BC$151,$AI27),""))</f>
      </c>
    </row>
    <row r="28" spans="1:41" ht="20" customHeight="1" x14ac:dyDescent="0.25">
      <c r="A28" s="198" t="str">
        <f>IF($AI28="","",IF($AH28=$AH27,"",IF(INDEX('Roadmap Calc (Don’t Touch)'!$U$2:$U$151,$AI28)=0,$AH28,HYPERLINK("#'Control (Don’t Touch)'!E"&amp;INDEX('Roadmap Calc (Don’t Touch)'!$U$2:$U$151,$AI28),$AH28))))</f>
        <v>Increase Buy Used Awareness</v>
      </c>
      <c r="B28" s="159" t="str">
        <f>IF($AI28="","",IF(INDEX('Roadmap Calc (Don’t Touch)'!$K$2:$K$151,$AI28)="",INDEX('Roadmap Calc (Don’t Touch)'!$B$2:$B$151,$AI28),HYPERLINK("https://jira.bnh.com/browse/"&amp;INDEX('Roadmap Calc (Don’t Touch)'!$K$2:$K$151,$AI28),INDEX('Roadmap Calc (Don’t Touch)'!$B$2:$B$151,$AI28))))</f>
        <v>Used Hub - Just Added Component</v>
      </c>
      <c r="C28" s="159" t="str">
        <f>IF($AI28="","",IF(INDEX('Roadmap Calc (Don’t Touch)'!$E$2:$E$151,$AI28)="","",HYPERLINK("https://jira.bnh.com/browse/"&amp;INDEX('Roadmap Calc (Don’t Touch)'!$E$2:$E$151,$AI28),INDEX('Roadmap Calc (Don’t Touch)'!$E$2:$E$151,$AI28))))</f>
        <v>BHP-7229</v>
      </c>
      <c r="D28" s="161" t="str">
        <f>IF($AI28="","",INDEX('Roadmap Calc (Don’t Touch)'!$F$2:$F$151,$AI28))</f>
        <v>02. UX Req</v>
      </c>
      <c r="E28" s="155">
        <f>IF($AI28="","",IF(ISNUMBER(INDEX('Roadmap Calc (Don’t Touch)'!$G$2:$G$151,$AI28)),INDEX('Roadmap Calc (Don’t Touch)'!$G$2:$G$151,$AI28),""))</f>
        <v>46244</v>
      </c>
      <c r="F28" s="155">
        <f>IF($AI28="","",IF(ISNUMBER(INDEX('Roadmap Calc (Don’t Touch)'!$H$2:$H$151,$AI28)),INDEX('Roadmap Calc (Don’t Touch)'!$H$2:$H$151,$AI28),""))</f>
        <v>46279</v>
      </c>
      <c r="G28" s="156">
        <f>IF($AI28="","",INDEX('Roadmap Calc (Don’t Touch)'!$T$2:$T$151,$AI28))</f>
        <v>3</v>
      </c>
      <c r="H28" s="157">
        <f ca="1">IF($AI28="","",IF(ISNUMBER(INDEX('Roadmap Calc (Don’t Touch)'!$I$2:$I$151,$AI28)),INDEX('Roadmap Calc (Don’t Touch)'!$I$2:$I$151,$AI28),""))</f>
        <v>46419</v>
      </c>
      <c r="I28" s="157">
        <f ca="1">IF($AI28="","",IF(ISNUMBER(INDEX('Roadmap Calc (Don’t Touch)'!$J$2:$J$151,$AI28)),INDEX('Roadmap Calc (Don’t Touch)'!$J$2:$J$151,$AI28),""))</f>
        <v>46446</v>
      </c>
      <c r="J28" s="158" t="str">
        <f>IF($AI28="","",IF(AND($AN28&lt;&gt;"",$AN28&lt;=EOMONTH(J$12,0),$AO28&gt;=J$12),IF(AND(INDEX('Roadmap Calc (Don’t Touch)'!$AA$2:$AX$151,$AI28,COLUMN()-COLUMN($J$16)+1)&gt;0,OR($D28="03. UX Discovery",$D28="04. UX Design")),IF(AND($H28&lt;&gt;"",$H28&lt;=EOMONTH(J$12,0),$I28&gt;=J$12),"ALL","PD+UX"),IF(AND($H28&lt;&gt;"",$H28&lt;=EOMONTH(J$12,0),$I28&gt;=J$12),"PD+DEV","PD")),IF(AND(INDEX('Roadmap Calc (Don’t Touch)'!$AA$2:$AX$151,$AI28,COLUMN()-COLUMN($J$16)+1)&gt;0,OR($D28="03. UX Discovery",$D28="04. UX Design")),IF(AND($H28&lt;&gt;"",$H28&lt;=EOMONTH(J$12,0),$I28&gt;=J$12),"UX+DEV","UX"),IF(AND($H28&lt;&gt;"",$H28&lt;=EOMONTH(J$12,0),$I28&gt;=J$12),"DEV",""))))</f>
      </c>
      <c r="K28" s="158" t="str">
        <f>IF($AI28="","",IF(AND($AN28&lt;&gt;"",$AN28&lt;=EOMONTH(K$12,0),$AO28&gt;=K$12),IF(AND(INDEX('Roadmap Calc (Don’t Touch)'!$AA$2:$AX$151,$AI28,COLUMN()-COLUMN($J$16)+1)&gt;0,OR($D28="03. UX Discovery",$D28="04. UX Design")),IF(AND($H28&lt;&gt;"",$H28&lt;=EOMONTH(K$12,0),$I28&gt;=K$12),"ALL","PD+UX"),IF(AND($H28&lt;&gt;"",$H28&lt;=EOMONTH(K$12,0),$I28&gt;=K$12),"PD+DEV","PD")),IF(AND(INDEX('Roadmap Calc (Don’t Touch)'!$AA$2:$AX$151,$AI28,COLUMN()-COLUMN($J$16)+1)&gt;0,OR($D28="03. UX Discovery",$D28="04. UX Design")),IF(AND($H28&lt;&gt;"",$H28&lt;=EOMONTH(K$12,0),$I28&gt;=K$12),"UX+DEV","UX"),IF(AND($H28&lt;&gt;"",$H28&lt;=EOMONTH(K$12,0),$I28&gt;=K$12),"DEV",""))))</f>
      </c>
      <c r="L28" s="158" t="str">
        <f>IF($AI28="","",IF(AND($AN28&lt;&gt;"",$AN28&lt;=EOMONTH(L$12,0),$AO28&gt;=L$12),IF(AND(INDEX('Roadmap Calc (Don’t Touch)'!$AA$2:$AX$151,$AI28,COLUMN()-COLUMN($J$16)+1)&gt;0,OR($D28="03. UX Discovery",$D28="04. UX Design")),IF(AND($H28&lt;&gt;"",$H28&lt;=EOMONTH(L$12,0),$I28&gt;=L$12),"ALL","PD+UX"),IF(AND($H28&lt;&gt;"",$H28&lt;=EOMONTH(L$12,0),$I28&gt;=L$12),"PD+DEV","PD")),IF(AND(INDEX('Roadmap Calc (Don’t Touch)'!$AA$2:$AX$151,$AI28,COLUMN()-COLUMN($J$16)+1)&gt;0,OR($D28="03. UX Discovery",$D28="04. UX Design")),IF(AND($H28&lt;&gt;"",$H28&lt;=EOMONTH(L$12,0),$I28&gt;=L$12),"UX+DEV","UX"),IF(AND($H28&lt;&gt;"",$H28&lt;=EOMONTH(L$12,0),$I28&gt;=L$12),"DEV",""))))</f>
      </c>
      <c r="M28" s="158" t="str">
        <f>IF($AI28="","",IF(AND($AN28&lt;&gt;"",$AN28&lt;=EOMONTH(M$12,0),$AO28&gt;=M$12),IF(AND(INDEX('Roadmap Calc (Don’t Touch)'!$AA$2:$AX$151,$AI28,COLUMN()-COLUMN($J$16)+1)&gt;0,OR($D28="03. UX Discovery",$D28="04. UX Design")),IF(AND($H28&lt;&gt;"",$H28&lt;=EOMONTH(M$12,0),$I28&gt;=M$12),"ALL","PD+UX"),IF(AND($H28&lt;&gt;"",$H28&lt;=EOMONTH(M$12,0),$I28&gt;=M$12),"PD+DEV","PD")),IF(AND(INDEX('Roadmap Calc (Don’t Touch)'!$AA$2:$AX$151,$AI28,COLUMN()-COLUMN($J$16)+1)&gt;0,OR($D28="03. UX Discovery",$D28="04. UX Design")),IF(AND($H28&lt;&gt;"",$H28&lt;=EOMONTH(M$12,0),$I28&gt;=M$12),"UX+DEV","UX"),IF(AND($H28&lt;&gt;"",$H28&lt;=EOMONTH(M$12,0),$I28&gt;=M$12),"DEV",""))))</f>
      </c>
      <c r="N28" s="158" t="str">
        <f>IF($AI28="","",IF(AND($AN28&lt;&gt;"",$AN28&lt;=EOMONTH(N$12,0),$AO28&gt;=N$12),IF(AND(INDEX('Roadmap Calc (Don’t Touch)'!$AA$2:$AX$151,$AI28,COLUMN()-COLUMN($J$16)+1)&gt;0,OR($D28="03. UX Discovery",$D28="04. UX Design")),IF(AND($H28&lt;&gt;"",$H28&lt;=EOMONTH(N$12,0),$I28&gt;=N$12),"ALL","PD+UX"),IF(AND($H28&lt;&gt;"",$H28&lt;=EOMONTH(N$12,0),$I28&gt;=N$12),"PD+DEV","PD")),IF(AND(INDEX('Roadmap Calc (Don’t Touch)'!$AA$2:$AX$151,$AI28,COLUMN()-COLUMN($J$16)+1)&gt;0,OR($D28="03. UX Discovery",$D28="04. UX Design")),IF(AND($H28&lt;&gt;"",$H28&lt;=EOMONTH(N$12,0),$I28&gt;=N$12),"UX+DEV","UX"),IF(AND($H28&lt;&gt;"",$H28&lt;=EOMONTH(N$12,0),$I28&gt;=N$12),"DEV",""))))</f>
      </c>
      <c r="O28" s="158" t="str">
        <f>IF($AI28="","",IF(AND($AN28&lt;&gt;"",$AN28&lt;=EOMONTH(O$12,0),$AO28&gt;=O$12),IF(AND(INDEX('Roadmap Calc (Don’t Touch)'!$AA$2:$AX$151,$AI28,COLUMN()-COLUMN($J$16)+1)&gt;0,OR($D28="03. UX Discovery",$D28="04. UX Design")),IF(AND($H28&lt;&gt;"",$H28&lt;=EOMONTH(O$12,0),$I28&gt;=O$12),"ALL","PD+UX"),IF(AND($H28&lt;&gt;"",$H28&lt;=EOMONTH(O$12,0),$I28&gt;=O$12),"PD+DEV","PD")),IF(AND(INDEX('Roadmap Calc (Don’t Touch)'!$AA$2:$AX$151,$AI28,COLUMN()-COLUMN($J$16)+1)&gt;0,OR($D28="03. UX Discovery",$D28="04. UX Design")),IF(AND($H28&lt;&gt;"",$H28&lt;=EOMONTH(O$12,0),$I28&gt;=O$12),"UX+DEV","UX"),IF(AND($H28&lt;&gt;"",$H28&lt;=EOMONTH(O$12,0),$I28&gt;=O$12),"DEV",""))))</f>
      </c>
      <c r="P28" s="158" t="str">
        <f>IF($AI28="","",IF(AND($AN28&lt;&gt;"",$AN28&lt;=EOMONTH(P$12,0),$AO28&gt;=P$12),IF(AND(INDEX('Roadmap Calc (Don’t Touch)'!$AA$2:$AX$151,$AI28,COLUMN()-COLUMN($J$16)+1)&gt;0,OR($D28="03. UX Discovery",$D28="04. UX Design")),IF(AND($H28&lt;&gt;"",$H28&lt;=EOMONTH(P$12,0),$I28&gt;=P$12),"ALL","PD+UX"),IF(AND($H28&lt;&gt;"",$H28&lt;=EOMONTH(P$12,0),$I28&gt;=P$12),"PD+DEV","PD")),IF(AND(INDEX('Roadmap Calc (Don’t Touch)'!$AA$2:$AX$151,$AI28,COLUMN()-COLUMN($J$16)+1)&gt;0,OR($D28="03. UX Discovery",$D28="04. UX Design")),IF(AND($H28&lt;&gt;"",$H28&lt;=EOMONTH(P$12,0),$I28&gt;=P$12),"UX+DEV","UX"),IF(AND($H28&lt;&gt;"",$H28&lt;=EOMONTH(P$12,0),$I28&gt;=P$12),"DEV",""))))</f>
      </c>
      <c r="Q28" s="158" t="str">
        <f>IF($AI28="","",IF(AND($AN28&lt;&gt;"",$AN28&lt;=EOMONTH(Q$12,0),$AO28&gt;=Q$12),IF(AND(INDEX('Roadmap Calc (Don’t Touch)'!$AA$2:$AX$151,$AI28,COLUMN()-COLUMN($J$16)+1)&gt;0,OR($D28="03. UX Discovery",$D28="04. UX Design")),IF(AND($H28&lt;&gt;"",$H28&lt;=EOMONTH(Q$12,0),$I28&gt;=Q$12),"ALL","PD+UX"),IF(AND($H28&lt;&gt;"",$H28&lt;=EOMONTH(Q$12,0),$I28&gt;=Q$12),"PD+DEV","PD")),IF(AND(INDEX('Roadmap Calc (Don’t Touch)'!$AA$2:$AX$151,$AI28,COLUMN()-COLUMN($J$16)+1)&gt;0,OR($D28="03. UX Discovery",$D28="04. UX Design")),IF(AND($H28&lt;&gt;"",$H28&lt;=EOMONTH(Q$12,0),$I28&gt;=Q$12),"UX+DEV","UX"),IF(AND($H28&lt;&gt;"",$H28&lt;=EOMONTH(Q$12,0),$I28&gt;=Q$12),"DEV",""))))</f>
      </c>
      <c r="R28" s="158" t="str">
        <f>IF($AI28="","",IF(AND($AN28&lt;&gt;"",$AN28&lt;=EOMONTH(R$12,0),$AO28&gt;=R$12),IF(AND(INDEX('Roadmap Calc (Don’t Touch)'!$AA$2:$AX$151,$AI28,COLUMN()-COLUMN($J$16)+1)&gt;0,OR($D28="03. UX Discovery",$D28="04. UX Design")),IF(AND($H28&lt;&gt;"",$H28&lt;=EOMONTH(R$12,0),$I28&gt;=R$12),"ALL","PD+UX"),IF(AND($H28&lt;&gt;"",$H28&lt;=EOMONTH(R$12,0),$I28&gt;=R$12),"PD+DEV","PD")),IF(AND(INDEX('Roadmap Calc (Don’t Touch)'!$AA$2:$AX$151,$AI28,COLUMN()-COLUMN($J$16)+1)&gt;0,OR($D28="03. UX Discovery",$D28="04. UX Design")),IF(AND($H28&lt;&gt;"",$H28&lt;=EOMONTH(R$12,0),$I28&gt;=R$12),"UX+DEV","UX"),IF(AND($H28&lt;&gt;"",$H28&lt;=EOMONTH(R$12,0),$I28&gt;=R$12),"DEV",""))))</f>
      </c>
      <c r="S28" s="158" t="str">
        <f>IF($AI28="","",IF(AND($AN28&lt;&gt;"",$AN28&lt;=EOMONTH(S$12,0),$AO28&gt;=S$12),IF(AND(INDEX('Roadmap Calc (Don’t Touch)'!$AA$2:$AX$151,$AI28,COLUMN()-COLUMN($J$16)+1)&gt;0,OR($D28="03. UX Discovery",$D28="04. UX Design")),IF(AND($H28&lt;&gt;"",$H28&lt;=EOMONTH(S$12,0),$I28&gt;=S$12),"ALL","PD+UX"),IF(AND($H28&lt;&gt;"",$H28&lt;=EOMONTH(S$12,0),$I28&gt;=S$12),"PD+DEV","PD")),IF(AND(INDEX('Roadmap Calc (Don’t Touch)'!$AA$2:$AX$151,$AI28,COLUMN()-COLUMN($J$16)+1)&gt;0,OR($D28="03. UX Discovery",$D28="04. UX Design")),IF(AND($H28&lt;&gt;"",$H28&lt;=EOMONTH(S$12,0),$I28&gt;=S$12),"UX+DEV","UX"),IF(AND($H28&lt;&gt;"",$H28&lt;=EOMONTH(S$12,0),$I28&gt;=S$12),"DEV",""))))</f>
      </c>
      <c r="T28" s="158" t="str">
        <f>IF($AI28="","",IF(AND($AN28&lt;&gt;"",$AN28&lt;=EOMONTH(T$12,0),$AO28&gt;=T$12),IF(AND(INDEX('Roadmap Calc (Don’t Touch)'!$AA$2:$AX$151,$AI28,COLUMN()-COLUMN($J$16)+1)&gt;0,OR($D28="03. UX Discovery",$D28="04. UX Design")),IF(AND($H28&lt;&gt;"",$H28&lt;=EOMONTH(T$12,0),$I28&gt;=T$12),"ALL","PD+UX"),IF(AND($H28&lt;&gt;"",$H28&lt;=EOMONTH(T$12,0),$I28&gt;=T$12),"PD+DEV","PD")),IF(AND(INDEX('Roadmap Calc (Don’t Touch)'!$AA$2:$AX$151,$AI28,COLUMN()-COLUMN($J$16)+1)&gt;0,OR($D28="03. UX Discovery",$D28="04. UX Design")),IF(AND($H28&lt;&gt;"",$H28&lt;=EOMONTH(T$12,0),$I28&gt;=T$12),"UX+DEV","UX"),IF(AND($H28&lt;&gt;"",$H28&lt;=EOMONTH(T$12,0),$I28&gt;=T$12),"DEV",""))))</f>
      </c>
      <c r="U28" s="158" t="str">
        <f>IF($AI28="","",IF(AND($AN28&lt;&gt;"",$AN28&lt;=EOMONTH(U$12,0),$AO28&gt;=U$12),IF(AND(INDEX('Roadmap Calc (Don’t Touch)'!$AA$2:$AX$151,$AI28,COLUMN()-COLUMN($J$16)+1)&gt;0,OR($D28="03. UX Discovery",$D28="04. UX Design")),IF(AND($H28&lt;&gt;"",$H28&lt;=EOMONTH(U$12,0),$I28&gt;=U$12),"ALL","PD+UX"),IF(AND($H28&lt;&gt;"",$H28&lt;=EOMONTH(U$12,0),$I28&gt;=U$12),"PD+DEV","PD")),IF(AND(INDEX('Roadmap Calc (Don’t Touch)'!$AA$2:$AX$151,$AI28,COLUMN()-COLUMN($J$16)+1)&gt;0,OR($D28="03. UX Discovery",$D28="04. UX Design")),IF(AND($H28&lt;&gt;"",$H28&lt;=EOMONTH(U$12,0),$I28&gt;=U$12),"UX+DEV","UX"),IF(AND($H28&lt;&gt;"",$H28&lt;=EOMONTH(U$12,0),$I28&gt;=U$12),"DEV",""))))</f>
      </c>
      <c r="V28" s="158" t="str">
        <f>IF($AI28="","",IF(AND($AN28&lt;&gt;"",$AN28&lt;=EOMONTH(V$12,0),$AO28&gt;=V$12),IF(AND(INDEX('Roadmap Calc (Don’t Touch)'!$AA$2:$AX$151,$AI28,COLUMN()-COLUMN($J$16)+1)&gt;0,OR($D28="03. UX Discovery",$D28="04. UX Design")),IF(AND($H28&lt;&gt;"",$H28&lt;=EOMONTH(V$12,0),$I28&gt;=V$12),"ALL","PD+UX"),IF(AND($H28&lt;&gt;"",$H28&lt;=EOMONTH(V$12,0),$I28&gt;=V$12),"PD+DEV","PD")),IF(AND(INDEX('Roadmap Calc (Don’t Touch)'!$AA$2:$AX$151,$AI28,COLUMN()-COLUMN($J$16)+1)&gt;0,OR($D28="03. UX Discovery",$D28="04. UX Design")),IF(AND($H28&lt;&gt;"",$H28&lt;=EOMONTH(V$12,0),$I28&gt;=V$12),"UX+DEV","UX"),IF(AND($H28&lt;&gt;"",$H28&lt;=EOMONTH(V$12,0),$I28&gt;=V$12),"DEV",""))))</f>
      </c>
      <c r="W28" s="158" t="str">
        <f>IF($AI28="","",IF(AND($AN28&lt;&gt;"",$AN28&lt;=EOMONTH(W$12,0),$AO28&gt;=W$12),IF(AND(INDEX('Roadmap Calc (Don’t Touch)'!$AA$2:$AX$151,$AI28,COLUMN()-COLUMN($J$16)+1)&gt;0,OR($D28="03. UX Discovery",$D28="04. UX Design")),IF(AND($H28&lt;&gt;"",$H28&lt;=EOMONTH(W$12,0),$I28&gt;=W$12),"ALL","PD+UX"),IF(AND($H28&lt;&gt;"",$H28&lt;=EOMONTH(W$12,0),$I28&gt;=W$12),"PD+DEV","PD")),IF(AND(INDEX('Roadmap Calc (Don’t Touch)'!$AA$2:$AX$151,$AI28,COLUMN()-COLUMN($J$16)+1)&gt;0,OR($D28="03. UX Discovery",$D28="04. UX Design")),IF(AND($H28&lt;&gt;"",$H28&lt;=EOMONTH(W$12,0),$I28&gt;=W$12),"UX+DEV","UX"),IF(AND($H28&lt;&gt;"",$H28&lt;=EOMONTH(W$12,0),$I28&gt;=W$12),"DEV",""))))</f>
      </c>
      <c r="X28" s="158" t="str">
        <f>IF($AI28="","",IF(AND($AN28&lt;&gt;"",$AN28&lt;=EOMONTH(X$12,0),$AO28&gt;=X$12),IF(AND(INDEX('Roadmap Calc (Don’t Touch)'!$AA$2:$AX$151,$AI28,COLUMN()-COLUMN($J$16)+1)&gt;0,OR($D28="03. UX Discovery",$D28="04. UX Design")),IF(AND($H28&lt;&gt;"",$H28&lt;=EOMONTH(X$12,0),$I28&gt;=X$12),"ALL","PD+UX"),IF(AND($H28&lt;&gt;"",$H28&lt;=EOMONTH(X$12,0),$I28&gt;=X$12),"PD+DEV","PD")),IF(AND(INDEX('Roadmap Calc (Don’t Touch)'!$AA$2:$AX$151,$AI28,COLUMN()-COLUMN($J$16)+1)&gt;0,OR($D28="03. UX Discovery",$D28="04. UX Design")),IF(AND($H28&lt;&gt;"",$H28&lt;=EOMONTH(X$12,0),$I28&gt;=X$12),"UX+DEV","UX"),IF(AND($H28&lt;&gt;"",$H28&lt;=EOMONTH(X$12,0),$I28&gt;=X$12),"DEV",""))))</f>
      </c>
      <c r="Y28" s="158" t="str">
        <f>IF($AI28="","",IF(AND($AN28&lt;&gt;"",$AN28&lt;=EOMONTH(Y$12,0),$AO28&gt;=Y$12),IF(AND(INDEX('Roadmap Calc (Don’t Touch)'!$AA$2:$AX$151,$AI28,COLUMN()-COLUMN($J$16)+1)&gt;0,OR($D28="03. UX Discovery",$D28="04. UX Design")),IF(AND($H28&lt;&gt;"",$H28&lt;=EOMONTH(Y$12,0),$I28&gt;=Y$12),"ALL","PD+UX"),IF(AND($H28&lt;&gt;"",$H28&lt;=EOMONTH(Y$12,0),$I28&gt;=Y$12),"PD+DEV","PD")),IF(AND(INDEX('Roadmap Calc (Don’t Touch)'!$AA$2:$AX$151,$AI28,COLUMN()-COLUMN($J$16)+1)&gt;0,OR($D28="03. UX Discovery",$D28="04. UX Design")),IF(AND($H28&lt;&gt;"",$H28&lt;=EOMONTH(Y$12,0),$I28&gt;=Y$12),"UX+DEV","UX"),IF(AND($H28&lt;&gt;"",$H28&lt;=EOMONTH(Y$12,0),$I28&gt;=Y$12),"DEV",""))))</f>
      </c>
      <c r="Z28" s="158" t="str">
        <f>IF($AI28="","",IF(AND($AN28&lt;&gt;"",$AN28&lt;=EOMONTH(Z$12,0),$AO28&gt;=Z$12),IF(AND(INDEX('Roadmap Calc (Don’t Touch)'!$AA$2:$AX$151,$AI28,COLUMN()-COLUMN($J$16)+1)&gt;0,OR($D28="03. UX Discovery",$D28="04. UX Design")),IF(AND($H28&lt;&gt;"",$H28&lt;=EOMONTH(Z$12,0),$I28&gt;=Z$12),"ALL","PD+UX"),IF(AND($H28&lt;&gt;"",$H28&lt;=EOMONTH(Z$12,0),$I28&gt;=Z$12),"PD+DEV","PD")),IF(AND(INDEX('Roadmap Calc (Don’t Touch)'!$AA$2:$AX$151,$AI28,COLUMN()-COLUMN($J$16)+1)&gt;0,OR($D28="03. UX Discovery",$D28="04. UX Design")),IF(AND($H28&lt;&gt;"",$H28&lt;=EOMONTH(Z$12,0),$I28&gt;=Z$12),"UX+DEV","UX"),IF(AND($H28&lt;&gt;"",$H28&lt;=EOMONTH(Z$12,0),$I28&gt;=Z$12),"DEV",""))))</f>
      </c>
      <c r="AA28" s="158" t="str">
        <f>IF($AI28="","",IF(AND($AN28&lt;&gt;"",$AN28&lt;=EOMONTH(AA$12,0),$AO28&gt;=AA$12),IF(AND(INDEX('Roadmap Calc (Don’t Touch)'!$AA$2:$AX$151,$AI28,COLUMN()-COLUMN($J$16)+1)&gt;0,OR($D28="03. UX Discovery",$D28="04. UX Design")),IF(AND($H28&lt;&gt;"",$H28&lt;=EOMONTH(AA$12,0),$I28&gt;=AA$12),"ALL","PD+UX"),IF(AND($H28&lt;&gt;"",$H28&lt;=EOMONTH(AA$12,0),$I28&gt;=AA$12),"PD+DEV","PD")),IF(AND(INDEX('Roadmap Calc (Don’t Touch)'!$AA$2:$AX$151,$AI28,COLUMN()-COLUMN($J$16)+1)&gt;0,OR($D28="03. UX Discovery",$D28="04. UX Design")),IF(AND($H28&lt;&gt;"",$H28&lt;=EOMONTH(AA$12,0),$I28&gt;=AA$12),"UX+DEV","UX"),IF(AND($H28&lt;&gt;"",$H28&lt;=EOMONTH(AA$12,0),$I28&gt;=AA$12),"DEV",""))))</f>
      </c>
      <c r="AB28" s="158" t="str">
        <f>IF($AI28="","",IF(AND($AN28&lt;&gt;"",$AN28&lt;=EOMONTH(AB$12,0),$AO28&gt;=AB$12),IF(AND(INDEX('Roadmap Calc (Don’t Touch)'!$AA$2:$AX$151,$AI28,COLUMN()-COLUMN($J$16)+1)&gt;0,OR($D28="03. UX Discovery",$D28="04. UX Design")),IF(AND($H28&lt;&gt;"",$H28&lt;=EOMONTH(AB$12,0),$I28&gt;=AB$12),"ALL","PD+UX"),IF(AND($H28&lt;&gt;"",$H28&lt;=EOMONTH(AB$12,0),$I28&gt;=AB$12),"PD+DEV","PD")),IF(AND(INDEX('Roadmap Calc (Don’t Touch)'!$AA$2:$AX$151,$AI28,COLUMN()-COLUMN($J$16)+1)&gt;0,OR($D28="03. UX Discovery",$D28="04. UX Design")),IF(AND($H28&lt;&gt;"",$H28&lt;=EOMONTH(AB$12,0),$I28&gt;=AB$12),"UX+DEV","UX"),IF(AND($H28&lt;&gt;"",$H28&lt;=EOMONTH(AB$12,0),$I28&gt;=AB$12),"DEV",""))))</f>
      </c>
      <c r="AC28" s="158" t="str">
        <f>IF($AI28="","",IF(AND($AN28&lt;&gt;"",$AN28&lt;=EOMONTH(AC$12,0),$AO28&gt;=AC$12),IF(AND(INDEX('Roadmap Calc (Don’t Touch)'!$AA$2:$AX$151,$AI28,COLUMN()-COLUMN($J$16)+1)&gt;0,OR($D28="03. UX Discovery",$D28="04. UX Design")),IF(AND($H28&lt;&gt;"",$H28&lt;=EOMONTH(AC$12,0),$I28&gt;=AC$12),"ALL","PD+UX"),IF(AND($H28&lt;&gt;"",$H28&lt;=EOMONTH(AC$12,0),$I28&gt;=AC$12),"PD+DEV","PD")),IF(AND(INDEX('Roadmap Calc (Don’t Touch)'!$AA$2:$AX$151,$AI28,COLUMN()-COLUMN($J$16)+1)&gt;0,OR($D28="03. UX Discovery",$D28="04. UX Design")),IF(AND($H28&lt;&gt;"",$H28&lt;=EOMONTH(AC$12,0),$I28&gt;=AC$12),"UX+DEV","UX"),IF(AND($H28&lt;&gt;"",$H28&lt;=EOMONTH(AC$12,0),$I28&gt;=AC$12),"DEV",""))))</f>
      </c>
      <c r="AD28" s="158" t="str">
        <f>IF($AI28="","",IF(AND($AN28&lt;&gt;"",$AN28&lt;=EOMONTH(AD$12,0),$AO28&gt;=AD$12),IF(AND(INDEX('Roadmap Calc (Don’t Touch)'!$AA$2:$AX$151,$AI28,COLUMN()-COLUMN($J$16)+1)&gt;0,OR($D28="03. UX Discovery",$D28="04. UX Design")),IF(AND($H28&lt;&gt;"",$H28&lt;=EOMONTH(AD$12,0),$I28&gt;=AD$12),"ALL","PD+UX"),IF(AND($H28&lt;&gt;"",$H28&lt;=EOMONTH(AD$12,0),$I28&gt;=AD$12),"PD+DEV","PD")),IF(AND(INDEX('Roadmap Calc (Don’t Touch)'!$AA$2:$AX$151,$AI28,COLUMN()-COLUMN($J$16)+1)&gt;0,OR($D28="03. UX Discovery",$D28="04. UX Design")),IF(AND($H28&lt;&gt;"",$H28&lt;=EOMONTH(AD$12,0),$I28&gt;=AD$12),"UX+DEV","UX"),IF(AND($H28&lt;&gt;"",$H28&lt;=EOMONTH(AD$12,0),$I28&gt;=AD$12),"DEV",""))))</f>
      </c>
      <c r="AE28" s="158" t="str">
        <f>IF($AI28="","",IF(AND($AN28&lt;&gt;"",$AN28&lt;=EOMONTH(AE$12,0),$AO28&gt;=AE$12),IF(AND(INDEX('Roadmap Calc (Don’t Touch)'!$AA$2:$AX$151,$AI28,COLUMN()-COLUMN($J$16)+1)&gt;0,OR($D28="03. UX Discovery",$D28="04. UX Design")),IF(AND($H28&lt;&gt;"",$H28&lt;=EOMONTH(AE$12,0),$I28&gt;=AE$12),"ALL","PD+UX"),IF(AND($H28&lt;&gt;"",$H28&lt;=EOMONTH(AE$12,0),$I28&gt;=AE$12),"PD+DEV","PD")),IF(AND(INDEX('Roadmap Calc (Don’t Touch)'!$AA$2:$AX$151,$AI28,COLUMN()-COLUMN($J$16)+1)&gt;0,OR($D28="03. UX Discovery",$D28="04. UX Design")),IF(AND($H28&lt;&gt;"",$H28&lt;=EOMONTH(AE$12,0),$I28&gt;=AE$12),"UX+DEV","UX"),IF(AND($H28&lt;&gt;"",$H28&lt;=EOMONTH(AE$12,0),$I28&gt;=AE$12),"DEV",""))))</f>
      </c>
      <c r="AF28" s="158" t="str">
        <f>IF($AI28="","",IF(AND($AN28&lt;&gt;"",$AN28&lt;=EOMONTH(AF$12,0),$AO28&gt;=AF$12),IF(AND(INDEX('Roadmap Calc (Don’t Touch)'!$AA$2:$AX$151,$AI28,COLUMN()-COLUMN($J$16)+1)&gt;0,OR($D28="03. UX Discovery",$D28="04. UX Design")),IF(AND($H28&lt;&gt;"",$H28&lt;=EOMONTH(AF$12,0),$I28&gt;=AF$12),"ALL","PD+UX"),IF(AND($H28&lt;&gt;"",$H28&lt;=EOMONTH(AF$12,0),$I28&gt;=AF$12),"PD+DEV","PD")),IF(AND(INDEX('Roadmap Calc (Don’t Touch)'!$AA$2:$AX$151,$AI28,COLUMN()-COLUMN($J$16)+1)&gt;0,OR($D28="03. UX Discovery",$D28="04. UX Design")),IF(AND($H28&lt;&gt;"",$H28&lt;=EOMONTH(AF$12,0),$I28&gt;=AF$12),"UX+DEV","UX"),IF(AND($H28&lt;&gt;"",$H28&lt;=EOMONTH(AF$12,0),$I28&gt;=AF$12),"DEV",""))))</f>
      </c>
      <c r="AG28" s="158" t="str">
        <f>IF($AI28="","",IF(AND($AN28&lt;&gt;"",$AN28&lt;=EOMONTH(AG$12,0),$AO28&gt;=AG$12),IF(AND(INDEX('Roadmap Calc (Don’t Touch)'!$AA$2:$AX$151,$AI28,COLUMN()-COLUMN($J$16)+1)&gt;0,OR($D28="03. UX Discovery",$D28="04. UX Design")),IF(AND($H28&lt;&gt;"",$H28&lt;=EOMONTH(AG$12,0),$I28&gt;=AG$12),"ALL","PD+UX"),IF(AND($H28&lt;&gt;"",$H28&lt;=EOMONTH(AG$12,0),$I28&gt;=AG$12),"PD+DEV","PD")),IF(AND(INDEX('Roadmap Calc (Don’t Touch)'!$AA$2:$AX$151,$AI28,COLUMN()-COLUMN($J$16)+1)&gt;0,OR($D28="03. UX Discovery",$D28="04. UX Design")),IF(AND($H28&lt;&gt;"",$H28&lt;=EOMONTH(AG$12,0),$I28&gt;=AG$12),"UX+DEV","UX"),IF(AND($H28&lt;&gt;"",$H28&lt;=EOMONTH(AG$12,0),$I28&gt;=AG$12),"DEV",""))))</f>
      </c>
      <c r="AH28" s="145" t="str">
        <f>IF($AI28="","",INDEX('Roadmap Calc (Don’t Touch)'!$D$2:$D$151,$AI28))</f>
        <v>Increase Buy Used Awareness</v>
      </c>
      <c r="AI28" s="145">
        <f>IFERROR(MATCH(13,'Roadmap Calc (Don’t Touch)'!$O$2:$O$151,0),"")</f>
        <v>13</v>
      </c>
      <c r="AJ28" s="145"/>
      <c r="AK28" s="145"/>
      <c r="AL28" s="145"/>
      <c r="AM28" s="145"/>
      <c r="AN28">
        <f>IF($AI28="","",IF(ISNUMBER(INDEX('Roadmap Calc (Don’t Touch)'!$BB$2:$BB$151,$AI28)),INDEX('Roadmap Calc (Don’t Touch)'!$BB$2:$BB$151,$AI28),""))</f>
      </c>
      <c r="AO28">
        <f>IF($AI28="","",IF(ISNUMBER(INDEX('Roadmap Calc (Don’t Touch)'!$BC$2:$BC$151,$AI28)),INDEX('Roadmap Calc (Don’t Touch)'!$BC$2:$BC$151,$AI28),""))</f>
      </c>
    </row>
    <row r="29" spans="1:41" ht="20" customHeight="1" x14ac:dyDescent="0.25">
      <c r="A29" s="198" t="str">
        <f>IF($AI29="","",IF($AH29=$AH28,"",IF(INDEX('Roadmap Calc (Don’t Touch)'!$U$2:$U$151,$AI29)=0,$AH29,HYPERLINK("#'Control (Don’t Touch)'!E"&amp;INDEX('Roadmap Calc (Don’t Touch)'!$U$2:$U$151,$AI29),$AH29))))</f>
        <v/>
      </c>
      <c r="B29" s="159" t="str">
        <f>IF($AI29="","",IF(INDEX('Roadmap Calc (Don’t Touch)'!$K$2:$K$151,$AI29)="",INDEX('Roadmap Calc (Don’t Touch)'!$B$2:$B$151,$AI29),HYPERLINK("https://jira.bnh.com/browse/"&amp;INDEX('Roadmap Calc (Don’t Touch)'!$K$2:$K$151,$AI29),INDEX('Roadmap Calc (Don’t Touch)'!$B$2:$B$151,$AI29))))</f>
        <v>Used Just Added Page</v>
      </c>
      <c r="C29" s="159" t="str">
        <f>IF($AI29="","",IF(INDEX('Roadmap Calc (Don’t Touch)'!$E$2:$E$151,$AI29)="","",HYPERLINK("https://jira.bnh.com/browse/"&amp;INDEX('Roadmap Calc (Don’t Touch)'!$E$2:$E$151,$AI29),INDEX('Roadmap Calc (Don’t Touch)'!$E$2:$E$151,$AI29))))</f>
        <v>BHP-7230</v>
      </c>
      <c r="D29" s="161" t="str">
        <f>IF($AI29="","",INDEX('Roadmap Calc (Don’t Touch)'!$F$2:$F$151,$AI29))</f>
        <v>02. UX Req</v>
      </c>
      <c r="E29" s="155">
        <f>IF($AI29="","",IF(ISNUMBER(INDEX('Roadmap Calc (Don’t Touch)'!$G$2:$G$151,$AI29)),INDEX('Roadmap Calc (Don’t Touch)'!$G$2:$G$151,$AI29),""))</f>
        <v>46160</v>
      </c>
      <c r="F29" s="155">
        <f>IF($AI29="","",IF(ISNUMBER(INDEX('Roadmap Calc (Don’t Touch)'!$H$2:$H$151,$AI29)),INDEX('Roadmap Calc (Don’t Touch)'!$H$2:$H$151,$AI29),""))</f>
        <v>46307</v>
      </c>
      <c r="G29" s="156">
        <f>IF($AI29="","",INDEX('Roadmap Calc (Don’t Touch)'!$T$2:$T$151,$AI29))</f>
        <v>4</v>
      </c>
      <c r="H29" s="157">
        <f ca="1">IF($AI29="","",IF(ISNUMBER(INDEX('Roadmap Calc (Don’t Touch)'!$I$2:$I$151,$AI29)),INDEX('Roadmap Calc (Don’t Touch)'!$I$2:$I$151,$AI29),""))</f>
        <v>46419</v>
      </c>
      <c r="I29" s="157">
        <f ca="1">IF($AI29="","",IF(ISNUMBER(INDEX('Roadmap Calc (Don’t Touch)'!$J$2:$J$151,$AI29)),INDEX('Roadmap Calc (Don’t Touch)'!$J$2:$J$151,$AI29),""))</f>
        <v>46446</v>
      </c>
      <c r="J29" s="158" t="str">
        <f>IF($AI29="","",IF(AND($AN29&lt;&gt;"",$AN29&lt;=EOMONTH(J$12,0),$AO29&gt;=J$12),IF(AND(INDEX('Roadmap Calc (Don’t Touch)'!$AA$2:$AX$151,$AI29,COLUMN()-COLUMN($J$16)+1)&gt;0,OR($D29="03. UX Discovery",$D29="04. UX Design")),IF(AND($H29&lt;&gt;"",$H29&lt;=EOMONTH(J$12,0),$I29&gt;=J$12),"ALL","PD+UX"),IF(AND($H29&lt;&gt;"",$H29&lt;=EOMONTH(J$12,0),$I29&gt;=J$12),"PD+DEV","PD")),IF(AND(INDEX('Roadmap Calc (Don’t Touch)'!$AA$2:$AX$151,$AI29,COLUMN()-COLUMN($J$16)+1)&gt;0,OR($D29="03. UX Discovery",$D29="04. UX Design")),IF(AND($H29&lt;&gt;"",$H29&lt;=EOMONTH(J$12,0),$I29&gt;=J$12),"UX+DEV","UX"),IF(AND($H29&lt;&gt;"",$H29&lt;=EOMONTH(J$12,0),$I29&gt;=J$12),"DEV",""))))</f>
      </c>
      <c r="K29" s="158" t="str">
        <f>IF($AI29="","",IF(AND($AN29&lt;&gt;"",$AN29&lt;=EOMONTH(K$12,0),$AO29&gt;=K$12),IF(AND(INDEX('Roadmap Calc (Don’t Touch)'!$AA$2:$AX$151,$AI29,COLUMN()-COLUMN($J$16)+1)&gt;0,OR($D29="03. UX Discovery",$D29="04. UX Design")),IF(AND($H29&lt;&gt;"",$H29&lt;=EOMONTH(K$12,0),$I29&gt;=K$12),"ALL","PD+UX"),IF(AND($H29&lt;&gt;"",$H29&lt;=EOMONTH(K$12,0),$I29&gt;=K$12),"PD+DEV","PD")),IF(AND(INDEX('Roadmap Calc (Don’t Touch)'!$AA$2:$AX$151,$AI29,COLUMN()-COLUMN($J$16)+1)&gt;0,OR($D29="03. UX Discovery",$D29="04. UX Design")),IF(AND($H29&lt;&gt;"",$H29&lt;=EOMONTH(K$12,0),$I29&gt;=K$12),"UX+DEV","UX"),IF(AND($H29&lt;&gt;"",$H29&lt;=EOMONTH(K$12,0),$I29&gt;=K$12),"DEV",""))))</f>
      </c>
      <c r="L29" s="158" t="str">
        <f>IF($AI29="","",IF(AND($AN29&lt;&gt;"",$AN29&lt;=EOMONTH(L$12,0),$AO29&gt;=L$12),IF(AND(INDEX('Roadmap Calc (Don’t Touch)'!$AA$2:$AX$151,$AI29,COLUMN()-COLUMN($J$16)+1)&gt;0,OR($D29="03. UX Discovery",$D29="04. UX Design")),IF(AND($H29&lt;&gt;"",$H29&lt;=EOMONTH(L$12,0),$I29&gt;=L$12),"ALL","PD+UX"),IF(AND($H29&lt;&gt;"",$H29&lt;=EOMONTH(L$12,0),$I29&gt;=L$12),"PD+DEV","PD")),IF(AND(INDEX('Roadmap Calc (Don’t Touch)'!$AA$2:$AX$151,$AI29,COLUMN()-COLUMN($J$16)+1)&gt;0,OR($D29="03. UX Discovery",$D29="04. UX Design")),IF(AND($H29&lt;&gt;"",$H29&lt;=EOMONTH(L$12,0),$I29&gt;=L$12),"UX+DEV","UX"),IF(AND($H29&lt;&gt;"",$H29&lt;=EOMONTH(L$12,0),$I29&gt;=L$12),"DEV",""))))</f>
      </c>
      <c r="M29" s="158" t="str">
        <f>IF($AI29="","",IF(AND($AN29&lt;&gt;"",$AN29&lt;=EOMONTH(M$12,0),$AO29&gt;=M$12),IF(AND(INDEX('Roadmap Calc (Don’t Touch)'!$AA$2:$AX$151,$AI29,COLUMN()-COLUMN($J$16)+1)&gt;0,OR($D29="03. UX Discovery",$D29="04. UX Design")),IF(AND($H29&lt;&gt;"",$H29&lt;=EOMONTH(M$12,0),$I29&gt;=M$12),"ALL","PD+UX"),IF(AND($H29&lt;&gt;"",$H29&lt;=EOMONTH(M$12,0),$I29&gt;=M$12),"PD+DEV","PD")),IF(AND(INDEX('Roadmap Calc (Don’t Touch)'!$AA$2:$AX$151,$AI29,COLUMN()-COLUMN($J$16)+1)&gt;0,OR($D29="03. UX Discovery",$D29="04. UX Design")),IF(AND($H29&lt;&gt;"",$H29&lt;=EOMONTH(M$12,0),$I29&gt;=M$12),"UX+DEV","UX"),IF(AND($H29&lt;&gt;"",$H29&lt;=EOMONTH(M$12,0),$I29&gt;=M$12),"DEV",""))))</f>
      </c>
      <c r="N29" s="158" t="str">
        <f>IF($AI29="","",IF(AND($AN29&lt;&gt;"",$AN29&lt;=EOMONTH(N$12,0),$AO29&gt;=N$12),IF(AND(INDEX('Roadmap Calc (Don’t Touch)'!$AA$2:$AX$151,$AI29,COLUMN()-COLUMN($J$16)+1)&gt;0,OR($D29="03. UX Discovery",$D29="04. UX Design")),IF(AND($H29&lt;&gt;"",$H29&lt;=EOMONTH(N$12,0),$I29&gt;=N$12),"ALL","PD+UX"),IF(AND($H29&lt;&gt;"",$H29&lt;=EOMONTH(N$12,0),$I29&gt;=N$12),"PD+DEV","PD")),IF(AND(INDEX('Roadmap Calc (Don’t Touch)'!$AA$2:$AX$151,$AI29,COLUMN()-COLUMN($J$16)+1)&gt;0,OR($D29="03. UX Discovery",$D29="04. UX Design")),IF(AND($H29&lt;&gt;"",$H29&lt;=EOMONTH(N$12,0),$I29&gt;=N$12),"UX+DEV","UX"),IF(AND($H29&lt;&gt;"",$H29&lt;=EOMONTH(N$12,0),$I29&gt;=N$12),"DEV",""))))</f>
      </c>
      <c r="O29" s="158" t="str">
        <f>IF($AI29="","",IF(AND($AN29&lt;&gt;"",$AN29&lt;=EOMONTH(O$12,0),$AO29&gt;=O$12),IF(AND(INDEX('Roadmap Calc (Don’t Touch)'!$AA$2:$AX$151,$AI29,COLUMN()-COLUMN($J$16)+1)&gt;0,OR($D29="03. UX Discovery",$D29="04. UX Design")),IF(AND($H29&lt;&gt;"",$H29&lt;=EOMONTH(O$12,0),$I29&gt;=O$12),"ALL","PD+UX"),IF(AND($H29&lt;&gt;"",$H29&lt;=EOMONTH(O$12,0),$I29&gt;=O$12),"PD+DEV","PD")),IF(AND(INDEX('Roadmap Calc (Don’t Touch)'!$AA$2:$AX$151,$AI29,COLUMN()-COLUMN($J$16)+1)&gt;0,OR($D29="03. UX Discovery",$D29="04. UX Design")),IF(AND($H29&lt;&gt;"",$H29&lt;=EOMONTH(O$12,0),$I29&gt;=O$12),"UX+DEV","UX"),IF(AND($H29&lt;&gt;"",$H29&lt;=EOMONTH(O$12,0),$I29&gt;=O$12),"DEV",""))))</f>
      </c>
      <c r="P29" s="158" t="str">
        <f>IF($AI29="","",IF(AND($AN29&lt;&gt;"",$AN29&lt;=EOMONTH(P$12,0),$AO29&gt;=P$12),IF(AND(INDEX('Roadmap Calc (Don’t Touch)'!$AA$2:$AX$151,$AI29,COLUMN()-COLUMN($J$16)+1)&gt;0,OR($D29="03. UX Discovery",$D29="04. UX Design")),IF(AND($H29&lt;&gt;"",$H29&lt;=EOMONTH(P$12,0),$I29&gt;=P$12),"ALL","PD+UX"),IF(AND($H29&lt;&gt;"",$H29&lt;=EOMONTH(P$12,0),$I29&gt;=P$12),"PD+DEV","PD")),IF(AND(INDEX('Roadmap Calc (Don’t Touch)'!$AA$2:$AX$151,$AI29,COLUMN()-COLUMN($J$16)+1)&gt;0,OR($D29="03. UX Discovery",$D29="04. UX Design")),IF(AND($H29&lt;&gt;"",$H29&lt;=EOMONTH(P$12,0),$I29&gt;=P$12),"UX+DEV","UX"),IF(AND($H29&lt;&gt;"",$H29&lt;=EOMONTH(P$12,0),$I29&gt;=P$12),"DEV",""))))</f>
      </c>
      <c r="Q29" s="158" t="str">
        <f>IF($AI29="","",IF(AND($AN29&lt;&gt;"",$AN29&lt;=EOMONTH(Q$12,0),$AO29&gt;=Q$12),IF(AND(INDEX('Roadmap Calc (Don’t Touch)'!$AA$2:$AX$151,$AI29,COLUMN()-COLUMN($J$16)+1)&gt;0,OR($D29="03. UX Discovery",$D29="04. UX Design")),IF(AND($H29&lt;&gt;"",$H29&lt;=EOMONTH(Q$12,0),$I29&gt;=Q$12),"ALL","PD+UX"),IF(AND($H29&lt;&gt;"",$H29&lt;=EOMONTH(Q$12,0),$I29&gt;=Q$12),"PD+DEV","PD")),IF(AND(INDEX('Roadmap Calc (Don’t Touch)'!$AA$2:$AX$151,$AI29,COLUMN()-COLUMN($J$16)+1)&gt;0,OR($D29="03. UX Discovery",$D29="04. UX Design")),IF(AND($H29&lt;&gt;"",$H29&lt;=EOMONTH(Q$12,0),$I29&gt;=Q$12),"UX+DEV","UX"),IF(AND($H29&lt;&gt;"",$H29&lt;=EOMONTH(Q$12,0),$I29&gt;=Q$12),"DEV",""))))</f>
      </c>
      <c r="R29" s="158" t="str">
        <f>IF($AI29="","",IF(AND($AN29&lt;&gt;"",$AN29&lt;=EOMONTH(R$12,0),$AO29&gt;=R$12),IF(AND(INDEX('Roadmap Calc (Don’t Touch)'!$AA$2:$AX$151,$AI29,COLUMN()-COLUMN($J$16)+1)&gt;0,OR($D29="03. UX Discovery",$D29="04. UX Design")),IF(AND($H29&lt;&gt;"",$H29&lt;=EOMONTH(R$12,0),$I29&gt;=R$12),"ALL","PD+UX"),IF(AND($H29&lt;&gt;"",$H29&lt;=EOMONTH(R$12,0),$I29&gt;=R$12),"PD+DEV","PD")),IF(AND(INDEX('Roadmap Calc (Don’t Touch)'!$AA$2:$AX$151,$AI29,COLUMN()-COLUMN($J$16)+1)&gt;0,OR($D29="03. UX Discovery",$D29="04. UX Design")),IF(AND($H29&lt;&gt;"",$H29&lt;=EOMONTH(R$12,0),$I29&gt;=R$12),"UX+DEV","UX"),IF(AND($H29&lt;&gt;"",$H29&lt;=EOMONTH(R$12,0),$I29&gt;=R$12),"DEV",""))))</f>
      </c>
      <c r="S29" s="158" t="str">
        <f>IF($AI29="","",IF(AND($AN29&lt;&gt;"",$AN29&lt;=EOMONTH(S$12,0),$AO29&gt;=S$12),IF(AND(INDEX('Roadmap Calc (Don’t Touch)'!$AA$2:$AX$151,$AI29,COLUMN()-COLUMN($J$16)+1)&gt;0,OR($D29="03. UX Discovery",$D29="04. UX Design")),IF(AND($H29&lt;&gt;"",$H29&lt;=EOMONTH(S$12,0),$I29&gt;=S$12),"ALL","PD+UX"),IF(AND($H29&lt;&gt;"",$H29&lt;=EOMONTH(S$12,0),$I29&gt;=S$12),"PD+DEV","PD")),IF(AND(INDEX('Roadmap Calc (Don’t Touch)'!$AA$2:$AX$151,$AI29,COLUMN()-COLUMN($J$16)+1)&gt;0,OR($D29="03. UX Discovery",$D29="04. UX Design")),IF(AND($H29&lt;&gt;"",$H29&lt;=EOMONTH(S$12,0),$I29&gt;=S$12),"UX+DEV","UX"),IF(AND($H29&lt;&gt;"",$H29&lt;=EOMONTH(S$12,0),$I29&gt;=S$12),"DEV",""))))</f>
      </c>
      <c r="T29" s="158" t="str">
        <f>IF($AI29="","",IF(AND($AN29&lt;&gt;"",$AN29&lt;=EOMONTH(T$12,0),$AO29&gt;=T$12),IF(AND(INDEX('Roadmap Calc (Don’t Touch)'!$AA$2:$AX$151,$AI29,COLUMN()-COLUMN($J$16)+1)&gt;0,OR($D29="03. UX Discovery",$D29="04. UX Design")),IF(AND($H29&lt;&gt;"",$H29&lt;=EOMONTH(T$12,0),$I29&gt;=T$12),"ALL","PD+UX"),IF(AND($H29&lt;&gt;"",$H29&lt;=EOMONTH(T$12,0),$I29&gt;=T$12),"PD+DEV","PD")),IF(AND(INDEX('Roadmap Calc (Don’t Touch)'!$AA$2:$AX$151,$AI29,COLUMN()-COLUMN($J$16)+1)&gt;0,OR($D29="03. UX Discovery",$D29="04. UX Design")),IF(AND($H29&lt;&gt;"",$H29&lt;=EOMONTH(T$12,0),$I29&gt;=T$12),"UX+DEV","UX"),IF(AND($H29&lt;&gt;"",$H29&lt;=EOMONTH(T$12,0),$I29&gt;=T$12),"DEV",""))))</f>
      </c>
      <c r="U29" s="158" t="str">
        <f>IF($AI29="","",IF(AND($AN29&lt;&gt;"",$AN29&lt;=EOMONTH(U$12,0),$AO29&gt;=U$12),IF(AND(INDEX('Roadmap Calc (Don’t Touch)'!$AA$2:$AX$151,$AI29,COLUMN()-COLUMN($J$16)+1)&gt;0,OR($D29="03. UX Discovery",$D29="04. UX Design")),IF(AND($H29&lt;&gt;"",$H29&lt;=EOMONTH(U$12,0),$I29&gt;=U$12),"ALL","PD+UX"),IF(AND($H29&lt;&gt;"",$H29&lt;=EOMONTH(U$12,0),$I29&gt;=U$12),"PD+DEV","PD")),IF(AND(INDEX('Roadmap Calc (Don’t Touch)'!$AA$2:$AX$151,$AI29,COLUMN()-COLUMN($J$16)+1)&gt;0,OR($D29="03. UX Discovery",$D29="04. UX Design")),IF(AND($H29&lt;&gt;"",$H29&lt;=EOMONTH(U$12,0),$I29&gt;=U$12),"UX+DEV","UX"),IF(AND($H29&lt;&gt;"",$H29&lt;=EOMONTH(U$12,0),$I29&gt;=U$12),"DEV",""))))</f>
      </c>
      <c r="V29" s="158" t="str">
        <f>IF($AI29="","",IF(AND($AN29&lt;&gt;"",$AN29&lt;=EOMONTH(V$12,0),$AO29&gt;=V$12),IF(AND(INDEX('Roadmap Calc (Don’t Touch)'!$AA$2:$AX$151,$AI29,COLUMN()-COLUMN($J$16)+1)&gt;0,OR($D29="03. UX Discovery",$D29="04. UX Design")),IF(AND($H29&lt;&gt;"",$H29&lt;=EOMONTH(V$12,0),$I29&gt;=V$12),"ALL","PD+UX"),IF(AND($H29&lt;&gt;"",$H29&lt;=EOMONTH(V$12,0),$I29&gt;=V$12),"PD+DEV","PD")),IF(AND(INDEX('Roadmap Calc (Don’t Touch)'!$AA$2:$AX$151,$AI29,COLUMN()-COLUMN($J$16)+1)&gt;0,OR($D29="03. UX Discovery",$D29="04. UX Design")),IF(AND($H29&lt;&gt;"",$H29&lt;=EOMONTH(V$12,0),$I29&gt;=V$12),"UX+DEV","UX"),IF(AND($H29&lt;&gt;"",$H29&lt;=EOMONTH(V$12,0),$I29&gt;=V$12),"DEV",""))))</f>
      </c>
      <c r="W29" s="158" t="str">
        <f>IF($AI29="","",IF(AND($AN29&lt;&gt;"",$AN29&lt;=EOMONTH(W$12,0),$AO29&gt;=W$12),IF(AND(INDEX('Roadmap Calc (Don’t Touch)'!$AA$2:$AX$151,$AI29,COLUMN()-COLUMN($J$16)+1)&gt;0,OR($D29="03. UX Discovery",$D29="04. UX Design")),IF(AND($H29&lt;&gt;"",$H29&lt;=EOMONTH(W$12,0),$I29&gt;=W$12),"ALL","PD+UX"),IF(AND($H29&lt;&gt;"",$H29&lt;=EOMONTH(W$12,0),$I29&gt;=W$12),"PD+DEV","PD")),IF(AND(INDEX('Roadmap Calc (Don’t Touch)'!$AA$2:$AX$151,$AI29,COLUMN()-COLUMN($J$16)+1)&gt;0,OR($D29="03. UX Discovery",$D29="04. UX Design")),IF(AND($H29&lt;&gt;"",$H29&lt;=EOMONTH(W$12,0),$I29&gt;=W$12),"UX+DEV","UX"),IF(AND($H29&lt;&gt;"",$H29&lt;=EOMONTH(W$12,0),$I29&gt;=W$12),"DEV",""))))</f>
      </c>
      <c r="X29" s="158" t="str">
        <f>IF($AI29="","",IF(AND($AN29&lt;&gt;"",$AN29&lt;=EOMONTH(X$12,0),$AO29&gt;=X$12),IF(AND(INDEX('Roadmap Calc (Don’t Touch)'!$AA$2:$AX$151,$AI29,COLUMN()-COLUMN($J$16)+1)&gt;0,OR($D29="03. UX Discovery",$D29="04. UX Design")),IF(AND($H29&lt;&gt;"",$H29&lt;=EOMONTH(X$12,0),$I29&gt;=X$12),"ALL","PD+UX"),IF(AND($H29&lt;&gt;"",$H29&lt;=EOMONTH(X$12,0),$I29&gt;=X$12),"PD+DEV","PD")),IF(AND(INDEX('Roadmap Calc (Don’t Touch)'!$AA$2:$AX$151,$AI29,COLUMN()-COLUMN($J$16)+1)&gt;0,OR($D29="03. UX Discovery",$D29="04. UX Design")),IF(AND($H29&lt;&gt;"",$H29&lt;=EOMONTH(X$12,0),$I29&gt;=X$12),"UX+DEV","UX"),IF(AND($H29&lt;&gt;"",$H29&lt;=EOMONTH(X$12,0),$I29&gt;=X$12),"DEV",""))))</f>
      </c>
      <c r="Y29" s="158" t="str">
        <f>IF($AI29="","",IF(AND($AN29&lt;&gt;"",$AN29&lt;=EOMONTH(Y$12,0),$AO29&gt;=Y$12),IF(AND(INDEX('Roadmap Calc (Don’t Touch)'!$AA$2:$AX$151,$AI29,COLUMN()-COLUMN($J$16)+1)&gt;0,OR($D29="03. UX Discovery",$D29="04. UX Design")),IF(AND($H29&lt;&gt;"",$H29&lt;=EOMONTH(Y$12,0),$I29&gt;=Y$12),"ALL","PD+UX"),IF(AND($H29&lt;&gt;"",$H29&lt;=EOMONTH(Y$12,0),$I29&gt;=Y$12),"PD+DEV","PD")),IF(AND(INDEX('Roadmap Calc (Don’t Touch)'!$AA$2:$AX$151,$AI29,COLUMN()-COLUMN($J$16)+1)&gt;0,OR($D29="03. UX Discovery",$D29="04. UX Design")),IF(AND($H29&lt;&gt;"",$H29&lt;=EOMONTH(Y$12,0),$I29&gt;=Y$12),"UX+DEV","UX"),IF(AND($H29&lt;&gt;"",$H29&lt;=EOMONTH(Y$12,0),$I29&gt;=Y$12),"DEV",""))))</f>
      </c>
      <c r="Z29" s="158" t="str">
        <f>IF($AI29="","",IF(AND($AN29&lt;&gt;"",$AN29&lt;=EOMONTH(Z$12,0),$AO29&gt;=Z$12),IF(AND(INDEX('Roadmap Calc (Don’t Touch)'!$AA$2:$AX$151,$AI29,COLUMN()-COLUMN($J$16)+1)&gt;0,OR($D29="03. UX Discovery",$D29="04. UX Design")),IF(AND($H29&lt;&gt;"",$H29&lt;=EOMONTH(Z$12,0),$I29&gt;=Z$12),"ALL","PD+UX"),IF(AND($H29&lt;&gt;"",$H29&lt;=EOMONTH(Z$12,0),$I29&gt;=Z$12),"PD+DEV","PD")),IF(AND(INDEX('Roadmap Calc (Don’t Touch)'!$AA$2:$AX$151,$AI29,COLUMN()-COLUMN($J$16)+1)&gt;0,OR($D29="03. UX Discovery",$D29="04. UX Design")),IF(AND($H29&lt;&gt;"",$H29&lt;=EOMONTH(Z$12,0),$I29&gt;=Z$12),"UX+DEV","UX"),IF(AND($H29&lt;&gt;"",$H29&lt;=EOMONTH(Z$12,0),$I29&gt;=Z$12),"DEV",""))))</f>
      </c>
      <c r="AA29" s="158" t="str">
        <f>IF($AI29="","",IF(AND($AN29&lt;&gt;"",$AN29&lt;=EOMONTH(AA$12,0),$AO29&gt;=AA$12),IF(AND(INDEX('Roadmap Calc (Don’t Touch)'!$AA$2:$AX$151,$AI29,COLUMN()-COLUMN($J$16)+1)&gt;0,OR($D29="03. UX Discovery",$D29="04. UX Design")),IF(AND($H29&lt;&gt;"",$H29&lt;=EOMONTH(AA$12,0),$I29&gt;=AA$12),"ALL","PD+UX"),IF(AND($H29&lt;&gt;"",$H29&lt;=EOMONTH(AA$12,0),$I29&gt;=AA$12),"PD+DEV","PD")),IF(AND(INDEX('Roadmap Calc (Don’t Touch)'!$AA$2:$AX$151,$AI29,COLUMN()-COLUMN($J$16)+1)&gt;0,OR($D29="03. UX Discovery",$D29="04. UX Design")),IF(AND($H29&lt;&gt;"",$H29&lt;=EOMONTH(AA$12,0),$I29&gt;=AA$12),"UX+DEV","UX"),IF(AND($H29&lt;&gt;"",$H29&lt;=EOMONTH(AA$12,0),$I29&gt;=AA$12),"DEV",""))))</f>
      </c>
      <c r="AB29" s="158" t="str">
        <f>IF($AI29="","",IF(AND($AN29&lt;&gt;"",$AN29&lt;=EOMONTH(AB$12,0),$AO29&gt;=AB$12),IF(AND(INDEX('Roadmap Calc (Don’t Touch)'!$AA$2:$AX$151,$AI29,COLUMN()-COLUMN($J$16)+1)&gt;0,OR($D29="03. UX Discovery",$D29="04. UX Design")),IF(AND($H29&lt;&gt;"",$H29&lt;=EOMONTH(AB$12,0),$I29&gt;=AB$12),"ALL","PD+UX"),IF(AND($H29&lt;&gt;"",$H29&lt;=EOMONTH(AB$12,0),$I29&gt;=AB$12),"PD+DEV","PD")),IF(AND(INDEX('Roadmap Calc (Don’t Touch)'!$AA$2:$AX$151,$AI29,COLUMN()-COLUMN($J$16)+1)&gt;0,OR($D29="03. UX Discovery",$D29="04. UX Design")),IF(AND($H29&lt;&gt;"",$H29&lt;=EOMONTH(AB$12,0),$I29&gt;=AB$12),"UX+DEV","UX"),IF(AND($H29&lt;&gt;"",$H29&lt;=EOMONTH(AB$12,0),$I29&gt;=AB$12),"DEV",""))))</f>
      </c>
      <c r="AC29" s="158" t="str">
        <f>IF($AI29="","",IF(AND($AN29&lt;&gt;"",$AN29&lt;=EOMONTH(AC$12,0),$AO29&gt;=AC$12),IF(AND(INDEX('Roadmap Calc (Don’t Touch)'!$AA$2:$AX$151,$AI29,COLUMN()-COLUMN($J$16)+1)&gt;0,OR($D29="03. UX Discovery",$D29="04. UX Design")),IF(AND($H29&lt;&gt;"",$H29&lt;=EOMONTH(AC$12,0),$I29&gt;=AC$12),"ALL","PD+UX"),IF(AND($H29&lt;&gt;"",$H29&lt;=EOMONTH(AC$12,0),$I29&gt;=AC$12),"PD+DEV","PD")),IF(AND(INDEX('Roadmap Calc (Don’t Touch)'!$AA$2:$AX$151,$AI29,COLUMN()-COLUMN($J$16)+1)&gt;0,OR($D29="03. UX Discovery",$D29="04. UX Design")),IF(AND($H29&lt;&gt;"",$H29&lt;=EOMONTH(AC$12,0),$I29&gt;=AC$12),"UX+DEV","UX"),IF(AND($H29&lt;&gt;"",$H29&lt;=EOMONTH(AC$12,0),$I29&gt;=AC$12),"DEV",""))))</f>
      </c>
      <c r="AD29" s="158" t="str">
        <f>IF($AI29="","",IF(AND($AN29&lt;&gt;"",$AN29&lt;=EOMONTH(AD$12,0),$AO29&gt;=AD$12),IF(AND(INDEX('Roadmap Calc (Don’t Touch)'!$AA$2:$AX$151,$AI29,COLUMN()-COLUMN($J$16)+1)&gt;0,OR($D29="03. UX Discovery",$D29="04. UX Design")),IF(AND($H29&lt;&gt;"",$H29&lt;=EOMONTH(AD$12,0),$I29&gt;=AD$12),"ALL","PD+UX"),IF(AND($H29&lt;&gt;"",$H29&lt;=EOMONTH(AD$12,0),$I29&gt;=AD$12),"PD+DEV","PD")),IF(AND(INDEX('Roadmap Calc (Don’t Touch)'!$AA$2:$AX$151,$AI29,COLUMN()-COLUMN($J$16)+1)&gt;0,OR($D29="03. UX Discovery",$D29="04. UX Design")),IF(AND($H29&lt;&gt;"",$H29&lt;=EOMONTH(AD$12,0),$I29&gt;=AD$12),"UX+DEV","UX"),IF(AND($H29&lt;&gt;"",$H29&lt;=EOMONTH(AD$12,0),$I29&gt;=AD$12),"DEV",""))))</f>
      </c>
      <c r="AE29" s="158" t="str">
        <f>IF($AI29="","",IF(AND($AN29&lt;&gt;"",$AN29&lt;=EOMONTH(AE$12,0),$AO29&gt;=AE$12),IF(AND(INDEX('Roadmap Calc (Don’t Touch)'!$AA$2:$AX$151,$AI29,COLUMN()-COLUMN($J$16)+1)&gt;0,OR($D29="03. UX Discovery",$D29="04. UX Design")),IF(AND($H29&lt;&gt;"",$H29&lt;=EOMONTH(AE$12,0),$I29&gt;=AE$12),"ALL","PD+UX"),IF(AND($H29&lt;&gt;"",$H29&lt;=EOMONTH(AE$12,0),$I29&gt;=AE$12),"PD+DEV","PD")),IF(AND(INDEX('Roadmap Calc (Don’t Touch)'!$AA$2:$AX$151,$AI29,COLUMN()-COLUMN($J$16)+1)&gt;0,OR($D29="03. UX Discovery",$D29="04. UX Design")),IF(AND($H29&lt;&gt;"",$H29&lt;=EOMONTH(AE$12,0),$I29&gt;=AE$12),"UX+DEV","UX"),IF(AND($H29&lt;&gt;"",$H29&lt;=EOMONTH(AE$12,0),$I29&gt;=AE$12),"DEV",""))))</f>
      </c>
      <c r="AF29" s="158" t="str">
        <f>IF($AI29="","",IF(AND($AN29&lt;&gt;"",$AN29&lt;=EOMONTH(AF$12,0),$AO29&gt;=AF$12),IF(AND(INDEX('Roadmap Calc (Don’t Touch)'!$AA$2:$AX$151,$AI29,COLUMN()-COLUMN($J$16)+1)&gt;0,OR($D29="03. UX Discovery",$D29="04. UX Design")),IF(AND($H29&lt;&gt;"",$H29&lt;=EOMONTH(AF$12,0),$I29&gt;=AF$12),"ALL","PD+UX"),IF(AND($H29&lt;&gt;"",$H29&lt;=EOMONTH(AF$12,0),$I29&gt;=AF$12),"PD+DEV","PD")),IF(AND(INDEX('Roadmap Calc (Don’t Touch)'!$AA$2:$AX$151,$AI29,COLUMN()-COLUMN($J$16)+1)&gt;0,OR($D29="03. UX Discovery",$D29="04. UX Design")),IF(AND($H29&lt;&gt;"",$H29&lt;=EOMONTH(AF$12,0),$I29&gt;=AF$12),"UX+DEV","UX"),IF(AND($H29&lt;&gt;"",$H29&lt;=EOMONTH(AF$12,0),$I29&gt;=AF$12),"DEV",""))))</f>
      </c>
      <c r="AG29" s="158" t="str">
        <f>IF($AI29="","",IF(AND($AN29&lt;&gt;"",$AN29&lt;=EOMONTH(AG$12,0),$AO29&gt;=AG$12),IF(AND(INDEX('Roadmap Calc (Don’t Touch)'!$AA$2:$AX$151,$AI29,COLUMN()-COLUMN($J$16)+1)&gt;0,OR($D29="03. UX Discovery",$D29="04. UX Design")),IF(AND($H29&lt;&gt;"",$H29&lt;=EOMONTH(AG$12,0),$I29&gt;=AG$12),"ALL","PD+UX"),IF(AND($H29&lt;&gt;"",$H29&lt;=EOMONTH(AG$12,0),$I29&gt;=AG$12),"PD+DEV","PD")),IF(AND(INDEX('Roadmap Calc (Don’t Touch)'!$AA$2:$AX$151,$AI29,COLUMN()-COLUMN($J$16)+1)&gt;0,OR($D29="03. UX Discovery",$D29="04. UX Design")),IF(AND($H29&lt;&gt;"",$H29&lt;=EOMONTH(AG$12,0),$I29&gt;=AG$12),"UX+DEV","UX"),IF(AND($H29&lt;&gt;"",$H29&lt;=EOMONTH(AG$12,0),$I29&gt;=AG$12),"DEV",""))))</f>
      </c>
      <c r="AH29" s="145" t="str">
        <f>IF($AI29="","",INDEX('Roadmap Calc (Don’t Touch)'!$D$2:$D$151,$AI29))</f>
        <v>Increase Buy Used Awareness</v>
      </c>
      <c r="AI29" s="145">
        <f>IFERROR(MATCH(14,'Roadmap Calc (Don’t Touch)'!$O$2:$O$151,0),"")</f>
        <v>14</v>
      </c>
      <c r="AJ29" s="145"/>
      <c r="AK29" s="145"/>
      <c r="AL29" s="145"/>
      <c r="AM29" s="145"/>
      <c r="AN29">
        <f>IF($AI29="","",IF(ISNUMBER(INDEX('Roadmap Calc (Don’t Touch)'!$BB$2:$BB$151,$AI29)),INDEX('Roadmap Calc (Don’t Touch)'!$BB$2:$BB$151,$AI29),""))</f>
      </c>
      <c r="AO29">
        <f>IF($AI29="","",IF(ISNUMBER(INDEX('Roadmap Calc (Don’t Touch)'!$BC$2:$BC$151,$AI29)),INDEX('Roadmap Calc (Don’t Touch)'!$BC$2:$BC$151,$AI29),""))</f>
      </c>
    </row>
    <row r="30" spans="1:41" ht="20" customHeight="1" x14ac:dyDescent="0.25">
      <c r="A30" s="198" t="str">
        <f>IF($AI30="","",IF($AH30=$AH29,"",IF(INDEX('Roadmap Calc (Don’t Touch)'!$U$2:$U$151,$AI30)=0,$AH30,HYPERLINK("#'Control (Don’t Touch)'!E"&amp;INDEX('Roadmap Calc (Don’t Touch)'!$U$2:$U$151,$AI30),$AH30))))</f>
        <v/>
      </c>
      <c r="B30" s="159" t="str">
        <f>IF($AI30="","",IF(INDEX('Roadmap Calc (Don’t Touch)'!$K$2:$K$151,$AI30)="",INDEX('Roadmap Calc (Don’t Touch)'!$B$2:$B$151,$AI30),HYPERLINK("https://jira.bnh.com/browse/"&amp;INDEX('Roadmap Calc (Don’t Touch)'!$K$2:$K$151,$AI30),INDEX('Roadmap Calc (Don’t Touch)'!$B$2:$B$151,$AI30))))</f>
        <v>Out of stock Alerts for used products</v>
      </c>
      <c r="C30" s="159" t="str">
        <f>IF($AI30="","",IF(INDEX('Roadmap Calc (Don’t Touch)'!$E$2:$E$151,$AI30)="","",HYPERLINK("https://jira.bnh.com/browse/"&amp;INDEX('Roadmap Calc (Don’t Touch)'!$E$2:$E$151,$AI30),INDEX('Roadmap Calc (Don’t Touch)'!$E$2:$E$151,$AI30))))</f>
        <v>BHUX-35020</v>
      </c>
      <c r="D30" s="161" t="str">
        <f>IF($AI30="","",INDEX('Roadmap Calc (Don’t Touch)'!$F$2:$F$151,$AI30))</f>
        <v>03. UX Discovery</v>
      </c>
      <c r="E30" s="155">
        <f>IF($AI30="","",IF(ISNUMBER(INDEX('Roadmap Calc (Don’t Touch)'!$G$2:$G$151,$AI30)),INDEX('Roadmap Calc (Don’t Touch)'!$G$2:$G$151,$AI30),""))</f>
        <v>46237</v>
      </c>
      <c r="F30" s="155">
        <f>IF($AI30="","",IF(ISNUMBER(INDEX('Roadmap Calc (Don’t Touch)'!$H$2:$H$151,$AI30)),INDEX('Roadmap Calc (Don’t Touch)'!$H$2:$H$151,$AI30),""))</f>
        <v>46258</v>
      </c>
      <c r="G30" s="156">
        <f>IF($AI30="","",INDEX('Roadmap Calc (Don’t Touch)'!$T$2:$T$151,$AI30))</f>
        <v>4</v>
      </c>
      <c r="H30" s="157">
        <f ca="1">IF($AI30="","",IF(ISNUMBER(INDEX('Roadmap Calc (Don’t Touch)'!$I$2:$I$151,$AI30)),INDEX('Roadmap Calc (Don’t Touch)'!$I$2:$I$151,$AI30),""))</f>
        <v>46296</v>
      </c>
      <c r="I30" s="157">
        <f ca="1">IF($AI30="","",IF(ISNUMBER(INDEX('Roadmap Calc (Don’t Touch)'!$J$2:$J$151,$AI30)),INDEX('Roadmap Calc (Don’t Touch)'!$J$2:$J$151,$AI30),""))</f>
        <v>46326</v>
      </c>
      <c r="J30" s="158" t="str">
        <f>IF($AI30="","",IF(AND($AN30&lt;&gt;"",$AN30&lt;=EOMONTH(J$12,0),$AO30&gt;=J$12),IF(AND(INDEX('Roadmap Calc (Don’t Touch)'!$AA$2:$AX$151,$AI30,COLUMN()-COLUMN($J$16)+1)&gt;0,OR($D30="03. UX Discovery",$D30="04. UX Design")),IF(AND($H30&lt;&gt;"",$H30&lt;=EOMONTH(J$12,0),$I30&gt;=J$12),"ALL","PD+UX"),IF(AND($H30&lt;&gt;"",$H30&lt;=EOMONTH(J$12,0),$I30&gt;=J$12),"PD+DEV","PD")),IF(AND(INDEX('Roadmap Calc (Don’t Touch)'!$AA$2:$AX$151,$AI30,COLUMN()-COLUMN($J$16)+1)&gt;0,OR($D30="03. UX Discovery",$D30="04. UX Design")),IF(AND($H30&lt;&gt;"",$H30&lt;=EOMONTH(J$12,0),$I30&gt;=J$12),"UX+DEV","UX"),IF(AND($H30&lt;&gt;"",$H30&lt;=EOMONTH(J$12,0),$I30&gt;=J$12),"DEV",""))))</f>
      </c>
      <c r="K30" s="158" t="str">
        <f>IF($AI30="","",IF(AND($AN30&lt;&gt;"",$AN30&lt;=EOMONTH(K$12,0),$AO30&gt;=K$12),IF(AND(INDEX('Roadmap Calc (Don’t Touch)'!$AA$2:$AX$151,$AI30,COLUMN()-COLUMN($J$16)+1)&gt;0,OR($D30="03. UX Discovery",$D30="04. UX Design")),IF(AND($H30&lt;&gt;"",$H30&lt;=EOMONTH(K$12,0),$I30&gt;=K$12),"ALL","PD+UX"),IF(AND($H30&lt;&gt;"",$H30&lt;=EOMONTH(K$12,0),$I30&gt;=K$12),"PD+DEV","PD")),IF(AND(INDEX('Roadmap Calc (Don’t Touch)'!$AA$2:$AX$151,$AI30,COLUMN()-COLUMN($J$16)+1)&gt;0,OR($D30="03. UX Discovery",$D30="04. UX Design")),IF(AND($H30&lt;&gt;"",$H30&lt;=EOMONTH(K$12,0),$I30&gt;=K$12),"UX+DEV","UX"),IF(AND($H30&lt;&gt;"",$H30&lt;=EOMONTH(K$12,0),$I30&gt;=K$12),"DEV",""))))</f>
      </c>
      <c r="L30" s="158" t="str">
        <f>IF($AI30="","",IF(AND($AN30&lt;&gt;"",$AN30&lt;=EOMONTH(L$12,0),$AO30&gt;=L$12),IF(AND(INDEX('Roadmap Calc (Don’t Touch)'!$AA$2:$AX$151,$AI30,COLUMN()-COLUMN($J$16)+1)&gt;0,OR($D30="03. UX Discovery",$D30="04. UX Design")),IF(AND($H30&lt;&gt;"",$H30&lt;=EOMONTH(L$12,0),$I30&gt;=L$12),"ALL","PD+UX"),IF(AND($H30&lt;&gt;"",$H30&lt;=EOMONTH(L$12,0),$I30&gt;=L$12),"PD+DEV","PD")),IF(AND(INDEX('Roadmap Calc (Don’t Touch)'!$AA$2:$AX$151,$AI30,COLUMN()-COLUMN($J$16)+1)&gt;0,OR($D30="03. UX Discovery",$D30="04. UX Design")),IF(AND($H30&lt;&gt;"",$H30&lt;=EOMONTH(L$12,0),$I30&gt;=L$12),"UX+DEV","UX"),IF(AND($H30&lt;&gt;"",$H30&lt;=EOMONTH(L$12,0),$I30&gt;=L$12),"DEV",""))))</f>
      </c>
      <c r="M30" s="158" t="str">
        <f>IF($AI30="","",IF(AND($AN30&lt;&gt;"",$AN30&lt;=EOMONTH(M$12,0),$AO30&gt;=M$12),IF(AND(INDEX('Roadmap Calc (Don’t Touch)'!$AA$2:$AX$151,$AI30,COLUMN()-COLUMN($J$16)+1)&gt;0,OR($D30="03. UX Discovery",$D30="04. UX Design")),IF(AND($H30&lt;&gt;"",$H30&lt;=EOMONTH(M$12,0),$I30&gt;=M$12),"ALL","PD+UX"),IF(AND($H30&lt;&gt;"",$H30&lt;=EOMONTH(M$12,0),$I30&gt;=M$12),"PD+DEV","PD")),IF(AND(INDEX('Roadmap Calc (Don’t Touch)'!$AA$2:$AX$151,$AI30,COLUMN()-COLUMN($J$16)+1)&gt;0,OR($D30="03. UX Discovery",$D30="04. UX Design")),IF(AND($H30&lt;&gt;"",$H30&lt;=EOMONTH(M$12,0),$I30&gt;=M$12),"UX+DEV","UX"),IF(AND($H30&lt;&gt;"",$H30&lt;=EOMONTH(M$12,0),$I30&gt;=M$12),"DEV",""))))</f>
      </c>
      <c r="N30" s="158" t="str">
        <f>IF($AI30="","",IF(AND($AN30&lt;&gt;"",$AN30&lt;=EOMONTH(N$12,0),$AO30&gt;=N$12),IF(AND(INDEX('Roadmap Calc (Don’t Touch)'!$AA$2:$AX$151,$AI30,COLUMN()-COLUMN($J$16)+1)&gt;0,OR($D30="03. UX Discovery",$D30="04. UX Design")),IF(AND($H30&lt;&gt;"",$H30&lt;=EOMONTH(N$12,0),$I30&gt;=N$12),"ALL","PD+UX"),IF(AND($H30&lt;&gt;"",$H30&lt;=EOMONTH(N$12,0),$I30&gt;=N$12),"PD+DEV","PD")),IF(AND(INDEX('Roadmap Calc (Don’t Touch)'!$AA$2:$AX$151,$AI30,COLUMN()-COLUMN($J$16)+1)&gt;0,OR($D30="03. UX Discovery",$D30="04. UX Design")),IF(AND($H30&lt;&gt;"",$H30&lt;=EOMONTH(N$12,0),$I30&gt;=N$12),"UX+DEV","UX"),IF(AND($H30&lt;&gt;"",$H30&lt;=EOMONTH(N$12,0),$I30&gt;=N$12),"DEV",""))))</f>
      </c>
      <c r="O30" s="158" t="str">
        <f>IF($AI30="","",IF(AND($AN30&lt;&gt;"",$AN30&lt;=EOMONTH(O$12,0),$AO30&gt;=O$12),IF(AND(INDEX('Roadmap Calc (Don’t Touch)'!$AA$2:$AX$151,$AI30,COLUMN()-COLUMN($J$16)+1)&gt;0,OR($D30="03. UX Discovery",$D30="04. UX Design")),IF(AND($H30&lt;&gt;"",$H30&lt;=EOMONTH(O$12,0),$I30&gt;=O$12),"ALL","PD+UX"),IF(AND($H30&lt;&gt;"",$H30&lt;=EOMONTH(O$12,0),$I30&gt;=O$12),"PD+DEV","PD")),IF(AND(INDEX('Roadmap Calc (Don’t Touch)'!$AA$2:$AX$151,$AI30,COLUMN()-COLUMN($J$16)+1)&gt;0,OR($D30="03. UX Discovery",$D30="04. UX Design")),IF(AND($H30&lt;&gt;"",$H30&lt;=EOMONTH(O$12,0),$I30&gt;=O$12),"UX+DEV","UX"),IF(AND($H30&lt;&gt;"",$H30&lt;=EOMONTH(O$12,0),$I30&gt;=O$12),"DEV",""))))</f>
      </c>
      <c r="P30" s="158" t="str">
        <f>IF($AI30="","",IF(AND($AN30&lt;&gt;"",$AN30&lt;=EOMONTH(P$12,0),$AO30&gt;=P$12),IF(AND(INDEX('Roadmap Calc (Don’t Touch)'!$AA$2:$AX$151,$AI30,COLUMN()-COLUMN($J$16)+1)&gt;0,OR($D30="03. UX Discovery",$D30="04. UX Design")),IF(AND($H30&lt;&gt;"",$H30&lt;=EOMONTH(P$12,0),$I30&gt;=P$12),"ALL","PD+UX"),IF(AND($H30&lt;&gt;"",$H30&lt;=EOMONTH(P$12,0),$I30&gt;=P$12),"PD+DEV","PD")),IF(AND(INDEX('Roadmap Calc (Don’t Touch)'!$AA$2:$AX$151,$AI30,COLUMN()-COLUMN($J$16)+1)&gt;0,OR($D30="03. UX Discovery",$D30="04. UX Design")),IF(AND($H30&lt;&gt;"",$H30&lt;=EOMONTH(P$12,0),$I30&gt;=P$12),"UX+DEV","UX"),IF(AND($H30&lt;&gt;"",$H30&lt;=EOMONTH(P$12,0),$I30&gt;=P$12),"DEV",""))))</f>
      </c>
      <c r="Q30" s="158" t="str">
        <f>IF($AI30="","",IF(AND($AN30&lt;&gt;"",$AN30&lt;=EOMONTH(Q$12,0),$AO30&gt;=Q$12),IF(AND(INDEX('Roadmap Calc (Don’t Touch)'!$AA$2:$AX$151,$AI30,COLUMN()-COLUMN($J$16)+1)&gt;0,OR($D30="03. UX Discovery",$D30="04. UX Design")),IF(AND($H30&lt;&gt;"",$H30&lt;=EOMONTH(Q$12,0),$I30&gt;=Q$12),"ALL","PD+UX"),IF(AND($H30&lt;&gt;"",$H30&lt;=EOMONTH(Q$12,0),$I30&gt;=Q$12),"PD+DEV","PD")),IF(AND(INDEX('Roadmap Calc (Don’t Touch)'!$AA$2:$AX$151,$AI30,COLUMN()-COLUMN($J$16)+1)&gt;0,OR($D30="03. UX Discovery",$D30="04. UX Design")),IF(AND($H30&lt;&gt;"",$H30&lt;=EOMONTH(Q$12,0),$I30&gt;=Q$12),"UX+DEV","UX"),IF(AND($H30&lt;&gt;"",$H30&lt;=EOMONTH(Q$12,0),$I30&gt;=Q$12),"DEV",""))))</f>
      </c>
      <c r="R30" s="158" t="str">
        <f>IF($AI30="","",IF(AND($AN30&lt;&gt;"",$AN30&lt;=EOMONTH(R$12,0),$AO30&gt;=R$12),IF(AND(INDEX('Roadmap Calc (Don’t Touch)'!$AA$2:$AX$151,$AI30,COLUMN()-COLUMN($J$16)+1)&gt;0,OR($D30="03. UX Discovery",$D30="04. UX Design")),IF(AND($H30&lt;&gt;"",$H30&lt;=EOMONTH(R$12,0),$I30&gt;=R$12),"ALL","PD+UX"),IF(AND($H30&lt;&gt;"",$H30&lt;=EOMONTH(R$12,0),$I30&gt;=R$12),"PD+DEV","PD")),IF(AND(INDEX('Roadmap Calc (Don’t Touch)'!$AA$2:$AX$151,$AI30,COLUMN()-COLUMN($J$16)+1)&gt;0,OR($D30="03. UX Discovery",$D30="04. UX Design")),IF(AND($H30&lt;&gt;"",$H30&lt;=EOMONTH(R$12,0),$I30&gt;=R$12),"UX+DEV","UX"),IF(AND($H30&lt;&gt;"",$H30&lt;=EOMONTH(R$12,0),$I30&gt;=R$12),"DEV",""))))</f>
      </c>
      <c r="S30" s="158" t="str">
        <f>IF($AI30="","",IF(AND($AN30&lt;&gt;"",$AN30&lt;=EOMONTH(S$12,0),$AO30&gt;=S$12),IF(AND(INDEX('Roadmap Calc (Don’t Touch)'!$AA$2:$AX$151,$AI30,COLUMN()-COLUMN($J$16)+1)&gt;0,OR($D30="03. UX Discovery",$D30="04. UX Design")),IF(AND($H30&lt;&gt;"",$H30&lt;=EOMONTH(S$12,0),$I30&gt;=S$12),"ALL","PD+UX"),IF(AND($H30&lt;&gt;"",$H30&lt;=EOMONTH(S$12,0),$I30&gt;=S$12),"PD+DEV","PD")),IF(AND(INDEX('Roadmap Calc (Don’t Touch)'!$AA$2:$AX$151,$AI30,COLUMN()-COLUMN($J$16)+1)&gt;0,OR($D30="03. UX Discovery",$D30="04. UX Design")),IF(AND($H30&lt;&gt;"",$H30&lt;=EOMONTH(S$12,0),$I30&gt;=S$12),"UX+DEV","UX"),IF(AND($H30&lt;&gt;"",$H30&lt;=EOMONTH(S$12,0),$I30&gt;=S$12),"DEV",""))))</f>
      </c>
      <c r="T30" s="158" t="str">
        <f>IF($AI30="","",IF(AND($AN30&lt;&gt;"",$AN30&lt;=EOMONTH(T$12,0),$AO30&gt;=T$12),IF(AND(INDEX('Roadmap Calc (Don’t Touch)'!$AA$2:$AX$151,$AI30,COLUMN()-COLUMN($J$16)+1)&gt;0,OR($D30="03. UX Discovery",$D30="04. UX Design")),IF(AND($H30&lt;&gt;"",$H30&lt;=EOMONTH(T$12,0),$I30&gt;=T$12),"ALL","PD+UX"),IF(AND($H30&lt;&gt;"",$H30&lt;=EOMONTH(T$12,0),$I30&gt;=T$12),"PD+DEV","PD")),IF(AND(INDEX('Roadmap Calc (Don’t Touch)'!$AA$2:$AX$151,$AI30,COLUMN()-COLUMN($J$16)+1)&gt;0,OR($D30="03. UX Discovery",$D30="04. UX Design")),IF(AND($H30&lt;&gt;"",$H30&lt;=EOMONTH(T$12,0),$I30&gt;=T$12),"UX+DEV","UX"),IF(AND($H30&lt;&gt;"",$H30&lt;=EOMONTH(T$12,0),$I30&gt;=T$12),"DEV",""))))</f>
      </c>
      <c r="U30" s="158" t="str">
        <f>IF($AI30="","",IF(AND($AN30&lt;&gt;"",$AN30&lt;=EOMONTH(U$12,0),$AO30&gt;=U$12),IF(AND(INDEX('Roadmap Calc (Don’t Touch)'!$AA$2:$AX$151,$AI30,COLUMN()-COLUMN($J$16)+1)&gt;0,OR($D30="03. UX Discovery",$D30="04. UX Design")),IF(AND($H30&lt;&gt;"",$H30&lt;=EOMONTH(U$12,0),$I30&gt;=U$12),"ALL","PD+UX"),IF(AND($H30&lt;&gt;"",$H30&lt;=EOMONTH(U$12,0),$I30&gt;=U$12),"PD+DEV","PD")),IF(AND(INDEX('Roadmap Calc (Don’t Touch)'!$AA$2:$AX$151,$AI30,COLUMN()-COLUMN($J$16)+1)&gt;0,OR($D30="03. UX Discovery",$D30="04. UX Design")),IF(AND($H30&lt;&gt;"",$H30&lt;=EOMONTH(U$12,0),$I30&gt;=U$12),"UX+DEV","UX"),IF(AND($H30&lt;&gt;"",$H30&lt;=EOMONTH(U$12,0),$I30&gt;=U$12),"DEV",""))))</f>
      </c>
      <c r="V30" s="158" t="str">
        <f>IF($AI30="","",IF(AND($AN30&lt;&gt;"",$AN30&lt;=EOMONTH(V$12,0),$AO30&gt;=V$12),IF(AND(INDEX('Roadmap Calc (Don’t Touch)'!$AA$2:$AX$151,$AI30,COLUMN()-COLUMN($J$16)+1)&gt;0,OR($D30="03. UX Discovery",$D30="04. UX Design")),IF(AND($H30&lt;&gt;"",$H30&lt;=EOMONTH(V$12,0),$I30&gt;=V$12),"ALL","PD+UX"),IF(AND($H30&lt;&gt;"",$H30&lt;=EOMONTH(V$12,0),$I30&gt;=V$12),"PD+DEV","PD")),IF(AND(INDEX('Roadmap Calc (Don’t Touch)'!$AA$2:$AX$151,$AI30,COLUMN()-COLUMN($J$16)+1)&gt;0,OR($D30="03. UX Discovery",$D30="04. UX Design")),IF(AND($H30&lt;&gt;"",$H30&lt;=EOMONTH(V$12,0),$I30&gt;=V$12),"UX+DEV","UX"),IF(AND($H30&lt;&gt;"",$H30&lt;=EOMONTH(V$12,0),$I30&gt;=V$12),"DEV",""))))</f>
      </c>
      <c r="W30" s="158" t="str">
        <f>IF($AI30="","",IF(AND($AN30&lt;&gt;"",$AN30&lt;=EOMONTH(W$12,0),$AO30&gt;=W$12),IF(AND(INDEX('Roadmap Calc (Don’t Touch)'!$AA$2:$AX$151,$AI30,COLUMN()-COLUMN($J$16)+1)&gt;0,OR($D30="03. UX Discovery",$D30="04. UX Design")),IF(AND($H30&lt;&gt;"",$H30&lt;=EOMONTH(W$12,0),$I30&gt;=W$12),"ALL","PD+UX"),IF(AND($H30&lt;&gt;"",$H30&lt;=EOMONTH(W$12,0),$I30&gt;=W$12),"PD+DEV","PD")),IF(AND(INDEX('Roadmap Calc (Don’t Touch)'!$AA$2:$AX$151,$AI30,COLUMN()-COLUMN($J$16)+1)&gt;0,OR($D30="03. UX Discovery",$D30="04. UX Design")),IF(AND($H30&lt;&gt;"",$H30&lt;=EOMONTH(W$12,0),$I30&gt;=W$12),"UX+DEV","UX"),IF(AND($H30&lt;&gt;"",$H30&lt;=EOMONTH(W$12,0),$I30&gt;=W$12),"DEV",""))))</f>
      </c>
      <c r="X30" s="158" t="str">
        <f>IF($AI30="","",IF(AND($AN30&lt;&gt;"",$AN30&lt;=EOMONTH(X$12,0),$AO30&gt;=X$12),IF(AND(INDEX('Roadmap Calc (Don’t Touch)'!$AA$2:$AX$151,$AI30,COLUMN()-COLUMN($J$16)+1)&gt;0,OR($D30="03. UX Discovery",$D30="04. UX Design")),IF(AND($H30&lt;&gt;"",$H30&lt;=EOMONTH(X$12,0),$I30&gt;=X$12),"ALL","PD+UX"),IF(AND($H30&lt;&gt;"",$H30&lt;=EOMONTH(X$12,0),$I30&gt;=X$12),"PD+DEV","PD")),IF(AND(INDEX('Roadmap Calc (Don’t Touch)'!$AA$2:$AX$151,$AI30,COLUMN()-COLUMN($J$16)+1)&gt;0,OR($D30="03. UX Discovery",$D30="04. UX Design")),IF(AND($H30&lt;&gt;"",$H30&lt;=EOMONTH(X$12,0),$I30&gt;=X$12),"UX+DEV","UX"),IF(AND($H30&lt;&gt;"",$H30&lt;=EOMONTH(X$12,0),$I30&gt;=X$12),"DEV",""))))</f>
      </c>
      <c r="Y30" s="158" t="str">
        <f>IF($AI30="","",IF(AND($AN30&lt;&gt;"",$AN30&lt;=EOMONTH(Y$12,0),$AO30&gt;=Y$12),IF(AND(INDEX('Roadmap Calc (Don’t Touch)'!$AA$2:$AX$151,$AI30,COLUMN()-COLUMN($J$16)+1)&gt;0,OR($D30="03. UX Discovery",$D30="04. UX Design")),IF(AND($H30&lt;&gt;"",$H30&lt;=EOMONTH(Y$12,0),$I30&gt;=Y$12),"ALL","PD+UX"),IF(AND($H30&lt;&gt;"",$H30&lt;=EOMONTH(Y$12,0),$I30&gt;=Y$12),"PD+DEV","PD")),IF(AND(INDEX('Roadmap Calc (Don’t Touch)'!$AA$2:$AX$151,$AI30,COLUMN()-COLUMN($J$16)+1)&gt;0,OR($D30="03. UX Discovery",$D30="04. UX Design")),IF(AND($H30&lt;&gt;"",$H30&lt;=EOMONTH(Y$12,0),$I30&gt;=Y$12),"UX+DEV","UX"),IF(AND($H30&lt;&gt;"",$H30&lt;=EOMONTH(Y$12,0),$I30&gt;=Y$12),"DEV",""))))</f>
      </c>
      <c r="Z30" s="158" t="str">
        <f>IF($AI30="","",IF(AND($AN30&lt;&gt;"",$AN30&lt;=EOMONTH(Z$12,0),$AO30&gt;=Z$12),IF(AND(INDEX('Roadmap Calc (Don’t Touch)'!$AA$2:$AX$151,$AI30,COLUMN()-COLUMN($J$16)+1)&gt;0,OR($D30="03. UX Discovery",$D30="04. UX Design")),IF(AND($H30&lt;&gt;"",$H30&lt;=EOMONTH(Z$12,0),$I30&gt;=Z$12),"ALL","PD+UX"),IF(AND($H30&lt;&gt;"",$H30&lt;=EOMONTH(Z$12,0),$I30&gt;=Z$12),"PD+DEV","PD")),IF(AND(INDEX('Roadmap Calc (Don’t Touch)'!$AA$2:$AX$151,$AI30,COLUMN()-COLUMN($J$16)+1)&gt;0,OR($D30="03. UX Discovery",$D30="04. UX Design")),IF(AND($H30&lt;&gt;"",$H30&lt;=EOMONTH(Z$12,0),$I30&gt;=Z$12),"UX+DEV","UX"),IF(AND($H30&lt;&gt;"",$H30&lt;=EOMONTH(Z$12,0),$I30&gt;=Z$12),"DEV",""))))</f>
      </c>
      <c r="AA30" s="158" t="str">
        <f>IF($AI30="","",IF(AND($AN30&lt;&gt;"",$AN30&lt;=EOMONTH(AA$12,0),$AO30&gt;=AA$12),IF(AND(INDEX('Roadmap Calc (Don’t Touch)'!$AA$2:$AX$151,$AI30,COLUMN()-COLUMN($J$16)+1)&gt;0,OR($D30="03. UX Discovery",$D30="04. UX Design")),IF(AND($H30&lt;&gt;"",$H30&lt;=EOMONTH(AA$12,0),$I30&gt;=AA$12),"ALL","PD+UX"),IF(AND($H30&lt;&gt;"",$H30&lt;=EOMONTH(AA$12,0),$I30&gt;=AA$12),"PD+DEV","PD")),IF(AND(INDEX('Roadmap Calc (Don’t Touch)'!$AA$2:$AX$151,$AI30,COLUMN()-COLUMN($J$16)+1)&gt;0,OR($D30="03. UX Discovery",$D30="04. UX Design")),IF(AND($H30&lt;&gt;"",$H30&lt;=EOMONTH(AA$12,0),$I30&gt;=AA$12),"UX+DEV","UX"),IF(AND($H30&lt;&gt;"",$H30&lt;=EOMONTH(AA$12,0),$I30&gt;=AA$12),"DEV",""))))</f>
      </c>
      <c r="AB30" s="158" t="str">
        <f>IF($AI30="","",IF(AND($AN30&lt;&gt;"",$AN30&lt;=EOMONTH(AB$12,0),$AO30&gt;=AB$12),IF(AND(INDEX('Roadmap Calc (Don’t Touch)'!$AA$2:$AX$151,$AI30,COLUMN()-COLUMN($J$16)+1)&gt;0,OR($D30="03. UX Discovery",$D30="04. UX Design")),IF(AND($H30&lt;&gt;"",$H30&lt;=EOMONTH(AB$12,0),$I30&gt;=AB$12),"ALL","PD+UX"),IF(AND($H30&lt;&gt;"",$H30&lt;=EOMONTH(AB$12,0),$I30&gt;=AB$12),"PD+DEV","PD")),IF(AND(INDEX('Roadmap Calc (Don’t Touch)'!$AA$2:$AX$151,$AI30,COLUMN()-COLUMN($J$16)+1)&gt;0,OR($D30="03. UX Discovery",$D30="04. UX Design")),IF(AND($H30&lt;&gt;"",$H30&lt;=EOMONTH(AB$12,0),$I30&gt;=AB$12),"UX+DEV","UX"),IF(AND($H30&lt;&gt;"",$H30&lt;=EOMONTH(AB$12,0),$I30&gt;=AB$12),"DEV",""))))</f>
      </c>
      <c r="AC30" s="158" t="str">
        <f>IF($AI30="","",IF(AND($AN30&lt;&gt;"",$AN30&lt;=EOMONTH(AC$12,0),$AO30&gt;=AC$12),IF(AND(INDEX('Roadmap Calc (Don’t Touch)'!$AA$2:$AX$151,$AI30,COLUMN()-COLUMN($J$16)+1)&gt;0,OR($D30="03. UX Discovery",$D30="04. UX Design")),IF(AND($H30&lt;&gt;"",$H30&lt;=EOMONTH(AC$12,0),$I30&gt;=AC$12),"ALL","PD+UX"),IF(AND($H30&lt;&gt;"",$H30&lt;=EOMONTH(AC$12,0),$I30&gt;=AC$12),"PD+DEV","PD")),IF(AND(INDEX('Roadmap Calc (Don’t Touch)'!$AA$2:$AX$151,$AI30,COLUMN()-COLUMN($J$16)+1)&gt;0,OR($D30="03. UX Discovery",$D30="04. UX Design")),IF(AND($H30&lt;&gt;"",$H30&lt;=EOMONTH(AC$12,0),$I30&gt;=AC$12),"UX+DEV","UX"),IF(AND($H30&lt;&gt;"",$H30&lt;=EOMONTH(AC$12,0),$I30&gt;=AC$12),"DEV",""))))</f>
      </c>
      <c r="AD30" s="158" t="str">
        <f>IF($AI30="","",IF(AND($AN30&lt;&gt;"",$AN30&lt;=EOMONTH(AD$12,0),$AO30&gt;=AD$12),IF(AND(INDEX('Roadmap Calc (Don’t Touch)'!$AA$2:$AX$151,$AI30,COLUMN()-COLUMN($J$16)+1)&gt;0,OR($D30="03. UX Discovery",$D30="04. UX Design")),IF(AND($H30&lt;&gt;"",$H30&lt;=EOMONTH(AD$12,0),$I30&gt;=AD$12),"ALL","PD+UX"),IF(AND($H30&lt;&gt;"",$H30&lt;=EOMONTH(AD$12,0),$I30&gt;=AD$12),"PD+DEV","PD")),IF(AND(INDEX('Roadmap Calc (Don’t Touch)'!$AA$2:$AX$151,$AI30,COLUMN()-COLUMN($J$16)+1)&gt;0,OR($D30="03. UX Discovery",$D30="04. UX Design")),IF(AND($H30&lt;&gt;"",$H30&lt;=EOMONTH(AD$12,0),$I30&gt;=AD$12),"UX+DEV","UX"),IF(AND($H30&lt;&gt;"",$H30&lt;=EOMONTH(AD$12,0),$I30&gt;=AD$12),"DEV",""))))</f>
      </c>
      <c r="AE30" s="158" t="str">
        <f>IF($AI30="","",IF(AND($AN30&lt;&gt;"",$AN30&lt;=EOMONTH(AE$12,0),$AO30&gt;=AE$12),IF(AND(INDEX('Roadmap Calc (Don’t Touch)'!$AA$2:$AX$151,$AI30,COLUMN()-COLUMN($J$16)+1)&gt;0,OR($D30="03. UX Discovery",$D30="04. UX Design")),IF(AND($H30&lt;&gt;"",$H30&lt;=EOMONTH(AE$12,0),$I30&gt;=AE$12),"ALL","PD+UX"),IF(AND($H30&lt;&gt;"",$H30&lt;=EOMONTH(AE$12,0),$I30&gt;=AE$12),"PD+DEV","PD")),IF(AND(INDEX('Roadmap Calc (Don’t Touch)'!$AA$2:$AX$151,$AI30,COLUMN()-COLUMN($J$16)+1)&gt;0,OR($D30="03. UX Discovery",$D30="04. UX Design")),IF(AND($H30&lt;&gt;"",$H30&lt;=EOMONTH(AE$12,0),$I30&gt;=AE$12),"UX+DEV","UX"),IF(AND($H30&lt;&gt;"",$H30&lt;=EOMONTH(AE$12,0),$I30&gt;=AE$12),"DEV",""))))</f>
      </c>
      <c r="AF30" s="158" t="str">
        <f>IF($AI30="","",IF(AND($AN30&lt;&gt;"",$AN30&lt;=EOMONTH(AF$12,0),$AO30&gt;=AF$12),IF(AND(INDEX('Roadmap Calc (Don’t Touch)'!$AA$2:$AX$151,$AI30,COLUMN()-COLUMN($J$16)+1)&gt;0,OR($D30="03. UX Discovery",$D30="04. UX Design")),IF(AND($H30&lt;&gt;"",$H30&lt;=EOMONTH(AF$12,0),$I30&gt;=AF$12),"ALL","PD+UX"),IF(AND($H30&lt;&gt;"",$H30&lt;=EOMONTH(AF$12,0),$I30&gt;=AF$12),"PD+DEV","PD")),IF(AND(INDEX('Roadmap Calc (Don’t Touch)'!$AA$2:$AX$151,$AI30,COLUMN()-COLUMN($J$16)+1)&gt;0,OR($D30="03. UX Discovery",$D30="04. UX Design")),IF(AND($H30&lt;&gt;"",$H30&lt;=EOMONTH(AF$12,0),$I30&gt;=AF$12),"UX+DEV","UX"),IF(AND($H30&lt;&gt;"",$H30&lt;=EOMONTH(AF$12,0),$I30&gt;=AF$12),"DEV",""))))</f>
      </c>
      <c r="AG30" s="158" t="str">
        <f>IF($AI30="","",IF(AND($AN30&lt;&gt;"",$AN30&lt;=EOMONTH(AG$12,0),$AO30&gt;=AG$12),IF(AND(INDEX('Roadmap Calc (Don’t Touch)'!$AA$2:$AX$151,$AI30,COLUMN()-COLUMN($J$16)+1)&gt;0,OR($D30="03. UX Discovery",$D30="04. UX Design")),IF(AND($H30&lt;&gt;"",$H30&lt;=EOMONTH(AG$12,0),$I30&gt;=AG$12),"ALL","PD+UX"),IF(AND($H30&lt;&gt;"",$H30&lt;=EOMONTH(AG$12,0),$I30&gt;=AG$12),"PD+DEV","PD")),IF(AND(INDEX('Roadmap Calc (Don’t Touch)'!$AA$2:$AX$151,$AI30,COLUMN()-COLUMN($J$16)+1)&gt;0,OR($D30="03. UX Discovery",$D30="04. UX Design")),IF(AND($H30&lt;&gt;"",$H30&lt;=EOMONTH(AG$12,0),$I30&gt;=AG$12),"UX+DEV","UX"),IF(AND($H30&lt;&gt;"",$H30&lt;=EOMONTH(AG$12,0),$I30&gt;=AG$12),"DEV",""))))</f>
      </c>
      <c r="AH30" s="145" t="str">
        <f>IF($AI30="","",INDEX('Roadmap Calc (Don’t Touch)'!$D$2:$D$151,$AI30))</f>
        <v>Increase Buy Used Awareness</v>
      </c>
      <c r="AI30" s="145">
        <f>IFERROR(MATCH(15,'Roadmap Calc (Don’t Touch)'!$O$2:$O$151,0),"")</f>
        <v>16</v>
      </c>
      <c r="AJ30" s="145"/>
      <c r="AK30" s="145"/>
      <c r="AL30" s="145"/>
      <c r="AM30" s="145"/>
      <c r="AN30">
        <f>IF($AI30="","",IF(ISNUMBER(INDEX('Roadmap Calc (Don’t Touch)'!$BB$2:$BB$151,$AI30)),INDEX('Roadmap Calc (Don’t Touch)'!$BB$2:$BB$151,$AI30),""))</f>
      </c>
      <c r="AO30">
        <f>IF($AI30="","",IF(ISNUMBER(INDEX('Roadmap Calc (Don’t Touch)'!$BC$2:$BC$151,$AI30)),INDEX('Roadmap Calc (Don’t Touch)'!$BC$2:$BC$151,$AI30),""))</f>
      </c>
    </row>
    <row r="31" spans="1:41" ht="20" customHeight="1" x14ac:dyDescent="0.25">
      <c r="A31" s="198" t="str">
        <f>IF($AI31="","",IF($AH31=$AH30,"",IF(INDEX('Roadmap Calc (Don’t Touch)'!$U$2:$U$151,$AI31)=0,$AH31,HYPERLINK("#'Control (Don’t Touch)'!E"&amp;INDEX('Roadmap Calc (Don’t Touch)'!$U$2:$U$151,$AI31),$AH31))))</f>
        <v/>
      </c>
      <c r="B31" s="159" t="str">
        <f>IF($AI31="","",IF(INDEX('Roadmap Calc (Don’t Touch)'!$K$2:$K$151,$AI31)="",INDEX('Roadmap Calc (Don’t Touch)'!$B$2:$B$151,$AI31),HYPERLINK("https://jira.bnh.com/browse/"&amp;INDEX('Roadmap Calc (Don’t Touch)'!$K$2:$K$151,$AI31),INDEX('Roadmap Calc (Don’t Touch)'!$B$2:$B$151,$AI31))))</f>
        <v>Add New | Used tab to all listing pages and search results pages</v>
      </c>
      <c r="C31" s="159" t="str">
        <f>IF($AI31="","",IF(INDEX('Roadmap Calc (Don’t Touch)'!$E$2:$E$151,$AI31)="","",HYPERLINK("https://jira.bnh.com/browse/"&amp;INDEX('Roadmap Calc (Don’t Touch)'!$E$2:$E$151,$AI31),INDEX('Roadmap Calc (Don’t Touch)'!$E$2:$E$151,$AI31))))</f>
        <v>BHUX-35303</v>
      </c>
      <c r="D31" s="161" t="str">
        <f>IF($AI31="","",INDEX('Roadmap Calc (Don’t Touch)'!$F$2:$F$151,$AI31))</f>
        <v>03. UX Discovery</v>
      </c>
      <c r="E31" s="155">
        <f>IF($AI31="","",IF(ISNUMBER(INDEX('Roadmap Calc (Don’t Touch)'!$G$2:$G$151,$AI31)),INDEX('Roadmap Calc (Don’t Touch)'!$G$2:$G$151,$AI31),""))</f>
        <v>46258</v>
      </c>
      <c r="F31" s="155">
        <f>IF($AI31="","",IF(ISNUMBER(INDEX('Roadmap Calc (Don’t Touch)'!$H$2:$H$151,$AI31)),INDEX('Roadmap Calc (Don’t Touch)'!$H$2:$H$151,$AI31),""))</f>
        <v>46279</v>
      </c>
      <c r="G31" s="156">
        <f>IF($AI31="","",INDEX('Roadmap Calc (Don’t Touch)'!$T$2:$T$151,$AI31))</f>
        <v>4</v>
      </c>
      <c r="H31" s="157">
        <f ca="1">IF($AI31="","",IF(ISNUMBER(INDEX('Roadmap Calc (Don’t Touch)'!$I$2:$I$151,$AI31)),INDEX('Roadmap Calc (Don’t Touch)'!$I$2:$I$151,$AI31),""))</f>
        <v>46327</v>
      </c>
      <c r="I31" s="157">
        <f ca="1">IF($AI31="","",IF(ISNUMBER(INDEX('Roadmap Calc (Don’t Touch)'!$J$2:$J$151,$AI31)),INDEX('Roadmap Calc (Don’t Touch)'!$J$2:$J$151,$AI31),""))</f>
        <v>46356</v>
      </c>
      <c r="J31" s="158" t="str">
        <f>IF($AI31="","",IF(AND($AN31&lt;&gt;"",$AN31&lt;=EOMONTH(J$12,0),$AO31&gt;=J$12),IF(AND(INDEX('Roadmap Calc (Don’t Touch)'!$AA$2:$AX$151,$AI31,COLUMN()-COLUMN($J$16)+1)&gt;0,OR($D31="03. UX Discovery",$D31="04. UX Design")),IF(AND($H31&lt;&gt;"",$H31&lt;=EOMONTH(J$12,0),$I31&gt;=J$12),"ALL","PD+UX"),IF(AND($H31&lt;&gt;"",$H31&lt;=EOMONTH(J$12,0),$I31&gt;=J$12),"PD+DEV","PD")),IF(AND(INDEX('Roadmap Calc (Don’t Touch)'!$AA$2:$AX$151,$AI31,COLUMN()-COLUMN($J$16)+1)&gt;0,OR($D31="03. UX Discovery",$D31="04. UX Design")),IF(AND($H31&lt;&gt;"",$H31&lt;=EOMONTH(J$12,0),$I31&gt;=J$12),"UX+DEV","UX"),IF(AND($H31&lt;&gt;"",$H31&lt;=EOMONTH(J$12,0),$I31&gt;=J$12),"DEV",""))))</f>
      </c>
      <c r="K31" s="158" t="str">
        <f>IF($AI31="","",IF(AND($AN31&lt;&gt;"",$AN31&lt;=EOMONTH(K$12,0),$AO31&gt;=K$12),IF(AND(INDEX('Roadmap Calc (Don’t Touch)'!$AA$2:$AX$151,$AI31,COLUMN()-COLUMN($J$16)+1)&gt;0,OR($D31="03. UX Discovery",$D31="04. UX Design")),IF(AND($H31&lt;&gt;"",$H31&lt;=EOMONTH(K$12,0),$I31&gt;=K$12),"ALL","PD+UX"),IF(AND($H31&lt;&gt;"",$H31&lt;=EOMONTH(K$12,0),$I31&gt;=K$12),"PD+DEV","PD")),IF(AND(INDEX('Roadmap Calc (Don’t Touch)'!$AA$2:$AX$151,$AI31,COLUMN()-COLUMN($J$16)+1)&gt;0,OR($D31="03. UX Discovery",$D31="04. UX Design")),IF(AND($H31&lt;&gt;"",$H31&lt;=EOMONTH(K$12,0),$I31&gt;=K$12),"UX+DEV","UX"),IF(AND($H31&lt;&gt;"",$H31&lt;=EOMONTH(K$12,0),$I31&gt;=K$12),"DEV",""))))</f>
      </c>
      <c r="L31" s="158" t="str">
        <f>IF($AI31="","",IF(AND($AN31&lt;&gt;"",$AN31&lt;=EOMONTH(L$12,0),$AO31&gt;=L$12),IF(AND(INDEX('Roadmap Calc (Don’t Touch)'!$AA$2:$AX$151,$AI31,COLUMN()-COLUMN($J$16)+1)&gt;0,OR($D31="03. UX Discovery",$D31="04. UX Design")),IF(AND($H31&lt;&gt;"",$H31&lt;=EOMONTH(L$12,0),$I31&gt;=L$12),"ALL","PD+UX"),IF(AND($H31&lt;&gt;"",$H31&lt;=EOMONTH(L$12,0),$I31&gt;=L$12),"PD+DEV","PD")),IF(AND(INDEX('Roadmap Calc (Don’t Touch)'!$AA$2:$AX$151,$AI31,COLUMN()-COLUMN($J$16)+1)&gt;0,OR($D31="03. UX Discovery",$D31="04. UX Design")),IF(AND($H31&lt;&gt;"",$H31&lt;=EOMONTH(L$12,0),$I31&gt;=L$12),"UX+DEV","UX"),IF(AND($H31&lt;&gt;"",$H31&lt;=EOMONTH(L$12,0),$I31&gt;=L$12),"DEV",""))))</f>
      </c>
      <c r="M31" s="158" t="str">
        <f>IF($AI31="","",IF(AND($AN31&lt;&gt;"",$AN31&lt;=EOMONTH(M$12,0),$AO31&gt;=M$12),IF(AND(INDEX('Roadmap Calc (Don’t Touch)'!$AA$2:$AX$151,$AI31,COLUMN()-COLUMN($J$16)+1)&gt;0,OR($D31="03. UX Discovery",$D31="04. UX Design")),IF(AND($H31&lt;&gt;"",$H31&lt;=EOMONTH(M$12,0),$I31&gt;=M$12),"ALL","PD+UX"),IF(AND($H31&lt;&gt;"",$H31&lt;=EOMONTH(M$12,0),$I31&gt;=M$12),"PD+DEV","PD")),IF(AND(INDEX('Roadmap Calc (Don’t Touch)'!$AA$2:$AX$151,$AI31,COLUMN()-COLUMN($J$16)+1)&gt;0,OR($D31="03. UX Discovery",$D31="04. UX Design")),IF(AND($H31&lt;&gt;"",$H31&lt;=EOMONTH(M$12,0),$I31&gt;=M$12),"UX+DEV","UX"),IF(AND($H31&lt;&gt;"",$H31&lt;=EOMONTH(M$12,0),$I31&gt;=M$12),"DEV",""))))</f>
      </c>
      <c r="N31" s="158" t="str">
        <f>IF($AI31="","",IF(AND($AN31&lt;&gt;"",$AN31&lt;=EOMONTH(N$12,0),$AO31&gt;=N$12),IF(AND(INDEX('Roadmap Calc (Don’t Touch)'!$AA$2:$AX$151,$AI31,COLUMN()-COLUMN($J$16)+1)&gt;0,OR($D31="03. UX Discovery",$D31="04. UX Design")),IF(AND($H31&lt;&gt;"",$H31&lt;=EOMONTH(N$12,0),$I31&gt;=N$12),"ALL","PD+UX"),IF(AND($H31&lt;&gt;"",$H31&lt;=EOMONTH(N$12,0),$I31&gt;=N$12),"PD+DEV","PD")),IF(AND(INDEX('Roadmap Calc (Don’t Touch)'!$AA$2:$AX$151,$AI31,COLUMN()-COLUMN($J$16)+1)&gt;0,OR($D31="03. UX Discovery",$D31="04. UX Design")),IF(AND($H31&lt;&gt;"",$H31&lt;=EOMONTH(N$12,0),$I31&gt;=N$12),"UX+DEV","UX"),IF(AND($H31&lt;&gt;"",$H31&lt;=EOMONTH(N$12,0),$I31&gt;=N$12),"DEV",""))))</f>
      </c>
      <c r="O31" s="158" t="str">
        <f>IF($AI31="","",IF(AND($AN31&lt;&gt;"",$AN31&lt;=EOMONTH(O$12,0),$AO31&gt;=O$12),IF(AND(INDEX('Roadmap Calc (Don’t Touch)'!$AA$2:$AX$151,$AI31,COLUMN()-COLUMN($J$16)+1)&gt;0,OR($D31="03. UX Discovery",$D31="04. UX Design")),IF(AND($H31&lt;&gt;"",$H31&lt;=EOMONTH(O$12,0),$I31&gt;=O$12),"ALL","PD+UX"),IF(AND($H31&lt;&gt;"",$H31&lt;=EOMONTH(O$12,0),$I31&gt;=O$12),"PD+DEV","PD")),IF(AND(INDEX('Roadmap Calc (Don’t Touch)'!$AA$2:$AX$151,$AI31,COLUMN()-COLUMN($J$16)+1)&gt;0,OR($D31="03. UX Discovery",$D31="04. UX Design")),IF(AND($H31&lt;&gt;"",$H31&lt;=EOMONTH(O$12,0),$I31&gt;=O$12),"UX+DEV","UX"),IF(AND($H31&lt;&gt;"",$H31&lt;=EOMONTH(O$12,0),$I31&gt;=O$12),"DEV",""))))</f>
      </c>
      <c r="P31" s="158" t="str">
        <f>IF($AI31="","",IF(AND($AN31&lt;&gt;"",$AN31&lt;=EOMONTH(P$12,0),$AO31&gt;=P$12),IF(AND(INDEX('Roadmap Calc (Don’t Touch)'!$AA$2:$AX$151,$AI31,COLUMN()-COLUMN($J$16)+1)&gt;0,OR($D31="03. UX Discovery",$D31="04. UX Design")),IF(AND($H31&lt;&gt;"",$H31&lt;=EOMONTH(P$12,0),$I31&gt;=P$12),"ALL","PD+UX"),IF(AND($H31&lt;&gt;"",$H31&lt;=EOMONTH(P$12,0),$I31&gt;=P$12),"PD+DEV","PD")),IF(AND(INDEX('Roadmap Calc (Don’t Touch)'!$AA$2:$AX$151,$AI31,COLUMN()-COLUMN($J$16)+1)&gt;0,OR($D31="03. UX Discovery",$D31="04. UX Design")),IF(AND($H31&lt;&gt;"",$H31&lt;=EOMONTH(P$12,0),$I31&gt;=P$12),"UX+DEV","UX"),IF(AND($H31&lt;&gt;"",$H31&lt;=EOMONTH(P$12,0),$I31&gt;=P$12),"DEV",""))))</f>
      </c>
      <c r="Q31" s="158" t="str">
        <f>IF($AI31="","",IF(AND($AN31&lt;&gt;"",$AN31&lt;=EOMONTH(Q$12,0),$AO31&gt;=Q$12),IF(AND(INDEX('Roadmap Calc (Don’t Touch)'!$AA$2:$AX$151,$AI31,COLUMN()-COLUMN($J$16)+1)&gt;0,OR($D31="03. UX Discovery",$D31="04. UX Design")),IF(AND($H31&lt;&gt;"",$H31&lt;=EOMONTH(Q$12,0),$I31&gt;=Q$12),"ALL","PD+UX"),IF(AND($H31&lt;&gt;"",$H31&lt;=EOMONTH(Q$12,0),$I31&gt;=Q$12),"PD+DEV","PD")),IF(AND(INDEX('Roadmap Calc (Don’t Touch)'!$AA$2:$AX$151,$AI31,COLUMN()-COLUMN($J$16)+1)&gt;0,OR($D31="03. UX Discovery",$D31="04. UX Design")),IF(AND($H31&lt;&gt;"",$H31&lt;=EOMONTH(Q$12,0),$I31&gt;=Q$12),"UX+DEV","UX"),IF(AND($H31&lt;&gt;"",$H31&lt;=EOMONTH(Q$12,0),$I31&gt;=Q$12),"DEV",""))))</f>
      </c>
      <c r="R31" s="158" t="str">
        <f>IF($AI31="","",IF(AND($AN31&lt;&gt;"",$AN31&lt;=EOMONTH(R$12,0),$AO31&gt;=R$12),IF(AND(INDEX('Roadmap Calc (Don’t Touch)'!$AA$2:$AX$151,$AI31,COLUMN()-COLUMN($J$16)+1)&gt;0,OR($D31="03. UX Discovery",$D31="04. UX Design")),IF(AND($H31&lt;&gt;"",$H31&lt;=EOMONTH(R$12,0),$I31&gt;=R$12),"ALL","PD+UX"),IF(AND($H31&lt;&gt;"",$H31&lt;=EOMONTH(R$12,0),$I31&gt;=R$12),"PD+DEV","PD")),IF(AND(INDEX('Roadmap Calc (Don’t Touch)'!$AA$2:$AX$151,$AI31,COLUMN()-COLUMN($J$16)+1)&gt;0,OR($D31="03. UX Discovery",$D31="04. UX Design")),IF(AND($H31&lt;&gt;"",$H31&lt;=EOMONTH(R$12,0),$I31&gt;=R$12),"UX+DEV","UX"),IF(AND($H31&lt;&gt;"",$H31&lt;=EOMONTH(R$12,0),$I31&gt;=R$12),"DEV",""))))</f>
      </c>
      <c r="S31" s="158" t="str">
        <f>IF($AI31="","",IF(AND($AN31&lt;&gt;"",$AN31&lt;=EOMONTH(S$12,0),$AO31&gt;=S$12),IF(AND(INDEX('Roadmap Calc (Don’t Touch)'!$AA$2:$AX$151,$AI31,COLUMN()-COLUMN($J$16)+1)&gt;0,OR($D31="03. UX Discovery",$D31="04. UX Design")),IF(AND($H31&lt;&gt;"",$H31&lt;=EOMONTH(S$12,0),$I31&gt;=S$12),"ALL","PD+UX"),IF(AND($H31&lt;&gt;"",$H31&lt;=EOMONTH(S$12,0),$I31&gt;=S$12),"PD+DEV","PD")),IF(AND(INDEX('Roadmap Calc (Don’t Touch)'!$AA$2:$AX$151,$AI31,COLUMN()-COLUMN($J$16)+1)&gt;0,OR($D31="03. UX Discovery",$D31="04. UX Design")),IF(AND($H31&lt;&gt;"",$H31&lt;=EOMONTH(S$12,0),$I31&gt;=S$12),"UX+DEV","UX"),IF(AND($H31&lt;&gt;"",$H31&lt;=EOMONTH(S$12,0),$I31&gt;=S$12),"DEV",""))))</f>
      </c>
      <c r="T31" s="158" t="str">
        <f>IF($AI31="","",IF(AND($AN31&lt;&gt;"",$AN31&lt;=EOMONTH(T$12,0),$AO31&gt;=T$12),IF(AND(INDEX('Roadmap Calc (Don’t Touch)'!$AA$2:$AX$151,$AI31,COLUMN()-COLUMN($J$16)+1)&gt;0,OR($D31="03. UX Discovery",$D31="04. UX Design")),IF(AND($H31&lt;&gt;"",$H31&lt;=EOMONTH(T$12,0),$I31&gt;=T$12),"ALL","PD+UX"),IF(AND($H31&lt;&gt;"",$H31&lt;=EOMONTH(T$12,0),$I31&gt;=T$12),"PD+DEV","PD")),IF(AND(INDEX('Roadmap Calc (Don’t Touch)'!$AA$2:$AX$151,$AI31,COLUMN()-COLUMN($J$16)+1)&gt;0,OR($D31="03. UX Discovery",$D31="04. UX Design")),IF(AND($H31&lt;&gt;"",$H31&lt;=EOMONTH(T$12,0),$I31&gt;=T$12),"UX+DEV","UX"),IF(AND($H31&lt;&gt;"",$H31&lt;=EOMONTH(T$12,0),$I31&gt;=T$12),"DEV",""))))</f>
      </c>
      <c r="U31" s="158" t="str">
        <f>IF($AI31="","",IF(AND($AN31&lt;&gt;"",$AN31&lt;=EOMONTH(U$12,0),$AO31&gt;=U$12),IF(AND(INDEX('Roadmap Calc (Don’t Touch)'!$AA$2:$AX$151,$AI31,COLUMN()-COLUMN($J$16)+1)&gt;0,OR($D31="03. UX Discovery",$D31="04. UX Design")),IF(AND($H31&lt;&gt;"",$H31&lt;=EOMONTH(U$12,0),$I31&gt;=U$12),"ALL","PD+UX"),IF(AND($H31&lt;&gt;"",$H31&lt;=EOMONTH(U$12,0),$I31&gt;=U$12),"PD+DEV","PD")),IF(AND(INDEX('Roadmap Calc (Don’t Touch)'!$AA$2:$AX$151,$AI31,COLUMN()-COLUMN($J$16)+1)&gt;0,OR($D31="03. UX Discovery",$D31="04. UX Design")),IF(AND($H31&lt;&gt;"",$H31&lt;=EOMONTH(U$12,0),$I31&gt;=U$12),"UX+DEV","UX"),IF(AND($H31&lt;&gt;"",$H31&lt;=EOMONTH(U$12,0),$I31&gt;=U$12),"DEV",""))))</f>
      </c>
      <c r="V31" s="158" t="str">
        <f>IF($AI31="","",IF(AND($AN31&lt;&gt;"",$AN31&lt;=EOMONTH(V$12,0),$AO31&gt;=V$12),IF(AND(INDEX('Roadmap Calc (Don’t Touch)'!$AA$2:$AX$151,$AI31,COLUMN()-COLUMN($J$16)+1)&gt;0,OR($D31="03. UX Discovery",$D31="04. UX Design")),IF(AND($H31&lt;&gt;"",$H31&lt;=EOMONTH(V$12,0),$I31&gt;=V$12),"ALL","PD+UX"),IF(AND($H31&lt;&gt;"",$H31&lt;=EOMONTH(V$12,0),$I31&gt;=V$12),"PD+DEV","PD")),IF(AND(INDEX('Roadmap Calc (Don’t Touch)'!$AA$2:$AX$151,$AI31,COLUMN()-COLUMN($J$16)+1)&gt;0,OR($D31="03. UX Discovery",$D31="04. UX Design")),IF(AND($H31&lt;&gt;"",$H31&lt;=EOMONTH(V$12,0),$I31&gt;=V$12),"UX+DEV","UX"),IF(AND($H31&lt;&gt;"",$H31&lt;=EOMONTH(V$12,0),$I31&gt;=V$12),"DEV",""))))</f>
      </c>
      <c r="W31" s="158" t="str">
        <f>IF($AI31="","",IF(AND($AN31&lt;&gt;"",$AN31&lt;=EOMONTH(W$12,0),$AO31&gt;=W$12),IF(AND(INDEX('Roadmap Calc (Don’t Touch)'!$AA$2:$AX$151,$AI31,COLUMN()-COLUMN($J$16)+1)&gt;0,OR($D31="03. UX Discovery",$D31="04. UX Design")),IF(AND($H31&lt;&gt;"",$H31&lt;=EOMONTH(W$12,0),$I31&gt;=W$12),"ALL","PD+UX"),IF(AND($H31&lt;&gt;"",$H31&lt;=EOMONTH(W$12,0),$I31&gt;=W$12),"PD+DEV","PD")),IF(AND(INDEX('Roadmap Calc (Don’t Touch)'!$AA$2:$AX$151,$AI31,COLUMN()-COLUMN($J$16)+1)&gt;0,OR($D31="03. UX Discovery",$D31="04. UX Design")),IF(AND($H31&lt;&gt;"",$H31&lt;=EOMONTH(W$12,0),$I31&gt;=W$12),"UX+DEV","UX"),IF(AND($H31&lt;&gt;"",$H31&lt;=EOMONTH(W$12,0),$I31&gt;=W$12),"DEV",""))))</f>
      </c>
      <c r="X31" s="158" t="str">
        <f>IF($AI31="","",IF(AND($AN31&lt;&gt;"",$AN31&lt;=EOMONTH(X$12,0),$AO31&gt;=X$12),IF(AND(INDEX('Roadmap Calc (Don’t Touch)'!$AA$2:$AX$151,$AI31,COLUMN()-COLUMN($J$16)+1)&gt;0,OR($D31="03. UX Discovery",$D31="04. UX Design")),IF(AND($H31&lt;&gt;"",$H31&lt;=EOMONTH(X$12,0),$I31&gt;=X$12),"ALL","PD+UX"),IF(AND($H31&lt;&gt;"",$H31&lt;=EOMONTH(X$12,0),$I31&gt;=X$12),"PD+DEV","PD")),IF(AND(INDEX('Roadmap Calc (Don’t Touch)'!$AA$2:$AX$151,$AI31,COLUMN()-COLUMN($J$16)+1)&gt;0,OR($D31="03. UX Discovery",$D31="04. UX Design")),IF(AND($H31&lt;&gt;"",$H31&lt;=EOMONTH(X$12,0),$I31&gt;=X$12),"UX+DEV","UX"),IF(AND($H31&lt;&gt;"",$H31&lt;=EOMONTH(X$12,0),$I31&gt;=X$12),"DEV",""))))</f>
      </c>
      <c r="Y31" s="158" t="str">
        <f>IF($AI31="","",IF(AND($AN31&lt;&gt;"",$AN31&lt;=EOMONTH(Y$12,0),$AO31&gt;=Y$12),IF(AND(INDEX('Roadmap Calc (Don’t Touch)'!$AA$2:$AX$151,$AI31,COLUMN()-COLUMN($J$16)+1)&gt;0,OR($D31="03. UX Discovery",$D31="04. UX Design")),IF(AND($H31&lt;&gt;"",$H31&lt;=EOMONTH(Y$12,0),$I31&gt;=Y$12),"ALL","PD+UX"),IF(AND($H31&lt;&gt;"",$H31&lt;=EOMONTH(Y$12,0),$I31&gt;=Y$12),"PD+DEV","PD")),IF(AND(INDEX('Roadmap Calc (Don’t Touch)'!$AA$2:$AX$151,$AI31,COLUMN()-COLUMN($J$16)+1)&gt;0,OR($D31="03. UX Discovery",$D31="04. UX Design")),IF(AND($H31&lt;&gt;"",$H31&lt;=EOMONTH(Y$12,0),$I31&gt;=Y$12),"UX+DEV","UX"),IF(AND($H31&lt;&gt;"",$H31&lt;=EOMONTH(Y$12,0),$I31&gt;=Y$12),"DEV",""))))</f>
      </c>
      <c r="Z31" s="158" t="str">
        <f>IF($AI31="","",IF(AND($AN31&lt;&gt;"",$AN31&lt;=EOMONTH(Z$12,0),$AO31&gt;=Z$12),IF(AND(INDEX('Roadmap Calc (Don’t Touch)'!$AA$2:$AX$151,$AI31,COLUMN()-COLUMN($J$16)+1)&gt;0,OR($D31="03. UX Discovery",$D31="04. UX Design")),IF(AND($H31&lt;&gt;"",$H31&lt;=EOMONTH(Z$12,0),$I31&gt;=Z$12),"ALL","PD+UX"),IF(AND($H31&lt;&gt;"",$H31&lt;=EOMONTH(Z$12,0),$I31&gt;=Z$12),"PD+DEV","PD")),IF(AND(INDEX('Roadmap Calc (Don’t Touch)'!$AA$2:$AX$151,$AI31,COLUMN()-COLUMN($J$16)+1)&gt;0,OR($D31="03. UX Discovery",$D31="04. UX Design")),IF(AND($H31&lt;&gt;"",$H31&lt;=EOMONTH(Z$12,0),$I31&gt;=Z$12),"UX+DEV","UX"),IF(AND($H31&lt;&gt;"",$H31&lt;=EOMONTH(Z$12,0),$I31&gt;=Z$12),"DEV",""))))</f>
      </c>
      <c r="AA31" s="158" t="str">
        <f>IF($AI31="","",IF(AND($AN31&lt;&gt;"",$AN31&lt;=EOMONTH(AA$12,0),$AO31&gt;=AA$12),IF(AND(INDEX('Roadmap Calc (Don’t Touch)'!$AA$2:$AX$151,$AI31,COLUMN()-COLUMN($J$16)+1)&gt;0,OR($D31="03. UX Discovery",$D31="04. UX Design")),IF(AND($H31&lt;&gt;"",$H31&lt;=EOMONTH(AA$12,0),$I31&gt;=AA$12),"ALL","PD+UX"),IF(AND($H31&lt;&gt;"",$H31&lt;=EOMONTH(AA$12,0),$I31&gt;=AA$12),"PD+DEV","PD")),IF(AND(INDEX('Roadmap Calc (Don’t Touch)'!$AA$2:$AX$151,$AI31,COLUMN()-COLUMN($J$16)+1)&gt;0,OR($D31="03. UX Discovery",$D31="04. UX Design")),IF(AND($H31&lt;&gt;"",$H31&lt;=EOMONTH(AA$12,0),$I31&gt;=AA$12),"UX+DEV","UX"),IF(AND($H31&lt;&gt;"",$H31&lt;=EOMONTH(AA$12,0),$I31&gt;=AA$12),"DEV",""))))</f>
      </c>
      <c r="AB31" s="158" t="str">
        <f>IF($AI31="","",IF(AND($AN31&lt;&gt;"",$AN31&lt;=EOMONTH(AB$12,0),$AO31&gt;=AB$12),IF(AND(INDEX('Roadmap Calc (Don’t Touch)'!$AA$2:$AX$151,$AI31,COLUMN()-COLUMN($J$16)+1)&gt;0,OR($D31="03. UX Discovery",$D31="04. UX Design")),IF(AND($H31&lt;&gt;"",$H31&lt;=EOMONTH(AB$12,0),$I31&gt;=AB$12),"ALL","PD+UX"),IF(AND($H31&lt;&gt;"",$H31&lt;=EOMONTH(AB$12,0),$I31&gt;=AB$12),"PD+DEV","PD")),IF(AND(INDEX('Roadmap Calc (Don’t Touch)'!$AA$2:$AX$151,$AI31,COLUMN()-COLUMN($J$16)+1)&gt;0,OR($D31="03. UX Discovery",$D31="04. UX Design")),IF(AND($H31&lt;&gt;"",$H31&lt;=EOMONTH(AB$12,0),$I31&gt;=AB$12),"UX+DEV","UX"),IF(AND($H31&lt;&gt;"",$H31&lt;=EOMONTH(AB$12,0),$I31&gt;=AB$12),"DEV",""))))</f>
      </c>
      <c r="AC31" s="158" t="str">
        <f>IF($AI31="","",IF(AND($AN31&lt;&gt;"",$AN31&lt;=EOMONTH(AC$12,0),$AO31&gt;=AC$12),IF(AND(INDEX('Roadmap Calc (Don’t Touch)'!$AA$2:$AX$151,$AI31,COLUMN()-COLUMN($J$16)+1)&gt;0,OR($D31="03. UX Discovery",$D31="04. UX Design")),IF(AND($H31&lt;&gt;"",$H31&lt;=EOMONTH(AC$12,0),$I31&gt;=AC$12),"ALL","PD+UX"),IF(AND($H31&lt;&gt;"",$H31&lt;=EOMONTH(AC$12,0),$I31&gt;=AC$12),"PD+DEV","PD")),IF(AND(INDEX('Roadmap Calc (Don’t Touch)'!$AA$2:$AX$151,$AI31,COLUMN()-COLUMN($J$16)+1)&gt;0,OR($D31="03. UX Discovery",$D31="04. UX Design")),IF(AND($H31&lt;&gt;"",$H31&lt;=EOMONTH(AC$12,0),$I31&gt;=AC$12),"UX+DEV","UX"),IF(AND($H31&lt;&gt;"",$H31&lt;=EOMONTH(AC$12,0),$I31&gt;=AC$12),"DEV",""))))</f>
      </c>
      <c r="AD31" s="158" t="str">
        <f>IF($AI31="","",IF(AND($AN31&lt;&gt;"",$AN31&lt;=EOMONTH(AD$12,0),$AO31&gt;=AD$12),IF(AND(INDEX('Roadmap Calc (Don’t Touch)'!$AA$2:$AX$151,$AI31,COLUMN()-COLUMN($J$16)+1)&gt;0,OR($D31="03. UX Discovery",$D31="04. UX Design")),IF(AND($H31&lt;&gt;"",$H31&lt;=EOMONTH(AD$12,0),$I31&gt;=AD$12),"ALL","PD+UX"),IF(AND($H31&lt;&gt;"",$H31&lt;=EOMONTH(AD$12,0),$I31&gt;=AD$12),"PD+DEV","PD")),IF(AND(INDEX('Roadmap Calc (Don’t Touch)'!$AA$2:$AX$151,$AI31,COLUMN()-COLUMN($J$16)+1)&gt;0,OR($D31="03. UX Discovery",$D31="04. UX Design")),IF(AND($H31&lt;&gt;"",$H31&lt;=EOMONTH(AD$12,0),$I31&gt;=AD$12),"UX+DEV","UX"),IF(AND($H31&lt;&gt;"",$H31&lt;=EOMONTH(AD$12,0),$I31&gt;=AD$12),"DEV",""))))</f>
      </c>
      <c r="AE31" s="158" t="str">
        <f>IF($AI31="","",IF(AND($AN31&lt;&gt;"",$AN31&lt;=EOMONTH(AE$12,0),$AO31&gt;=AE$12),IF(AND(INDEX('Roadmap Calc (Don’t Touch)'!$AA$2:$AX$151,$AI31,COLUMN()-COLUMN($J$16)+1)&gt;0,OR($D31="03. UX Discovery",$D31="04. UX Design")),IF(AND($H31&lt;&gt;"",$H31&lt;=EOMONTH(AE$12,0),$I31&gt;=AE$12),"ALL","PD+UX"),IF(AND($H31&lt;&gt;"",$H31&lt;=EOMONTH(AE$12,0),$I31&gt;=AE$12),"PD+DEV","PD")),IF(AND(INDEX('Roadmap Calc (Don’t Touch)'!$AA$2:$AX$151,$AI31,COLUMN()-COLUMN($J$16)+1)&gt;0,OR($D31="03. UX Discovery",$D31="04. UX Design")),IF(AND($H31&lt;&gt;"",$H31&lt;=EOMONTH(AE$12,0),$I31&gt;=AE$12),"UX+DEV","UX"),IF(AND($H31&lt;&gt;"",$H31&lt;=EOMONTH(AE$12,0),$I31&gt;=AE$12),"DEV",""))))</f>
      </c>
      <c r="AF31" s="158" t="str">
        <f>IF($AI31="","",IF(AND($AN31&lt;&gt;"",$AN31&lt;=EOMONTH(AF$12,0),$AO31&gt;=AF$12),IF(AND(INDEX('Roadmap Calc (Don’t Touch)'!$AA$2:$AX$151,$AI31,COLUMN()-COLUMN($J$16)+1)&gt;0,OR($D31="03. UX Discovery",$D31="04. UX Design")),IF(AND($H31&lt;&gt;"",$H31&lt;=EOMONTH(AF$12,0),$I31&gt;=AF$12),"ALL","PD+UX"),IF(AND($H31&lt;&gt;"",$H31&lt;=EOMONTH(AF$12,0),$I31&gt;=AF$12),"PD+DEV","PD")),IF(AND(INDEX('Roadmap Calc (Don’t Touch)'!$AA$2:$AX$151,$AI31,COLUMN()-COLUMN($J$16)+1)&gt;0,OR($D31="03. UX Discovery",$D31="04. UX Design")),IF(AND($H31&lt;&gt;"",$H31&lt;=EOMONTH(AF$12,0),$I31&gt;=AF$12),"UX+DEV","UX"),IF(AND($H31&lt;&gt;"",$H31&lt;=EOMONTH(AF$12,0),$I31&gt;=AF$12),"DEV",""))))</f>
      </c>
      <c r="AG31" s="158" t="str">
        <f>IF($AI31="","",IF(AND($AN31&lt;&gt;"",$AN31&lt;=EOMONTH(AG$12,0),$AO31&gt;=AG$12),IF(AND(INDEX('Roadmap Calc (Don’t Touch)'!$AA$2:$AX$151,$AI31,COLUMN()-COLUMN($J$16)+1)&gt;0,OR($D31="03. UX Discovery",$D31="04. UX Design")),IF(AND($H31&lt;&gt;"",$H31&lt;=EOMONTH(AG$12,0),$I31&gt;=AG$12),"ALL","PD+UX"),IF(AND($H31&lt;&gt;"",$H31&lt;=EOMONTH(AG$12,0),$I31&gt;=AG$12),"PD+DEV","PD")),IF(AND(INDEX('Roadmap Calc (Don’t Touch)'!$AA$2:$AX$151,$AI31,COLUMN()-COLUMN($J$16)+1)&gt;0,OR($D31="03. UX Discovery",$D31="04. UX Design")),IF(AND($H31&lt;&gt;"",$H31&lt;=EOMONTH(AG$12,0),$I31&gt;=AG$12),"UX+DEV","UX"),IF(AND($H31&lt;&gt;"",$H31&lt;=EOMONTH(AG$12,0),$I31&gt;=AG$12),"DEV",""))))</f>
      </c>
      <c r="AH31" s="145" t="str">
        <f>IF($AI31="","",INDEX('Roadmap Calc (Don’t Touch)'!$D$2:$D$151,$AI31))</f>
        <v>Increase Buy Used Awareness</v>
      </c>
      <c r="AI31" s="145">
        <f>IFERROR(MATCH(16,'Roadmap Calc (Don’t Touch)'!$O$2:$O$151,0),"")</f>
        <v>18</v>
      </c>
      <c r="AJ31" s="145"/>
      <c r="AK31" s="145"/>
      <c r="AL31" s="145"/>
      <c r="AM31" s="145"/>
      <c r="AN31">
        <f>IF($AI31="","",IF(ISNUMBER(INDEX('Roadmap Calc (Don’t Touch)'!$BB$2:$BB$151,$AI31)),INDEX('Roadmap Calc (Don’t Touch)'!$BB$2:$BB$151,$AI31),""))</f>
      </c>
      <c r="AO31">
        <f>IF($AI31="","",IF(ISNUMBER(INDEX('Roadmap Calc (Don’t Touch)'!$BC$2:$BC$151,$AI31)),INDEX('Roadmap Calc (Don’t Touch)'!$BC$2:$BC$151,$AI31),""))</f>
      </c>
    </row>
    <row r="32" spans="1:41" ht="20" customHeight="1" x14ac:dyDescent="0.25">
      <c r="A32" s="198" t="str">
        <f>IF($AI32="","",IF($AH32=$AH31,"",IF(INDEX('Roadmap Calc (Don’t Touch)'!$U$2:$U$151,$AI32)=0,$AH32,HYPERLINK("#'Control (Don’t Touch)'!E"&amp;INDEX('Roadmap Calc (Don’t Touch)'!$U$2:$U$151,$AI32),$AH32))))</f>
        <v/>
      </c>
      <c r="B32" s="159" t="str">
        <f>IF($AI32="","",IF(INDEX('Roadmap Calc (Don’t Touch)'!$K$2:$K$151,$AI32)="",INDEX('Roadmap Calc (Don’t Touch)'!$B$2:$B$151,$AI32),HYPERLINK("https://jira.bnh.com/browse/"&amp;INDEX('Roadmap Calc (Don’t Touch)'!$K$2:$K$151,$AI32),INDEX('Roadmap Calc (Don’t Touch)'!$B$2:$B$151,$AI32))))</f>
        <v>Add 'shop by popular brands' section to Used Homepage</v>
      </c>
      <c r="C32" s="159" t="str">
        <f>IF($AI32="","",IF(INDEX('Roadmap Calc (Don’t Touch)'!$E$2:$E$151,$AI32)="","",HYPERLINK("https://jira.bnh.com/browse/"&amp;INDEX('Roadmap Calc (Don’t Touch)'!$E$2:$E$151,$AI32),INDEX('Roadmap Calc (Don’t Touch)'!$E$2:$E$151,$AI32))))</f>
        <v>BHUX-34844</v>
      </c>
      <c r="D32" s="161" t="str">
        <f>IF($AI32="","",INDEX('Roadmap Calc (Don’t Touch)'!$F$2:$F$151,$AI32))</f>
        <v>04. UX Design</v>
      </c>
      <c r="E32" s="155">
        <f>IF($AI32="","",IF(ISNUMBER(INDEX('Roadmap Calc (Don’t Touch)'!$G$2:$G$151,$AI32)),INDEX('Roadmap Calc (Don’t Touch)'!$G$2:$G$151,$AI32),""))</f>
        <v>46223</v>
      </c>
      <c r="F32" s="155">
        <f>IF($AI32="","",IF(ISNUMBER(INDEX('Roadmap Calc (Don’t Touch)'!$H$2:$H$151,$AI32)),INDEX('Roadmap Calc (Don’t Touch)'!$H$2:$H$151,$AI32),""))</f>
        <v>46272</v>
      </c>
      <c r="G32" s="156">
        <f>IF($AI32="","",INDEX('Roadmap Calc (Don’t Touch)'!$T$2:$T$151,$AI32))</f>
        <v>8</v>
      </c>
      <c r="H32" s="157">
        <f ca="1">IF($AI32="","",IF(ISNUMBER(INDEX('Roadmap Calc (Don’t Touch)'!$I$2:$I$151,$AI32)),INDEX('Roadmap Calc (Don’t Touch)'!$I$2:$I$151,$AI32),""))</f>
        <v>46327</v>
      </c>
      <c r="I32" s="157">
        <f ca="1">IF($AI32="","",IF(ISNUMBER(INDEX('Roadmap Calc (Don’t Touch)'!$J$2:$J$151,$AI32)),INDEX('Roadmap Calc (Don’t Touch)'!$J$2:$J$151,$AI32),""))</f>
        <v>46418</v>
      </c>
      <c r="J32" s="158" t="str">
        <f>IF($AI32="","",IF(AND($AN32&lt;&gt;"",$AN32&lt;=EOMONTH(J$12,0),$AO32&gt;=J$12),IF(AND(INDEX('Roadmap Calc (Don’t Touch)'!$AA$2:$AX$151,$AI32,COLUMN()-COLUMN($J$16)+1)&gt;0,OR($D32="03. UX Discovery",$D32="04. UX Design")),IF(AND($H32&lt;&gt;"",$H32&lt;=EOMONTH(J$12,0),$I32&gt;=J$12),"ALL","PD+UX"),IF(AND($H32&lt;&gt;"",$H32&lt;=EOMONTH(J$12,0),$I32&gt;=J$12),"PD+DEV","PD")),IF(AND(INDEX('Roadmap Calc (Don’t Touch)'!$AA$2:$AX$151,$AI32,COLUMN()-COLUMN($J$16)+1)&gt;0,OR($D32="03. UX Discovery",$D32="04. UX Design")),IF(AND($H32&lt;&gt;"",$H32&lt;=EOMONTH(J$12,0),$I32&gt;=J$12),"UX+DEV","UX"),IF(AND($H32&lt;&gt;"",$H32&lt;=EOMONTH(J$12,0),$I32&gt;=J$12),"DEV",""))))</f>
      </c>
      <c r="K32" s="158" t="str">
        <f>IF($AI32="","",IF(AND($AN32&lt;&gt;"",$AN32&lt;=EOMONTH(K$12,0),$AO32&gt;=K$12),IF(AND(INDEX('Roadmap Calc (Don’t Touch)'!$AA$2:$AX$151,$AI32,COLUMN()-COLUMN($J$16)+1)&gt;0,OR($D32="03. UX Discovery",$D32="04. UX Design")),IF(AND($H32&lt;&gt;"",$H32&lt;=EOMONTH(K$12,0),$I32&gt;=K$12),"ALL","PD+UX"),IF(AND($H32&lt;&gt;"",$H32&lt;=EOMONTH(K$12,0),$I32&gt;=K$12),"PD+DEV","PD")),IF(AND(INDEX('Roadmap Calc (Don’t Touch)'!$AA$2:$AX$151,$AI32,COLUMN()-COLUMN($J$16)+1)&gt;0,OR($D32="03. UX Discovery",$D32="04. UX Design")),IF(AND($H32&lt;&gt;"",$H32&lt;=EOMONTH(K$12,0),$I32&gt;=K$12),"UX+DEV","UX"),IF(AND($H32&lt;&gt;"",$H32&lt;=EOMONTH(K$12,0),$I32&gt;=K$12),"DEV",""))))</f>
      </c>
      <c r="L32" s="158" t="str">
        <f>IF($AI32="","",IF(AND($AN32&lt;&gt;"",$AN32&lt;=EOMONTH(L$12,0),$AO32&gt;=L$12),IF(AND(INDEX('Roadmap Calc (Don’t Touch)'!$AA$2:$AX$151,$AI32,COLUMN()-COLUMN($J$16)+1)&gt;0,OR($D32="03. UX Discovery",$D32="04. UX Design")),IF(AND($H32&lt;&gt;"",$H32&lt;=EOMONTH(L$12,0),$I32&gt;=L$12),"ALL","PD+UX"),IF(AND($H32&lt;&gt;"",$H32&lt;=EOMONTH(L$12,0),$I32&gt;=L$12),"PD+DEV","PD")),IF(AND(INDEX('Roadmap Calc (Don’t Touch)'!$AA$2:$AX$151,$AI32,COLUMN()-COLUMN($J$16)+1)&gt;0,OR($D32="03. UX Discovery",$D32="04. UX Design")),IF(AND($H32&lt;&gt;"",$H32&lt;=EOMONTH(L$12,0),$I32&gt;=L$12),"UX+DEV","UX"),IF(AND($H32&lt;&gt;"",$H32&lt;=EOMONTH(L$12,0),$I32&gt;=L$12),"DEV",""))))</f>
      </c>
      <c r="M32" s="158" t="str">
        <f>IF($AI32="","",IF(AND($AN32&lt;&gt;"",$AN32&lt;=EOMONTH(M$12,0),$AO32&gt;=M$12),IF(AND(INDEX('Roadmap Calc (Don’t Touch)'!$AA$2:$AX$151,$AI32,COLUMN()-COLUMN($J$16)+1)&gt;0,OR($D32="03. UX Discovery",$D32="04. UX Design")),IF(AND($H32&lt;&gt;"",$H32&lt;=EOMONTH(M$12,0),$I32&gt;=M$12),"ALL","PD+UX"),IF(AND($H32&lt;&gt;"",$H32&lt;=EOMONTH(M$12,0),$I32&gt;=M$12),"PD+DEV","PD")),IF(AND(INDEX('Roadmap Calc (Don’t Touch)'!$AA$2:$AX$151,$AI32,COLUMN()-COLUMN($J$16)+1)&gt;0,OR($D32="03. UX Discovery",$D32="04. UX Design")),IF(AND($H32&lt;&gt;"",$H32&lt;=EOMONTH(M$12,0),$I32&gt;=M$12),"UX+DEV","UX"),IF(AND($H32&lt;&gt;"",$H32&lt;=EOMONTH(M$12,0),$I32&gt;=M$12),"DEV",""))))</f>
      </c>
      <c r="N32" s="158" t="str">
        <f>IF($AI32="","",IF(AND($AN32&lt;&gt;"",$AN32&lt;=EOMONTH(N$12,0),$AO32&gt;=N$12),IF(AND(INDEX('Roadmap Calc (Don’t Touch)'!$AA$2:$AX$151,$AI32,COLUMN()-COLUMN($J$16)+1)&gt;0,OR($D32="03. UX Discovery",$D32="04. UX Design")),IF(AND($H32&lt;&gt;"",$H32&lt;=EOMONTH(N$12,0),$I32&gt;=N$12),"ALL","PD+UX"),IF(AND($H32&lt;&gt;"",$H32&lt;=EOMONTH(N$12,0),$I32&gt;=N$12),"PD+DEV","PD")),IF(AND(INDEX('Roadmap Calc (Don’t Touch)'!$AA$2:$AX$151,$AI32,COLUMN()-COLUMN($J$16)+1)&gt;0,OR($D32="03. UX Discovery",$D32="04. UX Design")),IF(AND($H32&lt;&gt;"",$H32&lt;=EOMONTH(N$12,0),$I32&gt;=N$12),"UX+DEV","UX"),IF(AND($H32&lt;&gt;"",$H32&lt;=EOMONTH(N$12,0),$I32&gt;=N$12),"DEV",""))))</f>
      </c>
      <c r="O32" s="158" t="str">
        <f>IF($AI32="","",IF(AND($AN32&lt;&gt;"",$AN32&lt;=EOMONTH(O$12,0),$AO32&gt;=O$12),IF(AND(INDEX('Roadmap Calc (Don’t Touch)'!$AA$2:$AX$151,$AI32,COLUMN()-COLUMN($J$16)+1)&gt;0,OR($D32="03. UX Discovery",$D32="04. UX Design")),IF(AND($H32&lt;&gt;"",$H32&lt;=EOMONTH(O$12,0),$I32&gt;=O$12),"ALL","PD+UX"),IF(AND($H32&lt;&gt;"",$H32&lt;=EOMONTH(O$12,0),$I32&gt;=O$12),"PD+DEV","PD")),IF(AND(INDEX('Roadmap Calc (Don’t Touch)'!$AA$2:$AX$151,$AI32,COLUMN()-COLUMN($J$16)+1)&gt;0,OR($D32="03. UX Discovery",$D32="04. UX Design")),IF(AND($H32&lt;&gt;"",$H32&lt;=EOMONTH(O$12,0),$I32&gt;=O$12),"UX+DEV","UX"),IF(AND($H32&lt;&gt;"",$H32&lt;=EOMONTH(O$12,0),$I32&gt;=O$12),"DEV",""))))</f>
      </c>
      <c r="P32" s="158" t="str">
        <f>IF($AI32="","",IF(AND($AN32&lt;&gt;"",$AN32&lt;=EOMONTH(P$12,0),$AO32&gt;=P$12),IF(AND(INDEX('Roadmap Calc (Don’t Touch)'!$AA$2:$AX$151,$AI32,COLUMN()-COLUMN($J$16)+1)&gt;0,OR($D32="03. UX Discovery",$D32="04. UX Design")),IF(AND($H32&lt;&gt;"",$H32&lt;=EOMONTH(P$12,0),$I32&gt;=P$12),"ALL","PD+UX"),IF(AND($H32&lt;&gt;"",$H32&lt;=EOMONTH(P$12,0),$I32&gt;=P$12),"PD+DEV","PD")),IF(AND(INDEX('Roadmap Calc (Don’t Touch)'!$AA$2:$AX$151,$AI32,COLUMN()-COLUMN($J$16)+1)&gt;0,OR($D32="03. UX Discovery",$D32="04. UX Design")),IF(AND($H32&lt;&gt;"",$H32&lt;=EOMONTH(P$12,0),$I32&gt;=P$12),"UX+DEV","UX"),IF(AND($H32&lt;&gt;"",$H32&lt;=EOMONTH(P$12,0),$I32&gt;=P$12),"DEV",""))))</f>
      </c>
      <c r="Q32" s="158" t="str">
        <f>IF($AI32="","",IF(AND($AN32&lt;&gt;"",$AN32&lt;=EOMONTH(Q$12,0),$AO32&gt;=Q$12),IF(AND(INDEX('Roadmap Calc (Don’t Touch)'!$AA$2:$AX$151,$AI32,COLUMN()-COLUMN($J$16)+1)&gt;0,OR($D32="03. UX Discovery",$D32="04. UX Design")),IF(AND($H32&lt;&gt;"",$H32&lt;=EOMONTH(Q$12,0),$I32&gt;=Q$12),"ALL","PD+UX"),IF(AND($H32&lt;&gt;"",$H32&lt;=EOMONTH(Q$12,0),$I32&gt;=Q$12),"PD+DEV","PD")),IF(AND(INDEX('Roadmap Calc (Don’t Touch)'!$AA$2:$AX$151,$AI32,COLUMN()-COLUMN($J$16)+1)&gt;0,OR($D32="03. UX Discovery",$D32="04. UX Design")),IF(AND($H32&lt;&gt;"",$H32&lt;=EOMONTH(Q$12,0),$I32&gt;=Q$12),"UX+DEV","UX"),IF(AND($H32&lt;&gt;"",$H32&lt;=EOMONTH(Q$12,0),$I32&gt;=Q$12),"DEV",""))))</f>
      </c>
      <c r="R32" s="158" t="str">
        <f>IF($AI32="","",IF(AND($AN32&lt;&gt;"",$AN32&lt;=EOMONTH(R$12,0),$AO32&gt;=R$12),IF(AND(INDEX('Roadmap Calc (Don’t Touch)'!$AA$2:$AX$151,$AI32,COLUMN()-COLUMN($J$16)+1)&gt;0,OR($D32="03. UX Discovery",$D32="04. UX Design")),IF(AND($H32&lt;&gt;"",$H32&lt;=EOMONTH(R$12,0),$I32&gt;=R$12),"ALL","PD+UX"),IF(AND($H32&lt;&gt;"",$H32&lt;=EOMONTH(R$12,0),$I32&gt;=R$12),"PD+DEV","PD")),IF(AND(INDEX('Roadmap Calc (Don’t Touch)'!$AA$2:$AX$151,$AI32,COLUMN()-COLUMN($J$16)+1)&gt;0,OR($D32="03. UX Discovery",$D32="04. UX Design")),IF(AND($H32&lt;&gt;"",$H32&lt;=EOMONTH(R$12,0),$I32&gt;=R$12),"UX+DEV","UX"),IF(AND($H32&lt;&gt;"",$H32&lt;=EOMONTH(R$12,0),$I32&gt;=R$12),"DEV",""))))</f>
      </c>
      <c r="S32" s="158" t="str">
        <f>IF($AI32="","",IF(AND($AN32&lt;&gt;"",$AN32&lt;=EOMONTH(S$12,0),$AO32&gt;=S$12),IF(AND(INDEX('Roadmap Calc (Don’t Touch)'!$AA$2:$AX$151,$AI32,COLUMN()-COLUMN($J$16)+1)&gt;0,OR($D32="03. UX Discovery",$D32="04. UX Design")),IF(AND($H32&lt;&gt;"",$H32&lt;=EOMONTH(S$12,0),$I32&gt;=S$12),"ALL","PD+UX"),IF(AND($H32&lt;&gt;"",$H32&lt;=EOMONTH(S$12,0),$I32&gt;=S$12),"PD+DEV","PD")),IF(AND(INDEX('Roadmap Calc (Don’t Touch)'!$AA$2:$AX$151,$AI32,COLUMN()-COLUMN($J$16)+1)&gt;0,OR($D32="03. UX Discovery",$D32="04. UX Design")),IF(AND($H32&lt;&gt;"",$H32&lt;=EOMONTH(S$12,0),$I32&gt;=S$12),"UX+DEV","UX"),IF(AND($H32&lt;&gt;"",$H32&lt;=EOMONTH(S$12,0),$I32&gt;=S$12),"DEV",""))))</f>
      </c>
      <c r="T32" s="158" t="str">
        <f>IF($AI32="","",IF(AND($AN32&lt;&gt;"",$AN32&lt;=EOMONTH(T$12,0),$AO32&gt;=T$12),IF(AND(INDEX('Roadmap Calc (Don’t Touch)'!$AA$2:$AX$151,$AI32,COLUMN()-COLUMN($J$16)+1)&gt;0,OR($D32="03. UX Discovery",$D32="04. UX Design")),IF(AND($H32&lt;&gt;"",$H32&lt;=EOMONTH(T$12,0),$I32&gt;=T$12),"ALL","PD+UX"),IF(AND($H32&lt;&gt;"",$H32&lt;=EOMONTH(T$12,0),$I32&gt;=T$12),"PD+DEV","PD")),IF(AND(INDEX('Roadmap Calc (Don’t Touch)'!$AA$2:$AX$151,$AI32,COLUMN()-COLUMN($J$16)+1)&gt;0,OR($D32="03. UX Discovery",$D32="04. UX Design")),IF(AND($H32&lt;&gt;"",$H32&lt;=EOMONTH(T$12,0),$I32&gt;=T$12),"UX+DEV","UX"),IF(AND($H32&lt;&gt;"",$H32&lt;=EOMONTH(T$12,0),$I32&gt;=T$12),"DEV",""))))</f>
      </c>
      <c r="U32" s="158" t="str">
        <f>IF($AI32="","",IF(AND($AN32&lt;&gt;"",$AN32&lt;=EOMONTH(U$12,0),$AO32&gt;=U$12),IF(AND(INDEX('Roadmap Calc (Don’t Touch)'!$AA$2:$AX$151,$AI32,COLUMN()-COLUMN($J$16)+1)&gt;0,OR($D32="03. UX Discovery",$D32="04. UX Design")),IF(AND($H32&lt;&gt;"",$H32&lt;=EOMONTH(U$12,0),$I32&gt;=U$12),"ALL","PD+UX"),IF(AND($H32&lt;&gt;"",$H32&lt;=EOMONTH(U$12,0),$I32&gt;=U$12),"PD+DEV","PD")),IF(AND(INDEX('Roadmap Calc (Don’t Touch)'!$AA$2:$AX$151,$AI32,COLUMN()-COLUMN($J$16)+1)&gt;0,OR($D32="03. UX Discovery",$D32="04. UX Design")),IF(AND($H32&lt;&gt;"",$H32&lt;=EOMONTH(U$12,0),$I32&gt;=U$12),"UX+DEV","UX"),IF(AND($H32&lt;&gt;"",$H32&lt;=EOMONTH(U$12,0),$I32&gt;=U$12),"DEV",""))))</f>
      </c>
      <c r="V32" s="158" t="str">
        <f>IF($AI32="","",IF(AND($AN32&lt;&gt;"",$AN32&lt;=EOMONTH(V$12,0),$AO32&gt;=V$12),IF(AND(INDEX('Roadmap Calc (Don’t Touch)'!$AA$2:$AX$151,$AI32,COLUMN()-COLUMN($J$16)+1)&gt;0,OR($D32="03. UX Discovery",$D32="04. UX Design")),IF(AND($H32&lt;&gt;"",$H32&lt;=EOMONTH(V$12,0),$I32&gt;=V$12),"ALL","PD+UX"),IF(AND($H32&lt;&gt;"",$H32&lt;=EOMONTH(V$12,0),$I32&gt;=V$12),"PD+DEV","PD")),IF(AND(INDEX('Roadmap Calc (Don’t Touch)'!$AA$2:$AX$151,$AI32,COLUMN()-COLUMN($J$16)+1)&gt;0,OR($D32="03. UX Discovery",$D32="04. UX Design")),IF(AND($H32&lt;&gt;"",$H32&lt;=EOMONTH(V$12,0),$I32&gt;=V$12),"UX+DEV","UX"),IF(AND($H32&lt;&gt;"",$H32&lt;=EOMONTH(V$12,0),$I32&gt;=V$12),"DEV",""))))</f>
      </c>
      <c r="W32" s="158" t="str">
        <f>IF($AI32="","",IF(AND($AN32&lt;&gt;"",$AN32&lt;=EOMONTH(W$12,0),$AO32&gt;=W$12),IF(AND(INDEX('Roadmap Calc (Don’t Touch)'!$AA$2:$AX$151,$AI32,COLUMN()-COLUMN($J$16)+1)&gt;0,OR($D32="03. UX Discovery",$D32="04. UX Design")),IF(AND($H32&lt;&gt;"",$H32&lt;=EOMONTH(W$12,0),$I32&gt;=W$12),"ALL","PD+UX"),IF(AND($H32&lt;&gt;"",$H32&lt;=EOMONTH(W$12,0),$I32&gt;=W$12),"PD+DEV","PD")),IF(AND(INDEX('Roadmap Calc (Don’t Touch)'!$AA$2:$AX$151,$AI32,COLUMN()-COLUMN($J$16)+1)&gt;0,OR($D32="03. UX Discovery",$D32="04. UX Design")),IF(AND($H32&lt;&gt;"",$H32&lt;=EOMONTH(W$12,0),$I32&gt;=W$12),"UX+DEV","UX"),IF(AND($H32&lt;&gt;"",$H32&lt;=EOMONTH(W$12,0),$I32&gt;=W$12),"DEV",""))))</f>
      </c>
      <c r="X32" s="158" t="str">
        <f>IF($AI32="","",IF(AND($AN32&lt;&gt;"",$AN32&lt;=EOMONTH(X$12,0),$AO32&gt;=X$12),IF(AND(INDEX('Roadmap Calc (Don’t Touch)'!$AA$2:$AX$151,$AI32,COLUMN()-COLUMN($J$16)+1)&gt;0,OR($D32="03. UX Discovery",$D32="04. UX Design")),IF(AND($H32&lt;&gt;"",$H32&lt;=EOMONTH(X$12,0),$I32&gt;=X$12),"ALL","PD+UX"),IF(AND($H32&lt;&gt;"",$H32&lt;=EOMONTH(X$12,0),$I32&gt;=X$12),"PD+DEV","PD")),IF(AND(INDEX('Roadmap Calc (Don’t Touch)'!$AA$2:$AX$151,$AI32,COLUMN()-COLUMN($J$16)+1)&gt;0,OR($D32="03. UX Discovery",$D32="04. UX Design")),IF(AND($H32&lt;&gt;"",$H32&lt;=EOMONTH(X$12,0),$I32&gt;=X$12),"UX+DEV","UX"),IF(AND($H32&lt;&gt;"",$H32&lt;=EOMONTH(X$12,0),$I32&gt;=X$12),"DEV",""))))</f>
      </c>
      <c r="Y32" s="158" t="str">
        <f>IF($AI32="","",IF(AND($AN32&lt;&gt;"",$AN32&lt;=EOMONTH(Y$12,0),$AO32&gt;=Y$12),IF(AND(INDEX('Roadmap Calc (Don’t Touch)'!$AA$2:$AX$151,$AI32,COLUMN()-COLUMN($J$16)+1)&gt;0,OR($D32="03. UX Discovery",$D32="04. UX Design")),IF(AND($H32&lt;&gt;"",$H32&lt;=EOMONTH(Y$12,0),$I32&gt;=Y$12),"ALL","PD+UX"),IF(AND($H32&lt;&gt;"",$H32&lt;=EOMONTH(Y$12,0),$I32&gt;=Y$12),"PD+DEV","PD")),IF(AND(INDEX('Roadmap Calc (Don’t Touch)'!$AA$2:$AX$151,$AI32,COLUMN()-COLUMN($J$16)+1)&gt;0,OR($D32="03. UX Discovery",$D32="04. UX Design")),IF(AND($H32&lt;&gt;"",$H32&lt;=EOMONTH(Y$12,0),$I32&gt;=Y$12),"UX+DEV","UX"),IF(AND($H32&lt;&gt;"",$H32&lt;=EOMONTH(Y$12,0),$I32&gt;=Y$12),"DEV",""))))</f>
      </c>
      <c r="Z32" s="158" t="str">
        <f>IF($AI32="","",IF(AND($AN32&lt;&gt;"",$AN32&lt;=EOMONTH(Z$12,0),$AO32&gt;=Z$12),IF(AND(INDEX('Roadmap Calc (Don’t Touch)'!$AA$2:$AX$151,$AI32,COLUMN()-COLUMN($J$16)+1)&gt;0,OR($D32="03. UX Discovery",$D32="04. UX Design")),IF(AND($H32&lt;&gt;"",$H32&lt;=EOMONTH(Z$12,0),$I32&gt;=Z$12),"ALL","PD+UX"),IF(AND($H32&lt;&gt;"",$H32&lt;=EOMONTH(Z$12,0),$I32&gt;=Z$12),"PD+DEV","PD")),IF(AND(INDEX('Roadmap Calc (Don’t Touch)'!$AA$2:$AX$151,$AI32,COLUMN()-COLUMN($J$16)+1)&gt;0,OR($D32="03. UX Discovery",$D32="04. UX Design")),IF(AND($H32&lt;&gt;"",$H32&lt;=EOMONTH(Z$12,0),$I32&gt;=Z$12),"UX+DEV","UX"),IF(AND($H32&lt;&gt;"",$H32&lt;=EOMONTH(Z$12,0),$I32&gt;=Z$12),"DEV",""))))</f>
      </c>
      <c r="AA32" s="158" t="str">
        <f>IF($AI32="","",IF(AND($AN32&lt;&gt;"",$AN32&lt;=EOMONTH(AA$12,0),$AO32&gt;=AA$12),IF(AND(INDEX('Roadmap Calc (Don’t Touch)'!$AA$2:$AX$151,$AI32,COLUMN()-COLUMN($J$16)+1)&gt;0,OR($D32="03. UX Discovery",$D32="04. UX Design")),IF(AND($H32&lt;&gt;"",$H32&lt;=EOMONTH(AA$12,0),$I32&gt;=AA$12),"ALL","PD+UX"),IF(AND($H32&lt;&gt;"",$H32&lt;=EOMONTH(AA$12,0),$I32&gt;=AA$12),"PD+DEV","PD")),IF(AND(INDEX('Roadmap Calc (Don’t Touch)'!$AA$2:$AX$151,$AI32,COLUMN()-COLUMN($J$16)+1)&gt;0,OR($D32="03. UX Discovery",$D32="04. UX Design")),IF(AND($H32&lt;&gt;"",$H32&lt;=EOMONTH(AA$12,0),$I32&gt;=AA$12),"UX+DEV","UX"),IF(AND($H32&lt;&gt;"",$H32&lt;=EOMONTH(AA$12,0),$I32&gt;=AA$12),"DEV",""))))</f>
      </c>
      <c r="AB32" s="158" t="str">
        <f>IF($AI32="","",IF(AND($AN32&lt;&gt;"",$AN32&lt;=EOMONTH(AB$12,0),$AO32&gt;=AB$12),IF(AND(INDEX('Roadmap Calc (Don’t Touch)'!$AA$2:$AX$151,$AI32,COLUMN()-COLUMN($J$16)+1)&gt;0,OR($D32="03. UX Discovery",$D32="04. UX Design")),IF(AND($H32&lt;&gt;"",$H32&lt;=EOMONTH(AB$12,0),$I32&gt;=AB$12),"ALL","PD+UX"),IF(AND($H32&lt;&gt;"",$H32&lt;=EOMONTH(AB$12,0),$I32&gt;=AB$12),"PD+DEV","PD")),IF(AND(INDEX('Roadmap Calc (Don’t Touch)'!$AA$2:$AX$151,$AI32,COLUMN()-COLUMN($J$16)+1)&gt;0,OR($D32="03. UX Discovery",$D32="04. UX Design")),IF(AND($H32&lt;&gt;"",$H32&lt;=EOMONTH(AB$12,0),$I32&gt;=AB$12),"UX+DEV","UX"),IF(AND($H32&lt;&gt;"",$H32&lt;=EOMONTH(AB$12,0),$I32&gt;=AB$12),"DEV",""))))</f>
      </c>
      <c r="AC32" s="158" t="str">
        <f>IF($AI32="","",IF(AND($AN32&lt;&gt;"",$AN32&lt;=EOMONTH(AC$12,0),$AO32&gt;=AC$12),IF(AND(INDEX('Roadmap Calc (Don’t Touch)'!$AA$2:$AX$151,$AI32,COLUMN()-COLUMN($J$16)+1)&gt;0,OR($D32="03. UX Discovery",$D32="04. UX Design")),IF(AND($H32&lt;&gt;"",$H32&lt;=EOMONTH(AC$12,0),$I32&gt;=AC$12),"ALL","PD+UX"),IF(AND($H32&lt;&gt;"",$H32&lt;=EOMONTH(AC$12,0),$I32&gt;=AC$12),"PD+DEV","PD")),IF(AND(INDEX('Roadmap Calc (Don’t Touch)'!$AA$2:$AX$151,$AI32,COLUMN()-COLUMN($J$16)+1)&gt;0,OR($D32="03. UX Discovery",$D32="04. UX Design")),IF(AND($H32&lt;&gt;"",$H32&lt;=EOMONTH(AC$12,0),$I32&gt;=AC$12),"UX+DEV","UX"),IF(AND($H32&lt;&gt;"",$H32&lt;=EOMONTH(AC$12,0),$I32&gt;=AC$12),"DEV",""))))</f>
      </c>
      <c r="AD32" s="158" t="str">
        <f>IF($AI32="","",IF(AND($AN32&lt;&gt;"",$AN32&lt;=EOMONTH(AD$12,0),$AO32&gt;=AD$12),IF(AND(INDEX('Roadmap Calc (Don’t Touch)'!$AA$2:$AX$151,$AI32,COLUMN()-COLUMN($J$16)+1)&gt;0,OR($D32="03. UX Discovery",$D32="04. UX Design")),IF(AND($H32&lt;&gt;"",$H32&lt;=EOMONTH(AD$12,0),$I32&gt;=AD$12),"ALL","PD+UX"),IF(AND($H32&lt;&gt;"",$H32&lt;=EOMONTH(AD$12,0),$I32&gt;=AD$12),"PD+DEV","PD")),IF(AND(INDEX('Roadmap Calc (Don’t Touch)'!$AA$2:$AX$151,$AI32,COLUMN()-COLUMN($J$16)+1)&gt;0,OR($D32="03. UX Discovery",$D32="04. UX Design")),IF(AND($H32&lt;&gt;"",$H32&lt;=EOMONTH(AD$12,0),$I32&gt;=AD$12),"UX+DEV","UX"),IF(AND($H32&lt;&gt;"",$H32&lt;=EOMONTH(AD$12,0),$I32&gt;=AD$12),"DEV",""))))</f>
      </c>
      <c r="AE32" s="158" t="str">
        <f>IF($AI32="","",IF(AND($AN32&lt;&gt;"",$AN32&lt;=EOMONTH(AE$12,0),$AO32&gt;=AE$12),IF(AND(INDEX('Roadmap Calc (Don’t Touch)'!$AA$2:$AX$151,$AI32,COLUMN()-COLUMN($J$16)+1)&gt;0,OR($D32="03. UX Discovery",$D32="04. UX Design")),IF(AND($H32&lt;&gt;"",$H32&lt;=EOMONTH(AE$12,0),$I32&gt;=AE$12),"ALL","PD+UX"),IF(AND($H32&lt;&gt;"",$H32&lt;=EOMONTH(AE$12,0),$I32&gt;=AE$12),"PD+DEV","PD")),IF(AND(INDEX('Roadmap Calc (Don’t Touch)'!$AA$2:$AX$151,$AI32,COLUMN()-COLUMN($J$16)+1)&gt;0,OR($D32="03. UX Discovery",$D32="04. UX Design")),IF(AND($H32&lt;&gt;"",$H32&lt;=EOMONTH(AE$12,0),$I32&gt;=AE$12),"UX+DEV","UX"),IF(AND($H32&lt;&gt;"",$H32&lt;=EOMONTH(AE$12,0),$I32&gt;=AE$12),"DEV",""))))</f>
      </c>
      <c r="AF32" s="158" t="str">
        <f>IF($AI32="","",IF(AND($AN32&lt;&gt;"",$AN32&lt;=EOMONTH(AF$12,0),$AO32&gt;=AF$12),IF(AND(INDEX('Roadmap Calc (Don’t Touch)'!$AA$2:$AX$151,$AI32,COLUMN()-COLUMN($J$16)+1)&gt;0,OR($D32="03. UX Discovery",$D32="04. UX Design")),IF(AND($H32&lt;&gt;"",$H32&lt;=EOMONTH(AF$12,0),$I32&gt;=AF$12),"ALL","PD+UX"),IF(AND($H32&lt;&gt;"",$H32&lt;=EOMONTH(AF$12,0),$I32&gt;=AF$12),"PD+DEV","PD")),IF(AND(INDEX('Roadmap Calc (Don’t Touch)'!$AA$2:$AX$151,$AI32,COLUMN()-COLUMN($J$16)+1)&gt;0,OR($D32="03. UX Discovery",$D32="04. UX Design")),IF(AND($H32&lt;&gt;"",$H32&lt;=EOMONTH(AF$12,0),$I32&gt;=AF$12),"UX+DEV","UX"),IF(AND($H32&lt;&gt;"",$H32&lt;=EOMONTH(AF$12,0),$I32&gt;=AF$12),"DEV",""))))</f>
      </c>
      <c r="AG32" s="158" t="str">
        <f>IF($AI32="","",IF(AND($AN32&lt;&gt;"",$AN32&lt;=EOMONTH(AG$12,0),$AO32&gt;=AG$12),IF(AND(INDEX('Roadmap Calc (Don’t Touch)'!$AA$2:$AX$151,$AI32,COLUMN()-COLUMN($J$16)+1)&gt;0,OR($D32="03. UX Discovery",$D32="04. UX Design")),IF(AND($H32&lt;&gt;"",$H32&lt;=EOMONTH(AG$12,0),$I32&gt;=AG$12),"ALL","PD+UX"),IF(AND($H32&lt;&gt;"",$H32&lt;=EOMONTH(AG$12,0),$I32&gt;=AG$12),"PD+DEV","PD")),IF(AND(INDEX('Roadmap Calc (Don’t Touch)'!$AA$2:$AX$151,$AI32,COLUMN()-COLUMN($J$16)+1)&gt;0,OR($D32="03. UX Discovery",$D32="04. UX Design")),IF(AND($H32&lt;&gt;"",$H32&lt;=EOMONTH(AG$12,0),$I32&gt;=AG$12),"UX+DEV","UX"),IF(AND($H32&lt;&gt;"",$H32&lt;=EOMONTH(AG$12,0),$I32&gt;=AG$12),"DEV",""))))</f>
      </c>
      <c r="AH32" s="145" t="str">
        <f>IF($AI32="","",INDEX('Roadmap Calc (Don’t Touch)'!$D$2:$D$151,$AI32))</f>
        <v>Increase Buy Used Awareness</v>
      </c>
      <c r="AI32" s="145">
        <f>IFERROR(MATCH(17,'Roadmap Calc (Don’t Touch)'!$O$2:$O$151,0),"")</f>
        <v>23</v>
      </c>
      <c r="AJ32" s="145"/>
      <c r="AK32" s="145"/>
      <c r="AL32" s="145"/>
      <c r="AM32" s="145"/>
      <c r="AN32">
        <f>IF($AI32="","",IF(ISNUMBER(INDEX('Roadmap Calc (Don’t Touch)'!$BB$2:$BB$151,$AI32)),INDEX('Roadmap Calc (Don’t Touch)'!$BB$2:$BB$151,$AI32),""))</f>
      </c>
      <c r="AO32">
        <f>IF($AI32="","",IF(ISNUMBER(INDEX('Roadmap Calc (Don’t Touch)'!$BC$2:$BC$151,$AI32)),INDEX('Roadmap Calc (Don’t Touch)'!$BC$2:$BC$151,$AI32),""))</f>
      </c>
    </row>
    <row r="33" spans="1:41" ht="20" customHeight="1" x14ac:dyDescent="0.25">
      <c r="A33" s="198" t="str">
        <f>IF($AI33="","",IF($AH33=$AH32,"",IF(INDEX('Roadmap Calc (Don’t Touch)'!$U$2:$U$151,$AI33)=0,$AH33,HYPERLINK("#'Control (Don’t Touch)'!E"&amp;INDEX('Roadmap Calc (Don’t Touch)'!$U$2:$U$151,$AI33),$AH33))))</f>
        <v/>
      </c>
      <c r="B33" s="159" t="str">
        <f>IF($AI33="","",IF(INDEX('Roadmap Calc (Don’t Touch)'!$K$2:$K$151,$AI33)="",INDEX('Roadmap Calc (Don’t Touch)'!$B$2:$B$151,$AI33),HYPERLINK("https://jira.bnh.com/browse/"&amp;INDEX('Roadmap Calc (Don’t Touch)'!$K$2:$K$151,$AI33),INDEX('Roadmap Calc (Don’t Touch)'!$B$2:$B$151,$AI33))))</f>
        <v>Shop By Popular Brand' Listing Pages Discovery</v>
      </c>
      <c r="C33" s="159" t="str">
        <f>IF($AI33="","",IF(INDEX('Roadmap Calc (Don’t Touch)'!$E$2:$E$151,$AI33)="","",HYPERLINK("https://jira.bnh.com/browse/"&amp;INDEX('Roadmap Calc (Don’t Touch)'!$E$2:$E$151,$AI33),INDEX('Roadmap Calc (Don’t Touch)'!$E$2:$E$151,$AI33))))</f>
        <v>BHUX-34845</v>
      </c>
      <c r="D33" s="161" t="str">
        <f>IF($AI33="","",INDEX('Roadmap Calc (Don’t Touch)'!$F$2:$F$151,$AI33))</f>
        <v>04. UX Design</v>
      </c>
      <c r="E33" s="155">
        <f>IF($AI33="","",IF(ISNUMBER(INDEX('Roadmap Calc (Don’t Touch)'!$G$2:$G$151,$AI33)),INDEX('Roadmap Calc (Don’t Touch)'!$G$2:$G$151,$AI33),""))</f>
        <v>46230</v>
      </c>
      <c r="F33" s="155">
        <f>IF($AI33="","",IF(ISNUMBER(INDEX('Roadmap Calc (Don’t Touch)'!$H$2:$H$151,$AI33)),INDEX('Roadmap Calc (Don’t Touch)'!$H$2:$H$151,$AI33),""))</f>
        <v>46272</v>
      </c>
      <c r="G33" s="156">
        <f>IF($AI33="","",INDEX('Roadmap Calc (Don’t Touch)'!$T$2:$T$151,$AI33))</f>
        <v>7</v>
      </c>
      <c r="H33" s="157">
        <f ca="1">IF($AI33="","",IF(ISNUMBER(INDEX('Roadmap Calc (Don’t Touch)'!$I$2:$I$151,$AI33)),INDEX('Roadmap Calc (Don’t Touch)'!$I$2:$I$151,$AI33),""))</f>
        <v>46327</v>
      </c>
      <c r="I33" s="157">
        <f ca="1">IF($AI33="","",IF(ISNUMBER(INDEX('Roadmap Calc (Don’t Touch)'!$J$2:$J$151,$AI33)),INDEX('Roadmap Calc (Don’t Touch)'!$J$2:$J$151,$AI33),""))</f>
        <v>46418</v>
      </c>
      <c r="J33" s="158" t="str">
        <f>IF($AI33="","",IF(AND($AN33&lt;&gt;"",$AN33&lt;=EOMONTH(J$12,0),$AO33&gt;=J$12),IF(AND(INDEX('Roadmap Calc (Don’t Touch)'!$AA$2:$AX$151,$AI33,COLUMN()-COLUMN($J$16)+1)&gt;0,OR($D33="03. UX Discovery",$D33="04. UX Design")),IF(AND($H33&lt;&gt;"",$H33&lt;=EOMONTH(J$12,0),$I33&gt;=J$12),"ALL","PD+UX"),IF(AND($H33&lt;&gt;"",$H33&lt;=EOMONTH(J$12,0),$I33&gt;=J$12),"PD+DEV","PD")),IF(AND(INDEX('Roadmap Calc (Don’t Touch)'!$AA$2:$AX$151,$AI33,COLUMN()-COLUMN($J$16)+1)&gt;0,OR($D33="03. UX Discovery",$D33="04. UX Design")),IF(AND($H33&lt;&gt;"",$H33&lt;=EOMONTH(J$12,0),$I33&gt;=J$12),"UX+DEV","UX"),IF(AND($H33&lt;&gt;"",$H33&lt;=EOMONTH(J$12,0),$I33&gt;=J$12),"DEV",""))))</f>
      </c>
      <c r="K33" s="158" t="str">
        <f>IF($AI33="","",IF(AND($AN33&lt;&gt;"",$AN33&lt;=EOMONTH(K$12,0),$AO33&gt;=K$12),IF(AND(INDEX('Roadmap Calc (Don’t Touch)'!$AA$2:$AX$151,$AI33,COLUMN()-COLUMN($J$16)+1)&gt;0,OR($D33="03. UX Discovery",$D33="04. UX Design")),IF(AND($H33&lt;&gt;"",$H33&lt;=EOMONTH(K$12,0),$I33&gt;=K$12),"ALL","PD+UX"),IF(AND($H33&lt;&gt;"",$H33&lt;=EOMONTH(K$12,0),$I33&gt;=K$12),"PD+DEV","PD")),IF(AND(INDEX('Roadmap Calc (Don’t Touch)'!$AA$2:$AX$151,$AI33,COLUMN()-COLUMN($J$16)+1)&gt;0,OR($D33="03. UX Discovery",$D33="04. UX Design")),IF(AND($H33&lt;&gt;"",$H33&lt;=EOMONTH(K$12,0),$I33&gt;=K$12),"UX+DEV","UX"),IF(AND($H33&lt;&gt;"",$H33&lt;=EOMONTH(K$12,0),$I33&gt;=K$12),"DEV",""))))</f>
      </c>
      <c r="L33" s="158" t="str">
        <f>IF($AI33="","",IF(AND($AN33&lt;&gt;"",$AN33&lt;=EOMONTH(L$12,0),$AO33&gt;=L$12),IF(AND(INDEX('Roadmap Calc (Don’t Touch)'!$AA$2:$AX$151,$AI33,COLUMN()-COLUMN($J$16)+1)&gt;0,OR($D33="03. UX Discovery",$D33="04. UX Design")),IF(AND($H33&lt;&gt;"",$H33&lt;=EOMONTH(L$12,0),$I33&gt;=L$12),"ALL","PD+UX"),IF(AND($H33&lt;&gt;"",$H33&lt;=EOMONTH(L$12,0),$I33&gt;=L$12),"PD+DEV","PD")),IF(AND(INDEX('Roadmap Calc (Don’t Touch)'!$AA$2:$AX$151,$AI33,COLUMN()-COLUMN($J$16)+1)&gt;0,OR($D33="03. UX Discovery",$D33="04. UX Design")),IF(AND($H33&lt;&gt;"",$H33&lt;=EOMONTH(L$12,0),$I33&gt;=L$12),"UX+DEV","UX"),IF(AND($H33&lt;&gt;"",$H33&lt;=EOMONTH(L$12,0),$I33&gt;=L$12),"DEV",""))))</f>
      </c>
      <c r="M33" s="158" t="str">
        <f>IF($AI33="","",IF(AND($AN33&lt;&gt;"",$AN33&lt;=EOMONTH(M$12,0),$AO33&gt;=M$12),IF(AND(INDEX('Roadmap Calc (Don’t Touch)'!$AA$2:$AX$151,$AI33,COLUMN()-COLUMN($J$16)+1)&gt;0,OR($D33="03. UX Discovery",$D33="04. UX Design")),IF(AND($H33&lt;&gt;"",$H33&lt;=EOMONTH(M$12,0),$I33&gt;=M$12),"ALL","PD+UX"),IF(AND($H33&lt;&gt;"",$H33&lt;=EOMONTH(M$12,0),$I33&gt;=M$12),"PD+DEV","PD")),IF(AND(INDEX('Roadmap Calc (Don’t Touch)'!$AA$2:$AX$151,$AI33,COLUMN()-COLUMN($J$16)+1)&gt;0,OR($D33="03. UX Discovery",$D33="04. UX Design")),IF(AND($H33&lt;&gt;"",$H33&lt;=EOMONTH(M$12,0),$I33&gt;=M$12),"UX+DEV","UX"),IF(AND($H33&lt;&gt;"",$H33&lt;=EOMONTH(M$12,0),$I33&gt;=M$12),"DEV",""))))</f>
      </c>
      <c r="N33" s="158" t="str">
        <f>IF($AI33="","",IF(AND($AN33&lt;&gt;"",$AN33&lt;=EOMONTH(N$12,0),$AO33&gt;=N$12),IF(AND(INDEX('Roadmap Calc (Don’t Touch)'!$AA$2:$AX$151,$AI33,COLUMN()-COLUMN($J$16)+1)&gt;0,OR($D33="03. UX Discovery",$D33="04. UX Design")),IF(AND($H33&lt;&gt;"",$H33&lt;=EOMONTH(N$12,0),$I33&gt;=N$12),"ALL","PD+UX"),IF(AND($H33&lt;&gt;"",$H33&lt;=EOMONTH(N$12,0),$I33&gt;=N$12),"PD+DEV","PD")),IF(AND(INDEX('Roadmap Calc (Don’t Touch)'!$AA$2:$AX$151,$AI33,COLUMN()-COLUMN($J$16)+1)&gt;0,OR($D33="03. UX Discovery",$D33="04. UX Design")),IF(AND($H33&lt;&gt;"",$H33&lt;=EOMONTH(N$12,0),$I33&gt;=N$12),"UX+DEV","UX"),IF(AND($H33&lt;&gt;"",$H33&lt;=EOMONTH(N$12,0),$I33&gt;=N$12),"DEV",""))))</f>
      </c>
      <c r="O33" s="158" t="str">
        <f>IF($AI33="","",IF(AND($AN33&lt;&gt;"",$AN33&lt;=EOMONTH(O$12,0),$AO33&gt;=O$12),IF(AND(INDEX('Roadmap Calc (Don’t Touch)'!$AA$2:$AX$151,$AI33,COLUMN()-COLUMN($J$16)+1)&gt;0,OR($D33="03. UX Discovery",$D33="04. UX Design")),IF(AND($H33&lt;&gt;"",$H33&lt;=EOMONTH(O$12,0),$I33&gt;=O$12),"ALL","PD+UX"),IF(AND($H33&lt;&gt;"",$H33&lt;=EOMONTH(O$12,0),$I33&gt;=O$12),"PD+DEV","PD")),IF(AND(INDEX('Roadmap Calc (Don’t Touch)'!$AA$2:$AX$151,$AI33,COLUMN()-COLUMN($J$16)+1)&gt;0,OR($D33="03. UX Discovery",$D33="04. UX Design")),IF(AND($H33&lt;&gt;"",$H33&lt;=EOMONTH(O$12,0),$I33&gt;=O$12),"UX+DEV","UX"),IF(AND($H33&lt;&gt;"",$H33&lt;=EOMONTH(O$12,0),$I33&gt;=O$12),"DEV",""))))</f>
      </c>
      <c r="P33" s="158" t="str">
        <f>IF($AI33="","",IF(AND($AN33&lt;&gt;"",$AN33&lt;=EOMONTH(P$12,0),$AO33&gt;=P$12),IF(AND(INDEX('Roadmap Calc (Don’t Touch)'!$AA$2:$AX$151,$AI33,COLUMN()-COLUMN($J$16)+1)&gt;0,OR($D33="03. UX Discovery",$D33="04. UX Design")),IF(AND($H33&lt;&gt;"",$H33&lt;=EOMONTH(P$12,0),$I33&gt;=P$12),"ALL","PD+UX"),IF(AND($H33&lt;&gt;"",$H33&lt;=EOMONTH(P$12,0),$I33&gt;=P$12),"PD+DEV","PD")),IF(AND(INDEX('Roadmap Calc (Don’t Touch)'!$AA$2:$AX$151,$AI33,COLUMN()-COLUMN($J$16)+1)&gt;0,OR($D33="03. UX Discovery",$D33="04. UX Design")),IF(AND($H33&lt;&gt;"",$H33&lt;=EOMONTH(P$12,0),$I33&gt;=P$12),"UX+DEV","UX"),IF(AND($H33&lt;&gt;"",$H33&lt;=EOMONTH(P$12,0),$I33&gt;=P$12),"DEV",""))))</f>
      </c>
      <c r="Q33" s="158" t="str">
        <f>IF($AI33="","",IF(AND($AN33&lt;&gt;"",$AN33&lt;=EOMONTH(Q$12,0),$AO33&gt;=Q$12),IF(AND(INDEX('Roadmap Calc (Don’t Touch)'!$AA$2:$AX$151,$AI33,COLUMN()-COLUMN($J$16)+1)&gt;0,OR($D33="03. UX Discovery",$D33="04. UX Design")),IF(AND($H33&lt;&gt;"",$H33&lt;=EOMONTH(Q$12,0),$I33&gt;=Q$12),"ALL","PD+UX"),IF(AND($H33&lt;&gt;"",$H33&lt;=EOMONTH(Q$12,0),$I33&gt;=Q$12),"PD+DEV","PD")),IF(AND(INDEX('Roadmap Calc (Don’t Touch)'!$AA$2:$AX$151,$AI33,COLUMN()-COLUMN($J$16)+1)&gt;0,OR($D33="03. UX Discovery",$D33="04. UX Design")),IF(AND($H33&lt;&gt;"",$H33&lt;=EOMONTH(Q$12,0),$I33&gt;=Q$12),"UX+DEV","UX"),IF(AND($H33&lt;&gt;"",$H33&lt;=EOMONTH(Q$12,0),$I33&gt;=Q$12),"DEV",""))))</f>
      </c>
      <c r="R33" s="158" t="str">
        <f>IF($AI33="","",IF(AND($AN33&lt;&gt;"",$AN33&lt;=EOMONTH(R$12,0),$AO33&gt;=R$12),IF(AND(INDEX('Roadmap Calc (Don’t Touch)'!$AA$2:$AX$151,$AI33,COLUMN()-COLUMN($J$16)+1)&gt;0,OR($D33="03. UX Discovery",$D33="04. UX Design")),IF(AND($H33&lt;&gt;"",$H33&lt;=EOMONTH(R$12,0),$I33&gt;=R$12),"ALL","PD+UX"),IF(AND($H33&lt;&gt;"",$H33&lt;=EOMONTH(R$12,0),$I33&gt;=R$12),"PD+DEV","PD")),IF(AND(INDEX('Roadmap Calc (Don’t Touch)'!$AA$2:$AX$151,$AI33,COLUMN()-COLUMN($J$16)+1)&gt;0,OR($D33="03. UX Discovery",$D33="04. UX Design")),IF(AND($H33&lt;&gt;"",$H33&lt;=EOMONTH(R$12,0),$I33&gt;=R$12),"UX+DEV","UX"),IF(AND($H33&lt;&gt;"",$H33&lt;=EOMONTH(R$12,0),$I33&gt;=R$12),"DEV",""))))</f>
      </c>
      <c r="S33" s="158" t="str">
        <f>IF($AI33="","",IF(AND($AN33&lt;&gt;"",$AN33&lt;=EOMONTH(S$12,0),$AO33&gt;=S$12),IF(AND(INDEX('Roadmap Calc (Don’t Touch)'!$AA$2:$AX$151,$AI33,COLUMN()-COLUMN($J$16)+1)&gt;0,OR($D33="03. UX Discovery",$D33="04. UX Design")),IF(AND($H33&lt;&gt;"",$H33&lt;=EOMONTH(S$12,0),$I33&gt;=S$12),"ALL","PD+UX"),IF(AND($H33&lt;&gt;"",$H33&lt;=EOMONTH(S$12,0),$I33&gt;=S$12),"PD+DEV","PD")),IF(AND(INDEX('Roadmap Calc (Don’t Touch)'!$AA$2:$AX$151,$AI33,COLUMN()-COLUMN($J$16)+1)&gt;0,OR($D33="03. UX Discovery",$D33="04. UX Design")),IF(AND($H33&lt;&gt;"",$H33&lt;=EOMONTH(S$12,0),$I33&gt;=S$12),"UX+DEV","UX"),IF(AND($H33&lt;&gt;"",$H33&lt;=EOMONTH(S$12,0),$I33&gt;=S$12),"DEV",""))))</f>
      </c>
      <c r="T33" s="158" t="str">
        <f>IF($AI33="","",IF(AND($AN33&lt;&gt;"",$AN33&lt;=EOMONTH(T$12,0),$AO33&gt;=T$12),IF(AND(INDEX('Roadmap Calc (Don’t Touch)'!$AA$2:$AX$151,$AI33,COLUMN()-COLUMN($J$16)+1)&gt;0,OR($D33="03. UX Discovery",$D33="04. UX Design")),IF(AND($H33&lt;&gt;"",$H33&lt;=EOMONTH(T$12,0),$I33&gt;=T$12),"ALL","PD+UX"),IF(AND($H33&lt;&gt;"",$H33&lt;=EOMONTH(T$12,0),$I33&gt;=T$12),"PD+DEV","PD")),IF(AND(INDEX('Roadmap Calc (Don’t Touch)'!$AA$2:$AX$151,$AI33,COLUMN()-COLUMN($J$16)+1)&gt;0,OR($D33="03. UX Discovery",$D33="04. UX Design")),IF(AND($H33&lt;&gt;"",$H33&lt;=EOMONTH(T$12,0),$I33&gt;=T$12),"UX+DEV","UX"),IF(AND($H33&lt;&gt;"",$H33&lt;=EOMONTH(T$12,0),$I33&gt;=T$12),"DEV",""))))</f>
      </c>
      <c r="U33" s="158" t="str">
        <f>IF($AI33="","",IF(AND($AN33&lt;&gt;"",$AN33&lt;=EOMONTH(U$12,0),$AO33&gt;=U$12),IF(AND(INDEX('Roadmap Calc (Don’t Touch)'!$AA$2:$AX$151,$AI33,COLUMN()-COLUMN($J$16)+1)&gt;0,OR($D33="03. UX Discovery",$D33="04. UX Design")),IF(AND($H33&lt;&gt;"",$H33&lt;=EOMONTH(U$12,0),$I33&gt;=U$12),"ALL","PD+UX"),IF(AND($H33&lt;&gt;"",$H33&lt;=EOMONTH(U$12,0),$I33&gt;=U$12),"PD+DEV","PD")),IF(AND(INDEX('Roadmap Calc (Don’t Touch)'!$AA$2:$AX$151,$AI33,COLUMN()-COLUMN($J$16)+1)&gt;0,OR($D33="03. UX Discovery",$D33="04. UX Design")),IF(AND($H33&lt;&gt;"",$H33&lt;=EOMONTH(U$12,0),$I33&gt;=U$12),"UX+DEV","UX"),IF(AND($H33&lt;&gt;"",$H33&lt;=EOMONTH(U$12,0),$I33&gt;=U$12),"DEV",""))))</f>
      </c>
      <c r="V33" s="158" t="str">
        <f>IF($AI33="","",IF(AND($AN33&lt;&gt;"",$AN33&lt;=EOMONTH(V$12,0),$AO33&gt;=V$12),IF(AND(INDEX('Roadmap Calc (Don’t Touch)'!$AA$2:$AX$151,$AI33,COLUMN()-COLUMN($J$16)+1)&gt;0,OR($D33="03. UX Discovery",$D33="04. UX Design")),IF(AND($H33&lt;&gt;"",$H33&lt;=EOMONTH(V$12,0),$I33&gt;=V$12),"ALL","PD+UX"),IF(AND($H33&lt;&gt;"",$H33&lt;=EOMONTH(V$12,0),$I33&gt;=V$12),"PD+DEV","PD")),IF(AND(INDEX('Roadmap Calc (Don’t Touch)'!$AA$2:$AX$151,$AI33,COLUMN()-COLUMN($J$16)+1)&gt;0,OR($D33="03. UX Discovery",$D33="04. UX Design")),IF(AND($H33&lt;&gt;"",$H33&lt;=EOMONTH(V$12,0),$I33&gt;=V$12),"UX+DEV","UX"),IF(AND($H33&lt;&gt;"",$H33&lt;=EOMONTH(V$12,0),$I33&gt;=V$12),"DEV",""))))</f>
      </c>
      <c r="W33" s="158" t="str">
        <f>IF($AI33="","",IF(AND($AN33&lt;&gt;"",$AN33&lt;=EOMONTH(W$12,0),$AO33&gt;=W$12),IF(AND(INDEX('Roadmap Calc (Don’t Touch)'!$AA$2:$AX$151,$AI33,COLUMN()-COLUMN($J$16)+1)&gt;0,OR($D33="03. UX Discovery",$D33="04. UX Design")),IF(AND($H33&lt;&gt;"",$H33&lt;=EOMONTH(W$12,0),$I33&gt;=W$12),"ALL","PD+UX"),IF(AND($H33&lt;&gt;"",$H33&lt;=EOMONTH(W$12,0),$I33&gt;=W$12),"PD+DEV","PD")),IF(AND(INDEX('Roadmap Calc (Don’t Touch)'!$AA$2:$AX$151,$AI33,COLUMN()-COLUMN($J$16)+1)&gt;0,OR($D33="03. UX Discovery",$D33="04. UX Design")),IF(AND($H33&lt;&gt;"",$H33&lt;=EOMONTH(W$12,0),$I33&gt;=W$12),"UX+DEV","UX"),IF(AND($H33&lt;&gt;"",$H33&lt;=EOMONTH(W$12,0),$I33&gt;=W$12),"DEV",""))))</f>
      </c>
      <c r="X33" s="158" t="str">
        <f>IF($AI33="","",IF(AND($AN33&lt;&gt;"",$AN33&lt;=EOMONTH(X$12,0),$AO33&gt;=X$12),IF(AND(INDEX('Roadmap Calc (Don’t Touch)'!$AA$2:$AX$151,$AI33,COLUMN()-COLUMN($J$16)+1)&gt;0,OR($D33="03. UX Discovery",$D33="04. UX Design")),IF(AND($H33&lt;&gt;"",$H33&lt;=EOMONTH(X$12,0),$I33&gt;=X$12),"ALL","PD+UX"),IF(AND($H33&lt;&gt;"",$H33&lt;=EOMONTH(X$12,0),$I33&gt;=X$12),"PD+DEV","PD")),IF(AND(INDEX('Roadmap Calc (Don’t Touch)'!$AA$2:$AX$151,$AI33,COLUMN()-COLUMN($J$16)+1)&gt;0,OR($D33="03. UX Discovery",$D33="04. UX Design")),IF(AND($H33&lt;&gt;"",$H33&lt;=EOMONTH(X$12,0),$I33&gt;=X$12),"UX+DEV","UX"),IF(AND($H33&lt;&gt;"",$H33&lt;=EOMONTH(X$12,0),$I33&gt;=X$12),"DEV",""))))</f>
      </c>
      <c r="Y33" s="158" t="str">
        <f>IF($AI33="","",IF(AND($AN33&lt;&gt;"",$AN33&lt;=EOMONTH(Y$12,0),$AO33&gt;=Y$12),IF(AND(INDEX('Roadmap Calc (Don’t Touch)'!$AA$2:$AX$151,$AI33,COLUMN()-COLUMN($J$16)+1)&gt;0,OR($D33="03. UX Discovery",$D33="04. UX Design")),IF(AND($H33&lt;&gt;"",$H33&lt;=EOMONTH(Y$12,0),$I33&gt;=Y$12),"ALL","PD+UX"),IF(AND($H33&lt;&gt;"",$H33&lt;=EOMONTH(Y$12,0),$I33&gt;=Y$12),"PD+DEV","PD")),IF(AND(INDEX('Roadmap Calc (Don’t Touch)'!$AA$2:$AX$151,$AI33,COLUMN()-COLUMN($J$16)+1)&gt;0,OR($D33="03. UX Discovery",$D33="04. UX Design")),IF(AND($H33&lt;&gt;"",$H33&lt;=EOMONTH(Y$12,0),$I33&gt;=Y$12),"UX+DEV","UX"),IF(AND($H33&lt;&gt;"",$H33&lt;=EOMONTH(Y$12,0),$I33&gt;=Y$12),"DEV",""))))</f>
      </c>
      <c r="Z33" s="158" t="str">
        <f>IF($AI33="","",IF(AND($AN33&lt;&gt;"",$AN33&lt;=EOMONTH(Z$12,0),$AO33&gt;=Z$12),IF(AND(INDEX('Roadmap Calc (Don’t Touch)'!$AA$2:$AX$151,$AI33,COLUMN()-COLUMN($J$16)+1)&gt;0,OR($D33="03. UX Discovery",$D33="04. UX Design")),IF(AND($H33&lt;&gt;"",$H33&lt;=EOMONTH(Z$12,0),$I33&gt;=Z$12),"ALL","PD+UX"),IF(AND($H33&lt;&gt;"",$H33&lt;=EOMONTH(Z$12,0),$I33&gt;=Z$12),"PD+DEV","PD")),IF(AND(INDEX('Roadmap Calc (Don’t Touch)'!$AA$2:$AX$151,$AI33,COLUMN()-COLUMN($J$16)+1)&gt;0,OR($D33="03. UX Discovery",$D33="04. UX Design")),IF(AND($H33&lt;&gt;"",$H33&lt;=EOMONTH(Z$12,0),$I33&gt;=Z$12),"UX+DEV","UX"),IF(AND($H33&lt;&gt;"",$H33&lt;=EOMONTH(Z$12,0),$I33&gt;=Z$12),"DEV",""))))</f>
      </c>
      <c r="AA33" s="158" t="str">
        <f>IF($AI33="","",IF(AND($AN33&lt;&gt;"",$AN33&lt;=EOMONTH(AA$12,0),$AO33&gt;=AA$12),IF(AND(INDEX('Roadmap Calc (Don’t Touch)'!$AA$2:$AX$151,$AI33,COLUMN()-COLUMN($J$16)+1)&gt;0,OR($D33="03. UX Discovery",$D33="04. UX Design")),IF(AND($H33&lt;&gt;"",$H33&lt;=EOMONTH(AA$12,0),$I33&gt;=AA$12),"ALL","PD+UX"),IF(AND($H33&lt;&gt;"",$H33&lt;=EOMONTH(AA$12,0),$I33&gt;=AA$12),"PD+DEV","PD")),IF(AND(INDEX('Roadmap Calc (Don’t Touch)'!$AA$2:$AX$151,$AI33,COLUMN()-COLUMN($J$16)+1)&gt;0,OR($D33="03. UX Discovery",$D33="04. UX Design")),IF(AND($H33&lt;&gt;"",$H33&lt;=EOMONTH(AA$12,0),$I33&gt;=AA$12),"UX+DEV","UX"),IF(AND($H33&lt;&gt;"",$H33&lt;=EOMONTH(AA$12,0),$I33&gt;=AA$12),"DEV",""))))</f>
      </c>
      <c r="AB33" s="158" t="str">
        <f>IF($AI33="","",IF(AND($AN33&lt;&gt;"",$AN33&lt;=EOMONTH(AB$12,0),$AO33&gt;=AB$12),IF(AND(INDEX('Roadmap Calc (Don’t Touch)'!$AA$2:$AX$151,$AI33,COLUMN()-COLUMN($J$16)+1)&gt;0,OR($D33="03. UX Discovery",$D33="04. UX Design")),IF(AND($H33&lt;&gt;"",$H33&lt;=EOMONTH(AB$12,0),$I33&gt;=AB$12),"ALL","PD+UX"),IF(AND($H33&lt;&gt;"",$H33&lt;=EOMONTH(AB$12,0),$I33&gt;=AB$12),"PD+DEV","PD")),IF(AND(INDEX('Roadmap Calc (Don’t Touch)'!$AA$2:$AX$151,$AI33,COLUMN()-COLUMN($J$16)+1)&gt;0,OR($D33="03. UX Discovery",$D33="04. UX Design")),IF(AND($H33&lt;&gt;"",$H33&lt;=EOMONTH(AB$12,0),$I33&gt;=AB$12),"UX+DEV","UX"),IF(AND($H33&lt;&gt;"",$H33&lt;=EOMONTH(AB$12,0),$I33&gt;=AB$12),"DEV",""))))</f>
      </c>
      <c r="AC33" s="158" t="str">
        <f>IF($AI33="","",IF(AND($AN33&lt;&gt;"",$AN33&lt;=EOMONTH(AC$12,0),$AO33&gt;=AC$12),IF(AND(INDEX('Roadmap Calc (Don’t Touch)'!$AA$2:$AX$151,$AI33,COLUMN()-COLUMN($J$16)+1)&gt;0,OR($D33="03. UX Discovery",$D33="04. UX Design")),IF(AND($H33&lt;&gt;"",$H33&lt;=EOMONTH(AC$12,0),$I33&gt;=AC$12),"ALL","PD+UX"),IF(AND($H33&lt;&gt;"",$H33&lt;=EOMONTH(AC$12,0),$I33&gt;=AC$12),"PD+DEV","PD")),IF(AND(INDEX('Roadmap Calc (Don’t Touch)'!$AA$2:$AX$151,$AI33,COLUMN()-COLUMN($J$16)+1)&gt;0,OR($D33="03. UX Discovery",$D33="04. UX Design")),IF(AND($H33&lt;&gt;"",$H33&lt;=EOMONTH(AC$12,0),$I33&gt;=AC$12),"UX+DEV","UX"),IF(AND($H33&lt;&gt;"",$H33&lt;=EOMONTH(AC$12,0),$I33&gt;=AC$12),"DEV",""))))</f>
      </c>
      <c r="AD33" s="158" t="str">
        <f>IF($AI33="","",IF(AND($AN33&lt;&gt;"",$AN33&lt;=EOMONTH(AD$12,0),$AO33&gt;=AD$12),IF(AND(INDEX('Roadmap Calc (Don’t Touch)'!$AA$2:$AX$151,$AI33,COLUMN()-COLUMN($J$16)+1)&gt;0,OR($D33="03. UX Discovery",$D33="04. UX Design")),IF(AND($H33&lt;&gt;"",$H33&lt;=EOMONTH(AD$12,0),$I33&gt;=AD$12),"ALL","PD+UX"),IF(AND($H33&lt;&gt;"",$H33&lt;=EOMONTH(AD$12,0),$I33&gt;=AD$12),"PD+DEV","PD")),IF(AND(INDEX('Roadmap Calc (Don’t Touch)'!$AA$2:$AX$151,$AI33,COLUMN()-COLUMN($J$16)+1)&gt;0,OR($D33="03. UX Discovery",$D33="04. UX Design")),IF(AND($H33&lt;&gt;"",$H33&lt;=EOMONTH(AD$12,0),$I33&gt;=AD$12),"UX+DEV","UX"),IF(AND($H33&lt;&gt;"",$H33&lt;=EOMONTH(AD$12,0),$I33&gt;=AD$12),"DEV",""))))</f>
      </c>
      <c r="AE33" s="158" t="str">
        <f>IF($AI33="","",IF(AND($AN33&lt;&gt;"",$AN33&lt;=EOMONTH(AE$12,0),$AO33&gt;=AE$12),IF(AND(INDEX('Roadmap Calc (Don’t Touch)'!$AA$2:$AX$151,$AI33,COLUMN()-COLUMN($J$16)+1)&gt;0,OR($D33="03. UX Discovery",$D33="04. UX Design")),IF(AND($H33&lt;&gt;"",$H33&lt;=EOMONTH(AE$12,0),$I33&gt;=AE$12),"ALL","PD+UX"),IF(AND($H33&lt;&gt;"",$H33&lt;=EOMONTH(AE$12,0),$I33&gt;=AE$12),"PD+DEV","PD")),IF(AND(INDEX('Roadmap Calc (Don’t Touch)'!$AA$2:$AX$151,$AI33,COLUMN()-COLUMN($J$16)+1)&gt;0,OR($D33="03. UX Discovery",$D33="04. UX Design")),IF(AND($H33&lt;&gt;"",$H33&lt;=EOMONTH(AE$12,0),$I33&gt;=AE$12),"UX+DEV","UX"),IF(AND($H33&lt;&gt;"",$H33&lt;=EOMONTH(AE$12,0),$I33&gt;=AE$12),"DEV",""))))</f>
      </c>
      <c r="AF33" s="158" t="str">
        <f>IF($AI33="","",IF(AND($AN33&lt;&gt;"",$AN33&lt;=EOMONTH(AF$12,0),$AO33&gt;=AF$12),IF(AND(INDEX('Roadmap Calc (Don’t Touch)'!$AA$2:$AX$151,$AI33,COLUMN()-COLUMN($J$16)+1)&gt;0,OR($D33="03. UX Discovery",$D33="04. UX Design")),IF(AND($H33&lt;&gt;"",$H33&lt;=EOMONTH(AF$12,0),$I33&gt;=AF$12),"ALL","PD+UX"),IF(AND($H33&lt;&gt;"",$H33&lt;=EOMONTH(AF$12,0),$I33&gt;=AF$12),"PD+DEV","PD")),IF(AND(INDEX('Roadmap Calc (Don’t Touch)'!$AA$2:$AX$151,$AI33,COLUMN()-COLUMN($J$16)+1)&gt;0,OR($D33="03. UX Discovery",$D33="04. UX Design")),IF(AND($H33&lt;&gt;"",$H33&lt;=EOMONTH(AF$12,0),$I33&gt;=AF$12),"UX+DEV","UX"),IF(AND($H33&lt;&gt;"",$H33&lt;=EOMONTH(AF$12,0),$I33&gt;=AF$12),"DEV",""))))</f>
      </c>
      <c r="AG33" s="158" t="str">
        <f>IF($AI33="","",IF(AND($AN33&lt;&gt;"",$AN33&lt;=EOMONTH(AG$12,0),$AO33&gt;=AG$12),IF(AND(INDEX('Roadmap Calc (Don’t Touch)'!$AA$2:$AX$151,$AI33,COLUMN()-COLUMN($J$16)+1)&gt;0,OR($D33="03. UX Discovery",$D33="04. UX Design")),IF(AND($H33&lt;&gt;"",$H33&lt;=EOMONTH(AG$12,0),$I33&gt;=AG$12),"ALL","PD+UX"),IF(AND($H33&lt;&gt;"",$H33&lt;=EOMONTH(AG$12,0),$I33&gt;=AG$12),"PD+DEV","PD")),IF(AND(INDEX('Roadmap Calc (Don’t Touch)'!$AA$2:$AX$151,$AI33,COLUMN()-COLUMN($J$16)+1)&gt;0,OR($D33="03. UX Discovery",$D33="04. UX Design")),IF(AND($H33&lt;&gt;"",$H33&lt;=EOMONTH(AG$12,0),$I33&gt;=AG$12),"UX+DEV","UX"),IF(AND($H33&lt;&gt;"",$H33&lt;=EOMONTH(AG$12,0),$I33&gt;=AG$12),"DEV",""))))</f>
      </c>
      <c r="AH33" s="145" t="str">
        <f>IF($AI33="","",INDEX('Roadmap Calc (Don’t Touch)'!$D$2:$D$151,$AI33))</f>
        <v>Increase Buy Used Awareness</v>
      </c>
      <c r="AI33" s="145">
        <f>IFERROR(MATCH(18,'Roadmap Calc (Don’t Touch)'!$O$2:$O$151,0),"")</f>
        <v>24</v>
      </c>
      <c r="AJ33" s="145"/>
      <c r="AK33" s="145"/>
      <c r="AL33" s="145"/>
      <c r="AM33" s="145"/>
      <c r="AN33">
        <f>IF($AI33="","",IF(ISNUMBER(INDEX('Roadmap Calc (Don’t Touch)'!$BB$2:$BB$151,$AI33)),INDEX('Roadmap Calc (Don’t Touch)'!$BB$2:$BB$151,$AI33),""))</f>
      </c>
      <c r="AO33">
        <f>IF($AI33="","",IF(ISNUMBER(INDEX('Roadmap Calc (Don’t Touch)'!$BC$2:$BC$151,$AI33)),INDEX('Roadmap Calc (Don’t Touch)'!$BC$2:$BC$151,$AI33),""))</f>
      </c>
    </row>
    <row r="34" spans="1:41" ht="20" customHeight="1" x14ac:dyDescent="0.25">
      <c r="A34" s="198" t="str">
        <f>IF($AI34="","",IF($AH34=$AH33,"",IF(INDEX('Roadmap Calc (Don’t Touch)'!$U$2:$U$151,$AI34)=0,$AH34,HYPERLINK("#'Control (Don’t Touch)'!E"&amp;INDEX('Roadmap Calc (Don’t Touch)'!$U$2:$U$151,$AI34),$AH34))))</f>
        <v/>
      </c>
      <c r="B34" s="159" t="str">
        <f>IF($AI34="","",IF(INDEX('Roadmap Calc (Don’t Touch)'!$K$2:$K$151,$AI34)="",INDEX('Roadmap Calc (Don’t Touch)'!$B$2:$B$151,$AI34),HYPERLINK("https://jira.bnh.com/browse/"&amp;INDEX('Roadmap Calc (Don’t Touch)'!$K$2:$K$151,$AI34),INDEX('Roadmap Calc (Don’t Touch)'!$B$2:$B$151,$AI34))))</f>
        <v>My Account &gt; Trade In Awareness</v>
      </c>
      <c r="C34" s="159" t="str">
        <f>IF($AI34="","",IF(INDEX('Roadmap Calc (Don’t Touch)'!$E$2:$E$151,$AI34)="","",HYPERLINK("https://jira.bnh.com/browse/"&amp;INDEX('Roadmap Calc (Don’t Touch)'!$E$2:$E$151,$AI34),INDEX('Roadmap Calc (Don’t Touch)'!$E$2:$E$151,$AI34))))</f>
        <v>BHUX-35010</v>
      </c>
      <c r="D34" s="161" t="str">
        <f>IF($AI34="","",INDEX('Roadmap Calc (Don’t Touch)'!$F$2:$F$151,$AI34))</f>
        <v>04. UX Design</v>
      </c>
      <c r="E34" s="155">
        <f>IF($AI34="","",IF(ISNUMBER(INDEX('Roadmap Calc (Don’t Touch)'!$G$2:$G$151,$AI34)),INDEX('Roadmap Calc (Don’t Touch)'!$G$2:$G$151,$AI34),""))</f>
        <v>46244</v>
      </c>
      <c r="F34" s="155">
        <f>IF($AI34="","",IF(ISNUMBER(INDEX('Roadmap Calc (Don’t Touch)'!$H$2:$H$151,$AI34)),INDEX('Roadmap Calc (Don’t Touch)'!$H$2:$H$151,$AI34),""))</f>
        <v>46258</v>
      </c>
      <c r="G34" s="156">
        <f>IF($AI34="","",INDEX('Roadmap Calc (Don’t Touch)'!$T$2:$T$151,$AI34))</f>
        <v>3</v>
      </c>
      <c r="H34" s="157">
        <f ca="1">IF($AI34="","",IF(ISNUMBER(INDEX('Roadmap Calc (Don’t Touch)'!$I$2:$I$151,$AI34)),INDEX('Roadmap Calc (Don’t Touch)'!$I$2:$I$151,$AI34),""))</f>
        <v>46357</v>
      </c>
      <c r="I34" s="157">
        <f ca="1">IF($AI34="","",IF(ISNUMBER(INDEX('Roadmap Calc (Don’t Touch)'!$J$2:$J$151,$AI34)),INDEX('Roadmap Calc (Don’t Touch)'!$J$2:$J$151,$AI34),""))</f>
        <v>46387</v>
      </c>
      <c r="J34" s="158" t="str">
        <f>IF($AI34="","",IF(AND($AN34&lt;&gt;"",$AN34&lt;=EOMONTH(J$12,0),$AO34&gt;=J$12),IF(AND(INDEX('Roadmap Calc (Don’t Touch)'!$AA$2:$AX$151,$AI34,COLUMN()-COLUMN($J$16)+1)&gt;0,OR($D34="03. UX Discovery",$D34="04. UX Design")),IF(AND($H34&lt;&gt;"",$H34&lt;=EOMONTH(J$12,0),$I34&gt;=J$12),"ALL","PD+UX"),IF(AND($H34&lt;&gt;"",$H34&lt;=EOMONTH(J$12,0),$I34&gt;=J$12),"PD+DEV","PD")),IF(AND(INDEX('Roadmap Calc (Don’t Touch)'!$AA$2:$AX$151,$AI34,COLUMN()-COLUMN($J$16)+1)&gt;0,OR($D34="03. UX Discovery",$D34="04. UX Design")),IF(AND($H34&lt;&gt;"",$H34&lt;=EOMONTH(J$12,0),$I34&gt;=J$12),"UX+DEV","UX"),IF(AND($H34&lt;&gt;"",$H34&lt;=EOMONTH(J$12,0),$I34&gt;=J$12),"DEV",""))))</f>
      </c>
      <c r="K34" s="158" t="str">
        <f>IF($AI34="","",IF(AND($AN34&lt;&gt;"",$AN34&lt;=EOMONTH(K$12,0),$AO34&gt;=K$12),IF(AND(INDEX('Roadmap Calc (Don’t Touch)'!$AA$2:$AX$151,$AI34,COLUMN()-COLUMN($J$16)+1)&gt;0,OR($D34="03. UX Discovery",$D34="04. UX Design")),IF(AND($H34&lt;&gt;"",$H34&lt;=EOMONTH(K$12,0),$I34&gt;=K$12),"ALL","PD+UX"),IF(AND($H34&lt;&gt;"",$H34&lt;=EOMONTH(K$12,0),$I34&gt;=K$12),"PD+DEV","PD")),IF(AND(INDEX('Roadmap Calc (Don’t Touch)'!$AA$2:$AX$151,$AI34,COLUMN()-COLUMN($J$16)+1)&gt;0,OR($D34="03. UX Discovery",$D34="04. UX Design")),IF(AND($H34&lt;&gt;"",$H34&lt;=EOMONTH(K$12,0),$I34&gt;=K$12),"UX+DEV","UX"),IF(AND($H34&lt;&gt;"",$H34&lt;=EOMONTH(K$12,0),$I34&gt;=K$12),"DEV",""))))</f>
      </c>
      <c r="L34" s="158" t="str">
        <f>IF($AI34="","",IF(AND($AN34&lt;&gt;"",$AN34&lt;=EOMONTH(L$12,0),$AO34&gt;=L$12),IF(AND(INDEX('Roadmap Calc (Don’t Touch)'!$AA$2:$AX$151,$AI34,COLUMN()-COLUMN($J$16)+1)&gt;0,OR($D34="03. UX Discovery",$D34="04. UX Design")),IF(AND($H34&lt;&gt;"",$H34&lt;=EOMONTH(L$12,0),$I34&gt;=L$12),"ALL","PD+UX"),IF(AND($H34&lt;&gt;"",$H34&lt;=EOMONTH(L$12,0),$I34&gt;=L$12),"PD+DEV","PD")),IF(AND(INDEX('Roadmap Calc (Don’t Touch)'!$AA$2:$AX$151,$AI34,COLUMN()-COLUMN($J$16)+1)&gt;0,OR($D34="03. UX Discovery",$D34="04. UX Design")),IF(AND($H34&lt;&gt;"",$H34&lt;=EOMONTH(L$12,0),$I34&gt;=L$12),"UX+DEV","UX"),IF(AND($H34&lt;&gt;"",$H34&lt;=EOMONTH(L$12,0),$I34&gt;=L$12),"DEV",""))))</f>
      </c>
      <c r="M34" s="158" t="str">
        <f>IF($AI34="","",IF(AND($AN34&lt;&gt;"",$AN34&lt;=EOMONTH(M$12,0),$AO34&gt;=M$12),IF(AND(INDEX('Roadmap Calc (Don’t Touch)'!$AA$2:$AX$151,$AI34,COLUMN()-COLUMN($J$16)+1)&gt;0,OR($D34="03. UX Discovery",$D34="04. UX Design")),IF(AND($H34&lt;&gt;"",$H34&lt;=EOMONTH(M$12,0),$I34&gt;=M$12),"ALL","PD+UX"),IF(AND($H34&lt;&gt;"",$H34&lt;=EOMONTH(M$12,0),$I34&gt;=M$12),"PD+DEV","PD")),IF(AND(INDEX('Roadmap Calc (Don’t Touch)'!$AA$2:$AX$151,$AI34,COLUMN()-COLUMN($J$16)+1)&gt;0,OR($D34="03. UX Discovery",$D34="04. UX Design")),IF(AND($H34&lt;&gt;"",$H34&lt;=EOMONTH(M$12,0),$I34&gt;=M$12),"UX+DEV","UX"),IF(AND($H34&lt;&gt;"",$H34&lt;=EOMONTH(M$12,0),$I34&gt;=M$12),"DEV",""))))</f>
      </c>
      <c r="N34" s="158" t="str">
        <f>IF($AI34="","",IF(AND($AN34&lt;&gt;"",$AN34&lt;=EOMONTH(N$12,0),$AO34&gt;=N$12),IF(AND(INDEX('Roadmap Calc (Don’t Touch)'!$AA$2:$AX$151,$AI34,COLUMN()-COLUMN($J$16)+1)&gt;0,OR($D34="03. UX Discovery",$D34="04. UX Design")),IF(AND($H34&lt;&gt;"",$H34&lt;=EOMONTH(N$12,0),$I34&gt;=N$12),"ALL","PD+UX"),IF(AND($H34&lt;&gt;"",$H34&lt;=EOMONTH(N$12,0),$I34&gt;=N$12),"PD+DEV","PD")),IF(AND(INDEX('Roadmap Calc (Don’t Touch)'!$AA$2:$AX$151,$AI34,COLUMN()-COLUMN($J$16)+1)&gt;0,OR($D34="03. UX Discovery",$D34="04. UX Design")),IF(AND($H34&lt;&gt;"",$H34&lt;=EOMONTH(N$12,0),$I34&gt;=N$12),"UX+DEV","UX"),IF(AND($H34&lt;&gt;"",$H34&lt;=EOMONTH(N$12,0),$I34&gt;=N$12),"DEV",""))))</f>
      </c>
      <c r="O34" s="158" t="str">
        <f>IF($AI34="","",IF(AND($AN34&lt;&gt;"",$AN34&lt;=EOMONTH(O$12,0),$AO34&gt;=O$12),IF(AND(INDEX('Roadmap Calc (Don’t Touch)'!$AA$2:$AX$151,$AI34,COLUMN()-COLUMN($J$16)+1)&gt;0,OR($D34="03. UX Discovery",$D34="04. UX Design")),IF(AND($H34&lt;&gt;"",$H34&lt;=EOMONTH(O$12,0),$I34&gt;=O$12),"ALL","PD+UX"),IF(AND($H34&lt;&gt;"",$H34&lt;=EOMONTH(O$12,0),$I34&gt;=O$12),"PD+DEV","PD")),IF(AND(INDEX('Roadmap Calc (Don’t Touch)'!$AA$2:$AX$151,$AI34,COLUMN()-COLUMN($J$16)+1)&gt;0,OR($D34="03. UX Discovery",$D34="04. UX Design")),IF(AND($H34&lt;&gt;"",$H34&lt;=EOMONTH(O$12,0),$I34&gt;=O$12),"UX+DEV","UX"),IF(AND($H34&lt;&gt;"",$H34&lt;=EOMONTH(O$12,0),$I34&gt;=O$12),"DEV",""))))</f>
      </c>
      <c r="P34" s="158" t="str">
        <f>IF($AI34="","",IF(AND($AN34&lt;&gt;"",$AN34&lt;=EOMONTH(P$12,0),$AO34&gt;=P$12),IF(AND(INDEX('Roadmap Calc (Don’t Touch)'!$AA$2:$AX$151,$AI34,COLUMN()-COLUMN($J$16)+1)&gt;0,OR($D34="03. UX Discovery",$D34="04. UX Design")),IF(AND($H34&lt;&gt;"",$H34&lt;=EOMONTH(P$12,0),$I34&gt;=P$12),"ALL","PD+UX"),IF(AND($H34&lt;&gt;"",$H34&lt;=EOMONTH(P$12,0),$I34&gt;=P$12),"PD+DEV","PD")),IF(AND(INDEX('Roadmap Calc (Don’t Touch)'!$AA$2:$AX$151,$AI34,COLUMN()-COLUMN($J$16)+1)&gt;0,OR($D34="03. UX Discovery",$D34="04. UX Design")),IF(AND($H34&lt;&gt;"",$H34&lt;=EOMONTH(P$12,0),$I34&gt;=P$12),"UX+DEV","UX"),IF(AND($H34&lt;&gt;"",$H34&lt;=EOMONTH(P$12,0),$I34&gt;=P$12),"DEV",""))))</f>
      </c>
      <c r="Q34" s="158" t="str">
        <f>IF($AI34="","",IF(AND($AN34&lt;&gt;"",$AN34&lt;=EOMONTH(Q$12,0),$AO34&gt;=Q$12),IF(AND(INDEX('Roadmap Calc (Don’t Touch)'!$AA$2:$AX$151,$AI34,COLUMN()-COLUMN($J$16)+1)&gt;0,OR($D34="03. UX Discovery",$D34="04. UX Design")),IF(AND($H34&lt;&gt;"",$H34&lt;=EOMONTH(Q$12,0),$I34&gt;=Q$12),"ALL","PD+UX"),IF(AND($H34&lt;&gt;"",$H34&lt;=EOMONTH(Q$12,0),$I34&gt;=Q$12),"PD+DEV","PD")),IF(AND(INDEX('Roadmap Calc (Don’t Touch)'!$AA$2:$AX$151,$AI34,COLUMN()-COLUMN($J$16)+1)&gt;0,OR($D34="03. UX Discovery",$D34="04. UX Design")),IF(AND($H34&lt;&gt;"",$H34&lt;=EOMONTH(Q$12,0),$I34&gt;=Q$12),"UX+DEV","UX"),IF(AND($H34&lt;&gt;"",$H34&lt;=EOMONTH(Q$12,0),$I34&gt;=Q$12),"DEV",""))))</f>
      </c>
      <c r="R34" s="158" t="str">
        <f>IF($AI34="","",IF(AND($AN34&lt;&gt;"",$AN34&lt;=EOMONTH(R$12,0),$AO34&gt;=R$12),IF(AND(INDEX('Roadmap Calc (Don’t Touch)'!$AA$2:$AX$151,$AI34,COLUMN()-COLUMN($J$16)+1)&gt;0,OR($D34="03. UX Discovery",$D34="04. UX Design")),IF(AND($H34&lt;&gt;"",$H34&lt;=EOMONTH(R$12,0),$I34&gt;=R$12),"ALL","PD+UX"),IF(AND($H34&lt;&gt;"",$H34&lt;=EOMONTH(R$12,0),$I34&gt;=R$12),"PD+DEV","PD")),IF(AND(INDEX('Roadmap Calc (Don’t Touch)'!$AA$2:$AX$151,$AI34,COLUMN()-COLUMN($J$16)+1)&gt;0,OR($D34="03. UX Discovery",$D34="04. UX Design")),IF(AND($H34&lt;&gt;"",$H34&lt;=EOMONTH(R$12,0),$I34&gt;=R$12),"UX+DEV","UX"),IF(AND($H34&lt;&gt;"",$H34&lt;=EOMONTH(R$12,0),$I34&gt;=R$12),"DEV",""))))</f>
      </c>
      <c r="S34" s="158" t="str">
        <f>IF($AI34="","",IF(AND($AN34&lt;&gt;"",$AN34&lt;=EOMONTH(S$12,0),$AO34&gt;=S$12),IF(AND(INDEX('Roadmap Calc (Don’t Touch)'!$AA$2:$AX$151,$AI34,COLUMN()-COLUMN($J$16)+1)&gt;0,OR($D34="03. UX Discovery",$D34="04. UX Design")),IF(AND($H34&lt;&gt;"",$H34&lt;=EOMONTH(S$12,0),$I34&gt;=S$12),"ALL","PD+UX"),IF(AND($H34&lt;&gt;"",$H34&lt;=EOMONTH(S$12,0),$I34&gt;=S$12),"PD+DEV","PD")),IF(AND(INDEX('Roadmap Calc (Don’t Touch)'!$AA$2:$AX$151,$AI34,COLUMN()-COLUMN($J$16)+1)&gt;0,OR($D34="03. UX Discovery",$D34="04. UX Design")),IF(AND($H34&lt;&gt;"",$H34&lt;=EOMONTH(S$12,0),$I34&gt;=S$12),"UX+DEV","UX"),IF(AND($H34&lt;&gt;"",$H34&lt;=EOMONTH(S$12,0),$I34&gt;=S$12),"DEV",""))))</f>
      </c>
      <c r="T34" s="158" t="str">
        <f>IF($AI34="","",IF(AND($AN34&lt;&gt;"",$AN34&lt;=EOMONTH(T$12,0),$AO34&gt;=T$12),IF(AND(INDEX('Roadmap Calc (Don’t Touch)'!$AA$2:$AX$151,$AI34,COLUMN()-COLUMN($J$16)+1)&gt;0,OR($D34="03. UX Discovery",$D34="04. UX Design")),IF(AND($H34&lt;&gt;"",$H34&lt;=EOMONTH(T$12,0),$I34&gt;=T$12),"ALL","PD+UX"),IF(AND($H34&lt;&gt;"",$H34&lt;=EOMONTH(T$12,0),$I34&gt;=T$12),"PD+DEV","PD")),IF(AND(INDEX('Roadmap Calc (Don’t Touch)'!$AA$2:$AX$151,$AI34,COLUMN()-COLUMN($J$16)+1)&gt;0,OR($D34="03. UX Discovery",$D34="04. UX Design")),IF(AND($H34&lt;&gt;"",$H34&lt;=EOMONTH(T$12,0),$I34&gt;=T$12),"UX+DEV","UX"),IF(AND($H34&lt;&gt;"",$H34&lt;=EOMONTH(T$12,0),$I34&gt;=T$12),"DEV",""))))</f>
      </c>
      <c r="U34" s="158" t="str">
        <f>IF($AI34="","",IF(AND($AN34&lt;&gt;"",$AN34&lt;=EOMONTH(U$12,0),$AO34&gt;=U$12),IF(AND(INDEX('Roadmap Calc (Don’t Touch)'!$AA$2:$AX$151,$AI34,COLUMN()-COLUMN($J$16)+1)&gt;0,OR($D34="03. UX Discovery",$D34="04. UX Design")),IF(AND($H34&lt;&gt;"",$H34&lt;=EOMONTH(U$12,0),$I34&gt;=U$12),"ALL","PD+UX"),IF(AND($H34&lt;&gt;"",$H34&lt;=EOMONTH(U$12,0),$I34&gt;=U$12),"PD+DEV","PD")),IF(AND(INDEX('Roadmap Calc (Don’t Touch)'!$AA$2:$AX$151,$AI34,COLUMN()-COLUMN($J$16)+1)&gt;0,OR($D34="03. UX Discovery",$D34="04. UX Design")),IF(AND($H34&lt;&gt;"",$H34&lt;=EOMONTH(U$12,0),$I34&gt;=U$12),"UX+DEV","UX"),IF(AND($H34&lt;&gt;"",$H34&lt;=EOMONTH(U$12,0),$I34&gt;=U$12),"DEV",""))))</f>
      </c>
      <c r="V34" s="158" t="str">
        <f>IF($AI34="","",IF(AND($AN34&lt;&gt;"",$AN34&lt;=EOMONTH(V$12,0),$AO34&gt;=V$12),IF(AND(INDEX('Roadmap Calc (Don’t Touch)'!$AA$2:$AX$151,$AI34,COLUMN()-COLUMN($J$16)+1)&gt;0,OR($D34="03. UX Discovery",$D34="04. UX Design")),IF(AND($H34&lt;&gt;"",$H34&lt;=EOMONTH(V$12,0),$I34&gt;=V$12),"ALL","PD+UX"),IF(AND($H34&lt;&gt;"",$H34&lt;=EOMONTH(V$12,0),$I34&gt;=V$12),"PD+DEV","PD")),IF(AND(INDEX('Roadmap Calc (Don’t Touch)'!$AA$2:$AX$151,$AI34,COLUMN()-COLUMN($J$16)+1)&gt;0,OR($D34="03. UX Discovery",$D34="04. UX Design")),IF(AND($H34&lt;&gt;"",$H34&lt;=EOMONTH(V$12,0),$I34&gt;=V$12),"UX+DEV","UX"),IF(AND($H34&lt;&gt;"",$H34&lt;=EOMONTH(V$12,0),$I34&gt;=V$12),"DEV",""))))</f>
      </c>
      <c r="W34" s="158" t="str">
        <f>IF($AI34="","",IF(AND($AN34&lt;&gt;"",$AN34&lt;=EOMONTH(W$12,0),$AO34&gt;=W$12),IF(AND(INDEX('Roadmap Calc (Don’t Touch)'!$AA$2:$AX$151,$AI34,COLUMN()-COLUMN($J$16)+1)&gt;0,OR($D34="03. UX Discovery",$D34="04. UX Design")),IF(AND($H34&lt;&gt;"",$H34&lt;=EOMONTH(W$12,0),$I34&gt;=W$12),"ALL","PD+UX"),IF(AND($H34&lt;&gt;"",$H34&lt;=EOMONTH(W$12,0),$I34&gt;=W$12),"PD+DEV","PD")),IF(AND(INDEX('Roadmap Calc (Don’t Touch)'!$AA$2:$AX$151,$AI34,COLUMN()-COLUMN($J$16)+1)&gt;0,OR($D34="03. UX Discovery",$D34="04. UX Design")),IF(AND($H34&lt;&gt;"",$H34&lt;=EOMONTH(W$12,0),$I34&gt;=W$12),"UX+DEV","UX"),IF(AND($H34&lt;&gt;"",$H34&lt;=EOMONTH(W$12,0),$I34&gt;=W$12),"DEV",""))))</f>
      </c>
      <c r="X34" s="158" t="str">
        <f>IF($AI34="","",IF(AND($AN34&lt;&gt;"",$AN34&lt;=EOMONTH(X$12,0),$AO34&gt;=X$12),IF(AND(INDEX('Roadmap Calc (Don’t Touch)'!$AA$2:$AX$151,$AI34,COLUMN()-COLUMN($J$16)+1)&gt;0,OR($D34="03. UX Discovery",$D34="04. UX Design")),IF(AND($H34&lt;&gt;"",$H34&lt;=EOMONTH(X$12,0),$I34&gt;=X$12),"ALL","PD+UX"),IF(AND($H34&lt;&gt;"",$H34&lt;=EOMONTH(X$12,0),$I34&gt;=X$12),"PD+DEV","PD")),IF(AND(INDEX('Roadmap Calc (Don’t Touch)'!$AA$2:$AX$151,$AI34,COLUMN()-COLUMN($J$16)+1)&gt;0,OR($D34="03. UX Discovery",$D34="04. UX Design")),IF(AND($H34&lt;&gt;"",$H34&lt;=EOMONTH(X$12,0),$I34&gt;=X$12),"UX+DEV","UX"),IF(AND($H34&lt;&gt;"",$H34&lt;=EOMONTH(X$12,0),$I34&gt;=X$12),"DEV",""))))</f>
      </c>
      <c r="Y34" s="158" t="str">
        <f>IF($AI34="","",IF(AND($AN34&lt;&gt;"",$AN34&lt;=EOMONTH(Y$12,0),$AO34&gt;=Y$12),IF(AND(INDEX('Roadmap Calc (Don’t Touch)'!$AA$2:$AX$151,$AI34,COLUMN()-COLUMN($J$16)+1)&gt;0,OR($D34="03. UX Discovery",$D34="04. UX Design")),IF(AND($H34&lt;&gt;"",$H34&lt;=EOMONTH(Y$12,0),$I34&gt;=Y$12),"ALL","PD+UX"),IF(AND($H34&lt;&gt;"",$H34&lt;=EOMONTH(Y$12,0),$I34&gt;=Y$12),"PD+DEV","PD")),IF(AND(INDEX('Roadmap Calc (Don’t Touch)'!$AA$2:$AX$151,$AI34,COLUMN()-COLUMN($J$16)+1)&gt;0,OR($D34="03. UX Discovery",$D34="04. UX Design")),IF(AND($H34&lt;&gt;"",$H34&lt;=EOMONTH(Y$12,0),$I34&gt;=Y$12),"UX+DEV","UX"),IF(AND($H34&lt;&gt;"",$H34&lt;=EOMONTH(Y$12,0),$I34&gt;=Y$12),"DEV",""))))</f>
      </c>
      <c r="Z34" s="158" t="str">
        <f>IF($AI34="","",IF(AND($AN34&lt;&gt;"",$AN34&lt;=EOMONTH(Z$12,0),$AO34&gt;=Z$12),IF(AND(INDEX('Roadmap Calc (Don’t Touch)'!$AA$2:$AX$151,$AI34,COLUMN()-COLUMN($J$16)+1)&gt;0,OR($D34="03. UX Discovery",$D34="04. UX Design")),IF(AND($H34&lt;&gt;"",$H34&lt;=EOMONTH(Z$12,0),$I34&gt;=Z$12),"ALL","PD+UX"),IF(AND($H34&lt;&gt;"",$H34&lt;=EOMONTH(Z$12,0),$I34&gt;=Z$12),"PD+DEV","PD")),IF(AND(INDEX('Roadmap Calc (Don’t Touch)'!$AA$2:$AX$151,$AI34,COLUMN()-COLUMN($J$16)+1)&gt;0,OR($D34="03. UX Discovery",$D34="04. UX Design")),IF(AND($H34&lt;&gt;"",$H34&lt;=EOMONTH(Z$12,0),$I34&gt;=Z$12),"UX+DEV","UX"),IF(AND($H34&lt;&gt;"",$H34&lt;=EOMONTH(Z$12,0),$I34&gt;=Z$12),"DEV",""))))</f>
      </c>
      <c r="AA34" s="158" t="str">
        <f>IF($AI34="","",IF(AND($AN34&lt;&gt;"",$AN34&lt;=EOMONTH(AA$12,0),$AO34&gt;=AA$12),IF(AND(INDEX('Roadmap Calc (Don’t Touch)'!$AA$2:$AX$151,$AI34,COLUMN()-COLUMN($J$16)+1)&gt;0,OR($D34="03. UX Discovery",$D34="04. UX Design")),IF(AND($H34&lt;&gt;"",$H34&lt;=EOMONTH(AA$12,0),$I34&gt;=AA$12),"ALL","PD+UX"),IF(AND($H34&lt;&gt;"",$H34&lt;=EOMONTH(AA$12,0),$I34&gt;=AA$12),"PD+DEV","PD")),IF(AND(INDEX('Roadmap Calc (Don’t Touch)'!$AA$2:$AX$151,$AI34,COLUMN()-COLUMN($J$16)+1)&gt;0,OR($D34="03. UX Discovery",$D34="04. UX Design")),IF(AND($H34&lt;&gt;"",$H34&lt;=EOMONTH(AA$12,0),$I34&gt;=AA$12),"UX+DEV","UX"),IF(AND($H34&lt;&gt;"",$H34&lt;=EOMONTH(AA$12,0),$I34&gt;=AA$12),"DEV",""))))</f>
      </c>
      <c r="AB34" s="158" t="str">
        <f>IF($AI34="","",IF(AND($AN34&lt;&gt;"",$AN34&lt;=EOMONTH(AB$12,0),$AO34&gt;=AB$12),IF(AND(INDEX('Roadmap Calc (Don’t Touch)'!$AA$2:$AX$151,$AI34,COLUMN()-COLUMN($J$16)+1)&gt;0,OR($D34="03. UX Discovery",$D34="04. UX Design")),IF(AND($H34&lt;&gt;"",$H34&lt;=EOMONTH(AB$12,0),$I34&gt;=AB$12),"ALL","PD+UX"),IF(AND($H34&lt;&gt;"",$H34&lt;=EOMONTH(AB$12,0),$I34&gt;=AB$12),"PD+DEV","PD")),IF(AND(INDEX('Roadmap Calc (Don’t Touch)'!$AA$2:$AX$151,$AI34,COLUMN()-COLUMN($J$16)+1)&gt;0,OR($D34="03. UX Discovery",$D34="04. UX Design")),IF(AND($H34&lt;&gt;"",$H34&lt;=EOMONTH(AB$12,0),$I34&gt;=AB$12),"UX+DEV","UX"),IF(AND($H34&lt;&gt;"",$H34&lt;=EOMONTH(AB$12,0),$I34&gt;=AB$12),"DEV",""))))</f>
      </c>
      <c r="AC34" s="158" t="str">
        <f>IF($AI34="","",IF(AND($AN34&lt;&gt;"",$AN34&lt;=EOMONTH(AC$12,0),$AO34&gt;=AC$12),IF(AND(INDEX('Roadmap Calc (Don’t Touch)'!$AA$2:$AX$151,$AI34,COLUMN()-COLUMN($J$16)+1)&gt;0,OR($D34="03. UX Discovery",$D34="04. UX Design")),IF(AND($H34&lt;&gt;"",$H34&lt;=EOMONTH(AC$12,0),$I34&gt;=AC$12),"ALL","PD+UX"),IF(AND($H34&lt;&gt;"",$H34&lt;=EOMONTH(AC$12,0),$I34&gt;=AC$12),"PD+DEV","PD")),IF(AND(INDEX('Roadmap Calc (Don’t Touch)'!$AA$2:$AX$151,$AI34,COLUMN()-COLUMN($J$16)+1)&gt;0,OR($D34="03. UX Discovery",$D34="04. UX Design")),IF(AND($H34&lt;&gt;"",$H34&lt;=EOMONTH(AC$12,0),$I34&gt;=AC$12),"UX+DEV","UX"),IF(AND($H34&lt;&gt;"",$H34&lt;=EOMONTH(AC$12,0),$I34&gt;=AC$12),"DEV",""))))</f>
      </c>
      <c r="AD34" s="158" t="str">
        <f>IF($AI34="","",IF(AND($AN34&lt;&gt;"",$AN34&lt;=EOMONTH(AD$12,0),$AO34&gt;=AD$12),IF(AND(INDEX('Roadmap Calc (Don’t Touch)'!$AA$2:$AX$151,$AI34,COLUMN()-COLUMN($J$16)+1)&gt;0,OR($D34="03. UX Discovery",$D34="04. UX Design")),IF(AND($H34&lt;&gt;"",$H34&lt;=EOMONTH(AD$12,0),$I34&gt;=AD$12),"ALL","PD+UX"),IF(AND($H34&lt;&gt;"",$H34&lt;=EOMONTH(AD$12,0),$I34&gt;=AD$12),"PD+DEV","PD")),IF(AND(INDEX('Roadmap Calc (Don’t Touch)'!$AA$2:$AX$151,$AI34,COLUMN()-COLUMN($J$16)+1)&gt;0,OR($D34="03. UX Discovery",$D34="04. UX Design")),IF(AND($H34&lt;&gt;"",$H34&lt;=EOMONTH(AD$12,0),$I34&gt;=AD$12),"UX+DEV","UX"),IF(AND($H34&lt;&gt;"",$H34&lt;=EOMONTH(AD$12,0),$I34&gt;=AD$12),"DEV",""))))</f>
      </c>
      <c r="AE34" s="158" t="str">
        <f>IF($AI34="","",IF(AND($AN34&lt;&gt;"",$AN34&lt;=EOMONTH(AE$12,0),$AO34&gt;=AE$12),IF(AND(INDEX('Roadmap Calc (Don’t Touch)'!$AA$2:$AX$151,$AI34,COLUMN()-COLUMN($J$16)+1)&gt;0,OR($D34="03. UX Discovery",$D34="04. UX Design")),IF(AND($H34&lt;&gt;"",$H34&lt;=EOMONTH(AE$12,0),$I34&gt;=AE$12),"ALL","PD+UX"),IF(AND($H34&lt;&gt;"",$H34&lt;=EOMONTH(AE$12,0),$I34&gt;=AE$12),"PD+DEV","PD")),IF(AND(INDEX('Roadmap Calc (Don’t Touch)'!$AA$2:$AX$151,$AI34,COLUMN()-COLUMN($J$16)+1)&gt;0,OR($D34="03. UX Discovery",$D34="04. UX Design")),IF(AND($H34&lt;&gt;"",$H34&lt;=EOMONTH(AE$12,0),$I34&gt;=AE$12),"UX+DEV","UX"),IF(AND($H34&lt;&gt;"",$H34&lt;=EOMONTH(AE$12,0),$I34&gt;=AE$12),"DEV",""))))</f>
      </c>
      <c r="AF34" s="158" t="str">
        <f>IF($AI34="","",IF(AND($AN34&lt;&gt;"",$AN34&lt;=EOMONTH(AF$12,0),$AO34&gt;=AF$12),IF(AND(INDEX('Roadmap Calc (Don’t Touch)'!$AA$2:$AX$151,$AI34,COLUMN()-COLUMN($J$16)+1)&gt;0,OR($D34="03. UX Discovery",$D34="04. UX Design")),IF(AND($H34&lt;&gt;"",$H34&lt;=EOMONTH(AF$12,0),$I34&gt;=AF$12),"ALL","PD+UX"),IF(AND($H34&lt;&gt;"",$H34&lt;=EOMONTH(AF$12,0),$I34&gt;=AF$12),"PD+DEV","PD")),IF(AND(INDEX('Roadmap Calc (Don’t Touch)'!$AA$2:$AX$151,$AI34,COLUMN()-COLUMN($J$16)+1)&gt;0,OR($D34="03. UX Discovery",$D34="04. UX Design")),IF(AND($H34&lt;&gt;"",$H34&lt;=EOMONTH(AF$12,0),$I34&gt;=AF$12),"UX+DEV","UX"),IF(AND($H34&lt;&gt;"",$H34&lt;=EOMONTH(AF$12,0),$I34&gt;=AF$12),"DEV",""))))</f>
      </c>
      <c r="AG34" s="158" t="str">
        <f>IF($AI34="","",IF(AND($AN34&lt;&gt;"",$AN34&lt;=EOMONTH(AG$12,0),$AO34&gt;=AG$12),IF(AND(INDEX('Roadmap Calc (Don’t Touch)'!$AA$2:$AX$151,$AI34,COLUMN()-COLUMN($J$16)+1)&gt;0,OR($D34="03. UX Discovery",$D34="04. UX Design")),IF(AND($H34&lt;&gt;"",$H34&lt;=EOMONTH(AG$12,0),$I34&gt;=AG$12),"ALL","PD+UX"),IF(AND($H34&lt;&gt;"",$H34&lt;=EOMONTH(AG$12,0),$I34&gt;=AG$12),"PD+DEV","PD")),IF(AND(INDEX('Roadmap Calc (Don’t Touch)'!$AA$2:$AX$151,$AI34,COLUMN()-COLUMN($J$16)+1)&gt;0,OR($D34="03. UX Discovery",$D34="04. UX Design")),IF(AND($H34&lt;&gt;"",$H34&lt;=EOMONTH(AG$12,0),$I34&gt;=AG$12),"UX+DEV","UX"),IF(AND($H34&lt;&gt;"",$H34&lt;=EOMONTH(AG$12,0),$I34&gt;=AG$12),"DEV",""))))</f>
      </c>
      <c r="AH34" s="145" t="str">
        <f>IF($AI34="","",INDEX('Roadmap Calc (Don’t Touch)'!$D$2:$D$151,$AI34))</f>
        <v>Increase Buy Used Awareness</v>
      </c>
      <c r="AI34" s="145">
        <f>IFERROR(MATCH(19,'Roadmap Calc (Don’t Touch)'!$O$2:$O$151,0),"")</f>
        <v>25</v>
      </c>
      <c r="AJ34" s="145"/>
      <c r="AK34" s="145"/>
      <c r="AL34" s="145"/>
      <c r="AM34" s="145"/>
      <c r="AN34">
        <f>IF($AI34="","",IF(ISNUMBER(INDEX('Roadmap Calc (Don’t Touch)'!$BB$2:$BB$151,$AI34)),INDEX('Roadmap Calc (Don’t Touch)'!$BB$2:$BB$151,$AI34),""))</f>
      </c>
      <c r="AO34">
        <f>IF($AI34="","",IF(ISNUMBER(INDEX('Roadmap Calc (Don’t Touch)'!$BC$2:$BC$151,$AI34)),INDEX('Roadmap Calc (Don’t Touch)'!$BC$2:$BC$151,$AI34),""))</f>
      </c>
    </row>
    <row r="35" spans="1:41" ht="20" customHeight="1" x14ac:dyDescent="0.25">
      <c r="A35" s="198" t="str">
        <f>IF($AI35="","",IF($AH35=$AH34,"",IF(INDEX('Roadmap Calc (Don’t Touch)'!$U$2:$U$151,$AI35)=0,$AH35,HYPERLINK("#'Control (Don’t Touch)'!E"&amp;INDEX('Roadmap Calc (Don’t Touch)'!$U$2:$U$151,$AI35),$AH35))))</f>
        <v/>
      </c>
      <c r="B35" s="159" t="str">
        <f>IF($AI35="","",IF(INDEX('Roadmap Calc (Don’t Touch)'!$K$2:$K$151,$AI35)="",INDEX('Roadmap Calc (Don’t Touch)'!$B$2:$B$151,$AI35),HYPERLINK("https://jira.bnh.com/browse/"&amp;INDEX('Roadmap Calc (Don’t Touch)'!$K$2:$K$151,$AI35),INDEX('Roadmap Calc (Don’t Touch)'!$B$2:$B$151,$AI35))))</f>
        <v>Condition Grouping</v>
      </c>
      <c r="C35" s="159" t="str">
        <f>IF($AI35="","",IF(INDEX('Roadmap Calc (Don’t Touch)'!$E$2:$E$151,$AI35)="","",HYPERLINK("https://jira.bnh.com/browse/"&amp;INDEX('Roadmap Calc (Don’t Touch)'!$E$2:$E$151,$AI35),INDEX('Roadmap Calc (Don’t Touch)'!$E$2:$E$151,$AI35))))</f>
        <v>BHUX-33519</v>
      </c>
      <c r="D35" s="161" t="str">
        <f>IF($AI35="","",INDEX('Roadmap Calc (Don’t Touch)'!$F$2:$F$151,$AI35))</f>
        <v>13. Live</v>
      </c>
      <c r="E35" s="155">
        <f>IF($AI35="","",IF(ISNUMBER(INDEX('Roadmap Calc (Don’t Touch)'!$G$2:$G$151,$AI35)),INDEX('Roadmap Calc (Don’t Touch)'!$G$2:$G$151,$AI35),""))</f>
        <v>46139</v>
      </c>
      <c r="F35" s="155">
        <f>IF($AI35="","",IF(ISNUMBER(INDEX('Roadmap Calc (Don’t Touch)'!$H$2:$H$151,$AI35)),INDEX('Roadmap Calc (Don’t Touch)'!$H$2:$H$151,$AI35),""))</f>
        <v>46146</v>
      </c>
      <c r="G35" s="156">
        <f>IF($AI35="","",INDEX('Roadmap Calc (Don’t Touch)'!$T$2:$T$151,$AI35))</f>
        <v>2</v>
      </c>
      <c r="H35" s="157">
        <f ca="1">IF($AI35="","",IF(ISNUMBER(INDEX('Roadmap Calc (Don’t Touch)'!$I$2:$I$151,$AI35)),INDEX('Roadmap Calc (Don’t Touch)'!$I$2:$I$151,$AI35),""))</f>
        <v>46235</v>
      </c>
      <c r="I35" s="157">
        <f ca="1">IF($AI35="","",IF(ISNUMBER(INDEX('Roadmap Calc (Don’t Touch)'!$J$2:$J$151,$AI35)),INDEX('Roadmap Calc (Don’t Touch)'!$J$2:$J$151,$AI35),""))</f>
        <v>46265</v>
      </c>
      <c r="J35" s="158" t="str">
        <f>IF($AI35="","",IF(AND($AN35&lt;&gt;"",$AN35&lt;=EOMONTH(J$12,0),$AO35&gt;=J$12),IF(AND(INDEX('Roadmap Calc (Don’t Touch)'!$AA$2:$AX$151,$AI35,COLUMN()-COLUMN($J$16)+1)&gt;0,OR($D35="03. UX Discovery",$D35="04. UX Design")),IF(AND($H35&lt;&gt;"",$H35&lt;=EOMONTH(J$12,0),$I35&gt;=J$12),"ALL","PD+UX"),IF(AND($H35&lt;&gt;"",$H35&lt;=EOMONTH(J$12,0),$I35&gt;=J$12),"PD+DEV","PD")),IF(AND(INDEX('Roadmap Calc (Don’t Touch)'!$AA$2:$AX$151,$AI35,COLUMN()-COLUMN($J$16)+1)&gt;0,OR($D35="03. UX Discovery",$D35="04. UX Design")),IF(AND($H35&lt;&gt;"",$H35&lt;=EOMONTH(J$12,0),$I35&gt;=J$12),"UX+DEV","UX"),IF(AND($H35&lt;&gt;"",$H35&lt;=EOMONTH(J$12,0),$I35&gt;=J$12),"DEV",""))))</f>
      </c>
      <c r="K35" s="158" t="str">
        <f>IF($AI35="","",IF(AND($AN35&lt;&gt;"",$AN35&lt;=EOMONTH(K$12,0),$AO35&gt;=K$12),IF(AND(INDEX('Roadmap Calc (Don’t Touch)'!$AA$2:$AX$151,$AI35,COLUMN()-COLUMN($J$16)+1)&gt;0,OR($D35="03. UX Discovery",$D35="04. UX Design")),IF(AND($H35&lt;&gt;"",$H35&lt;=EOMONTH(K$12,0),$I35&gt;=K$12),"ALL","PD+UX"),IF(AND($H35&lt;&gt;"",$H35&lt;=EOMONTH(K$12,0),$I35&gt;=K$12),"PD+DEV","PD")),IF(AND(INDEX('Roadmap Calc (Don’t Touch)'!$AA$2:$AX$151,$AI35,COLUMN()-COLUMN($J$16)+1)&gt;0,OR($D35="03. UX Discovery",$D35="04. UX Design")),IF(AND($H35&lt;&gt;"",$H35&lt;=EOMONTH(K$12,0),$I35&gt;=K$12),"UX+DEV","UX"),IF(AND($H35&lt;&gt;"",$H35&lt;=EOMONTH(K$12,0),$I35&gt;=K$12),"DEV",""))))</f>
      </c>
      <c r="L35" s="158" t="str">
        <f>IF($AI35="","",IF(AND($AN35&lt;&gt;"",$AN35&lt;=EOMONTH(L$12,0),$AO35&gt;=L$12),IF(AND(INDEX('Roadmap Calc (Don’t Touch)'!$AA$2:$AX$151,$AI35,COLUMN()-COLUMN($J$16)+1)&gt;0,OR($D35="03. UX Discovery",$D35="04. UX Design")),IF(AND($H35&lt;&gt;"",$H35&lt;=EOMONTH(L$12,0),$I35&gt;=L$12),"ALL","PD+UX"),IF(AND($H35&lt;&gt;"",$H35&lt;=EOMONTH(L$12,0),$I35&gt;=L$12),"PD+DEV","PD")),IF(AND(INDEX('Roadmap Calc (Don’t Touch)'!$AA$2:$AX$151,$AI35,COLUMN()-COLUMN($J$16)+1)&gt;0,OR($D35="03. UX Discovery",$D35="04. UX Design")),IF(AND($H35&lt;&gt;"",$H35&lt;=EOMONTH(L$12,0),$I35&gt;=L$12),"UX+DEV","UX"),IF(AND($H35&lt;&gt;"",$H35&lt;=EOMONTH(L$12,0),$I35&gt;=L$12),"DEV",""))))</f>
      </c>
      <c r="M35" s="158" t="str">
        <f>IF($AI35="","",IF(AND($AN35&lt;&gt;"",$AN35&lt;=EOMONTH(M$12,0),$AO35&gt;=M$12),IF(AND(INDEX('Roadmap Calc (Don’t Touch)'!$AA$2:$AX$151,$AI35,COLUMN()-COLUMN($J$16)+1)&gt;0,OR($D35="03. UX Discovery",$D35="04. UX Design")),IF(AND($H35&lt;&gt;"",$H35&lt;=EOMONTH(M$12,0),$I35&gt;=M$12),"ALL","PD+UX"),IF(AND($H35&lt;&gt;"",$H35&lt;=EOMONTH(M$12,0),$I35&gt;=M$12),"PD+DEV","PD")),IF(AND(INDEX('Roadmap Calc (Don’t Touch)'!$AA$2:$AX$151,$AI35,COLUMN()-COLUMN($J$16)+1)&gt;0,OR($D35="03. UX Discovery",$D35="04. UX Design")),IF(AND($H35&lt;&gt;"",$H35&lt;=EOMONTH(M$12,0),$I35&gt;=M$12),"UX+DEV","UX"),IF(AND($H35&lt;&gt;"",$H35&lt;=EOMONTH(M$12,0),$I35&gt;=M$12),"DEV",""))))</f>
      </c>
      <c r="N35" s="158" t="str">
        <f>IF($AI35="","",IF(AND($AN35&lt;&gt;"",$AN35&lt;=EOMONTH(N$12,0),$AO35&gt;=N$12),IF(AND(INDEX('Roadmap Calc (Don’t Touch)'!$AA$2:$AX$151,$AI35,COLUMN()-COLUMN($J$16)+1)&gt;0,OR($D35="03. UX Discovery",$D35="04. UX Design")),IF(AND($H35&lt;&gt;"",$H35&lt;=EOMONTH(N$12,0),$I35&gt;=N$12),"ALL","PD+UX"),IF(AND($H35&lt;&gt;"",$H35&lt;=EOMONTH(N$12,0),$I35&gt;=N$12),"PD+DEV","PD")),IF(AND(INDEX('Roadmap Calc (Don’t Touch)'!$AA$2:$AX$151,$AI35,COLUMN()-COLUMN($J$16)+1)&gt;0,OR($D35="03. UX Discovery",$D35="04. UX Design")),IF(AND($H35&lt;&gt;"",$H35&lt;=EOMONTH(N$12,0),$I35&gt;=N$12),"UX+DEV","UX"),IF(AND($H35&lt;&gt;"",$H35&lt;=EOMONTH(N$12,0),$I35&gt;=N$12),"DEV",""))))</f>
      </c>
      <c r="O35" s="158" t="str">
        <f>IF($AI35="","",IF(AND($AN35&lt;&gt;"",$AN35&lt;=EOMONTH(O$12,0),$AO35&gt;=O$12),IF(AND(INDEX('Roadmap Calc (Don’t Touch)'!$AA$2:$AX$151,$AI35,COLUMN()-COLUMN($J$16)+1)&gt;0,OR($D35="03. UX Discovery",$D35="04. UX Design")),IF(AND($H35&lt;&gt;"",$H35&lt;=EOMONTH(O$12,0),$I35&gt;=O$12),"ALL","PD+UX"),IF(AND($H35&lt;&gt;"",$H35&lt;=EOMONTH(O$12,0),$I35&gt;=O$12),"PD+DEV","PD")),IF(AND(INDEX('Roadmap Calc (Don’t Touch)'!$AA$2:$AX$151,$AI35,COLUMN()-COLUMN($J$16)+1)&gt;0,OR($D35="03. UX Discovery",$D35="04. UX Design")),IF(AND($H35&lt;&gt;"",$H35&lt;=EOMONTH(O$12,0),$I35&gt;=O$12),"UX+DEV","UX"),IF(AND($H35&lt;&gt;"",$H35&lt;=EOMONTH(O$12,0),$I35&gt;=O$12),"DEV",""))))</f>
      </c>
      <c r="P35" s="158" t="str">
        <f>IF($AI35="","",IF(AND($AN35&lt;&gt;"",$AN35&lt;=EOMONTH(P$12,0),$AO35&gt;=P$12),IF(AND(INDEX('Roadmap Calc (Don’t Touch)'!$AA$2:$AX$151,$AI35,COLUMN()-COLUMN($J$16)+1)&gt;0,OR($D35="03. UX Discovery",$D35="04. UX Design")),IF(AND($H35&lt;&gt;"",$H35&lt;=EOMONTH(P$12,0),$I35&gt;=P$12),"ALL","PD+UX"),IF(AND($H35&lt;&gt;"",$H35&lt;=EOMONTH(P$12,0),$I35&gt;=P$12),"PD+DEV","PD")),IF(AND(INDEX('Roadmap Calc (Don’t Touch)'!$AA$2:$AX$151,$AI35,COLUMN()-COLUMN($J$16)+1)&gt;0,OR($D35="03. UX Discovery",$D35="04. UX Design")),IF(AND($H35&lt;&gt;"",$H35&lt;=EOMONTH(P$12,0),$I35&gt;=P$12),"UX+DEV","UX"),IF(AND($H35&lt;&gt;"",$H35&lt;=EOMONTH(P$12,0),$I35&gt;=P$12),"DEV",""))))</f>
      </c>
      <c r="Q35" s="158" t="str">
        <f>IF($AI35="","",IF(AND($AN35&lt;&gt;"",$AN35&lt;=EOMONTH(Q$12,0),$AO35&gt;=Q$12),IF(AND(INDEX('Roadmap Calc (Don’t Touch)'!$AA$2:$AX$151,$AI35,COLUMN()-COLUMN($J$16)+1)&gt;0,OR($D35="03. UX Discovery",$D35="04. UX Design")),IF(AND($H35&lt;&gt;"",$H35&lt;=EOMONTH(Q$12,0),$I35&gt;=Q$12),"ALL","PD+UX"),IF(AND($H35&lt;&gt;"",$H35&lt;=EOMONTH(Q$12,0),$I35&gt;=Q$12),"PD+DEV","PD")),IF(AND(INDEX('Roadmap Calc (Don’t Touch)'!$AA$2:$AX$151,$AI35,COLUMN()-COLUMN($J$16)+1)&gt;0,OR($D35="03. UX Discovery",$D35="04. UX Design")),IF(AND($H35&lt;&gt;"",$H35&lt;=EOMONTH(Q$12,0),$I35&gt;=Q$12),"UX+DEV","UX"),IF(AND($H35&lt;&gt;"",$H35&lt;=EOMONTH(Q$12,0),$I35&gt;=Q$12),"DEV",""))))</f>
      </c>
      <c r="R35" s="158" t="str">
        <f>IF($AI35="","",IF(AND($AN35&lt;&gt;"",$AN35&lt;=EOMONTH(R$12,0),$AO35&gt;=R$12),IF(AND(INDEX('Roadmap Calc (Don’t Touch)'!$AA$2:$AX$151,$AI35,COLUMN()-COLUMN($J$16)+1)&gt;0,OR($D35="03. UX Discovery",$D35="04. UX Design")),IF(AND($H35&lt;&gt;"",$H35&lt;=EOMONTH(R$12,0),$I35&gt;=R$12),"ALL","PD+UX"),IF(AND($H35&lt;&gt;"",$H35&lt;=EOMONTH(R$12,0),$I35&gt;=R$12),"PD+DEV","PD")),IF(AND(INDEX('Roadmap Calc (Don’t Touch)'!$AA$2:$AX$151,$AI35,COLUMN()-COLUMN($J$16)+1)&gt;0,OR($D35="03. UX Discovery",$D35="04. UX Design")),IF(AND($H35&lt;&gt;"",$H35&lt;=EOMONTH(R$12,0),$I35&gt;=R$12),"UX+DEV","UX"),IF(AND($H35&lt;&gt;"",$H35&lt;=EOMONTH(R$12,0),$I35&gt;=R$12),"DEV",""))))</f>
      </c>
      <c r="S35" s="158" t="str">
        <f>IF($AI35="","",IF(AND($AN35&lt;&gt;"",$AN35&lt;=EOMONTH(S$12,0),$AO35&gt;=S$12),IF(AND(INDEX('Roadmap Calc (Don’t Touch)'!$AA$2:$AX$151,$AI35,COLUMN()-COLUMN($J$16)+1)&gt;0,OR($D35="03. UX Discovery",$D35="04. UX Design")),IF(AND($H35&lt;&gt;"",$H35&lt;=EOMONTH(S$12,0),$I35&gt;=S$12),"ALL","PD+UX"),IF(AND($H35&lt;&gt;"",$H35&lt;=EOMONTH(S$12,0),$I35&gt;=S$12),"PD+DEV","PD")),IF(AND(INDEX('Roadmap Calc (Don’t Touch)'!$AA$2:$AX$151,$AI35,COLUMN()-COLUMN($J$16)+1)&gt;0,OR($D35="03. UX Discovery",$D35="04. UX Design")),IF(AND($H35&lt;&gt;"",$H35&lt;=EOMONTH(S$12,0),$I35&gt;=S$12),"UX+DEV","UX"),IF(AND($H35&lt;&gt;"",$H35&lt;=EOMONTH(S$12,0),$I35&gt;=S$12),"DEV",""))))</f>
      </c>
      <c r="T35" s="158" t="str">
        <f>IF($AI35="","",IF(AND($AN35&lt;&gt;"",$AN35&lt;=EOMONTH(T$12,0),$AO35&gt;=T$12),IF(AND(INDEX('Roadmap Calc (Don’t Touch)'!$AA$2:$AX$151,$AI35,COLUMN()-COLUMN($J$16)+1)&gt;0,OR($D35="03. UX Discovery",$D35="04. UX Design")),IF(AND($H35&lt;&gt;"",$H35&lt;=EOMONTH(T$12,0),$I35&gt;=T$12),"ALL","PD+UX"),IF(AND($H35&lt;&gt;"",$H35&lt;=EOMONTH(T$12,0),$I35&gt;=T$12),"PD+DEV","PD")),IF(AND(INDEX('Roadmap Calc (Don’t Touch)'!$AA$2:$AX$151,$AI35,COLUMN()-COLUMN($J$16)+1)&gt;0,OR($D35="03. UX Discovery",$D35="04. UX Design")),IF(AND($H35&lt;&gt;"",$H35&lt;=EOMONTH(T$12,0),$I35&gt;=T$12),"UX+DEV","UX"),IF(AND($H35&lt;&gt;"",$H35&lt;=EOMONTH(T$12,0),$I35&gt;=T$12),"DEV",""))))</f>
      </c>
      <c r="U35" s="158" t="str">
        <f>IF($AI35="","",IF(AND($AN35&lt;&gt;"",$AN35&lt;=EOMONTH(U$12,0),$AO35&gt;=U$12),IF(AND(INDEX('Roadmap Calc (Don’t Touch)'!$AA$2:$AX$151,$AI35,COLUMN()-COLUMN($J$16)+1)&gt;0,OR($D35="03. UX Discovery",$D35="04. UX Design")),IF(AND($H35&lt;&gt;"",$H35&lt;=EOMONTH(U$12,0),$I35&gt;=U$12),"ALL","PD+UX"),IF(AND($H35&lt;&gt;"",$H35&lt;=EOMONTH(U$12,0),$I35&gt;=U$12),"PD+DEV","PD")),IF(AND(INDEX('Roadmap Calc (Don’t Touch)'!$AA$2:$AX$151,$AI35,COLUMN()-COLUMN($J$16)+1)&gt;0,OR($D35="03. UX Discovery",$D35="04. UX Design")),IF(AND($H35&lt;&gt;"",$H35&lt;=EOMONTH(U$12,0),$I35&gt;=U$12),"UX+DEV","UX"),IF(AND($H35&lt;&gt;"",$H35&lt;=EOMONTH(U$12,0),$I35&gt;=U$12),"DEV",""))))</f>
      </c>
      <c r="V35" s="158" t="str">
        <f>IF($AI35="","",IF(AND($AN35&lt;&gt;"",$AN35&lt;=EOMONTH(V$12,0),$AO35&gt;=V$12),IF(AND(INDEX('Roadmap Calc (Don’t Touch)'!$AA$2:$AX$151,$AI35,COLUMN()-COLUMN($J$16)+1)&gt;0,OR($D35="03. UX Discovery",$D35="04. UX Design")),IF(AND($H35&lt;&gt;"",$H35&lt;=EOMONTH(V$12,0),$I35&gt;=V$12),"ALL","PD+UX"),IF(AND($H35&lt;&gt;"",$H35&lt;=EOMONTH(V$12,0),$I35&gt;=V$12),"PD+DEV","PD")),IF(AND(INDEX('Roadmap Calc (Don’t Touch)'!$AA$2:$AX$151,$AI35,COLUMN()-COLUMN($J$16)+1)&gt;0,OR($D35="03. UX Discovery",$D35="04. UX Design")),IF(AND($H35&lt;&gt;"",$H35&lt;=EOMONTH(V$12,0),$I35&gt;=V$12),"UX+DEV","UX"),IF(AND($H35&lt;&gt;"",$H35&lt;=EOMONTH(V$12,0),$I35&gt;=V$12),"DEV",""))))</f>
      </c>
      <c r="W35" s="158" t="str">
        <f>IF($AI35="","",IF(AND($AN35&lt;&gt;"",$AN35&lt;=EOMONTH(W$12,0),$AO35&gt;=W$12),IF(AND(INDEX('Roadmap Calc (Don’t Touch)'!$AA$2:$AX$151,$AI35,COLUMN()-COLUMN($J$16)+1)&gt;0,OR($D35="03. UX Discovery",$D35="04. UX Design")),IF(AND($H35&lt;&gt;"",$H35&lt;=EOMONTH(W$12,0),$I35&gt;=W$12),"ALL","PD+UX"),IF(AND($H35&lt;&gt;"",$H35&lt;=EOMONTH(W$12,0),$I35&gt;=W$12),"PD+DEV","PD")),IF(AND(INDEX('Roadmap Calc (Don’t Touch)'!$AA$2:$AX$151,$AI35,COLUMN()-COLUMN($J$16)+1)&gt;0,OR($D35="03. UX Discovery",$D35="04. UX Design")),IF(AND($H35&lt;&gt;"",$H35&lt;=EOMONTH(W$12,0),$I35&gt;=W$12),"UX+DEV","UX"),IF(AND($H35&lt;&gt;"",$H35&lt;=EOMONTH(W$12,0),$I35&gt;=W$12),"DEV",""))))</f>
      </c>
      <c r="X35" s="158" t="str">
        <f>IF($AI35="","",IF(AND($AN35&lt;&gt;"",$AN35&lt;=EOMONTH(X$12,0),$AO35&gt;=X$12),IF(AND(INDEX('Roadmap Calc (Don’t Touch)'!$AA$2:$AX$151,$AI35,COLUMN()-COLUMN($J$16)+1)&gt;0,OR($D35="03. UX Discovery",$D35="04. UX Design")),IF(AND($H35&lt;&gt;"",$H35&lt;=EOMONTH(X$12,0),$I35&gt;=X$12),"ALL","PD+UX"),IF(AND($H35&lt;&gt;"",$H35&lt;=EOMONTH(X$12,0),$I35&gt;=X$12),"PD+DEV","PD")),IF(AND(INDEX('Roadmap Calc (Don’t Touch)'!$AA$2:$AX$151,$AI35,COLUMN()-COLUMN($J$16)+1)&gt;0,OR($D35="03. UX Discovery",$D35="04. UX Design")),IF(AND($H35&lt;&gt;"",$H35&lt;=EOMONTH(X$12,0),$I35&gt;=X$12),"UX+DEV","UX"),IF(AND($H35&lt;&gt;"",$H35&lt;=EOMONTH(X$12,0),$I35&gt;=X$12),"DEV",""))))</f>
      </c>
      <c r="Y35" s="158" t="str">
        <f>IF($AI35="","",IF(AND($AN35&lt;&gt;"",$AN35&lt;=EOMONTH(Y$12,0),$AO35&gt;=Y$12),IF(AND(INDEX('Roadmap Calc (Don’t Touch)'!$AA$2:$AX$151,$AI35,COLUMN()-COLUMN($J$16)+1)&gt;0,OR($D35="03. UX Discovery",$D35="04. UX Design")),IF(AND($H35&lt;&gt;"",$H35&lt;=EOMONTH(Y$12,0),$I35&gt;=Y$12),"ALL","PD+UX"),IF(AND($H35&lt;&gt;"",$H35&lt;=EOMONTH(Y$12,0),$I35&gt;=Y$12),"PD+DEV","PD")),IF(AND(INDEX('Roadmap Calc (Don’t Touch)'!$AA$2:$AX$151,$AI35,COLUMN()-COLUMN($J$16)+1)&gt;0,OR($D35="03. UX Discovery",$D35="04. UX Design")),IF(AND($H35&lt;&gt;"",$H35&lt;=EOMONTH(Y$12,0),$I35&gt;=Y$12),"UX+DEV","UX"),IF(AND($H35&lt;&gt;"",$H35&lt;=EOMONTH(Y$12,0),$I35&gt;=Y$12),"DEV",""))))</f>
      </c>
      <c r="Z35" s="158" t="str">
        <f>IF($AI35="","",IF(AND($AN35&lt;&gt;"",$AN35&lt;=EOMONTH(Z$12,0),$AO35&gt;=Z$12),IF(AND(INDEX('Roadmap Calc (Don’t Touch)'!$AA$2:$AX$151,$AI35,COLUMN()-COLUMN($J$16)+1)&gt;0,OR($D35="03. UX Discovery",$D35="04. UX Design")),IF(AND($H35&lt;&gt;"",$H35&lt;=EOMONTH(Z$12,0),$I35&gt;=Z$12),"ALL","PD+UX"),IF(AND($H35&lt;&gt;"",$H35&lt;=EOMONTH(Z$12,0),$I35&gt;=Z$12),"PD+DEV","PD")),IF(AND(INDEX('Roadmap Calc (Don’t Touch)'!$AA$2:$AX$151,$AI35,COLUMN()-COLUMN($J$16)+1)&gt;0,OR($D35="03. UX Discovery",$D35="04. UX Design")),IF(AND($H35&lt;&gt;"",$H35&lt;=EOMONTH(Z$12,0),$I35&gt;=Z$12),"UX+DEV","UX"),IF(AND($H35&lt;&gt;"",$H35&lt;=EOMONTH(Z$12,0),$I35&gt;=Z$12),"DEV",""))))</f>
      </c>
      <c r="AA35" s="158" t="str">
        <f>IF($AI35="","",IF(AND($AN35&lt;&gt;"",$AN35&lt;=EOMONTH(AA$12,0),$AO35&gt;=AA$12),IF(AND(INDEX('Roadmap Calc (Don’t Touch)'!$AA$2:$AX$151,$AI35,COLUMN()-COLUMN($J$16)+1)&gt;0,OR($D35="03. UX Discovery",$D35="04. UX Design")),IF(AND($H35&lt;&gt;"",$H35&lt;=EOMONTH(AA$12,0),$I35&gt;=AA$12),"ALL","PD+UX"),IF(AND($H35&lt;&gt;"",$H35&lt;=EOMONTH(AA$12,0),$I35&gt;=AA$12),"PD+DEV","PD")),IF(AND(INDEX('Roadmap Calc (Don’t Touch)'!$AA$2:$AX$151,$AI35,COLUMN()-COLUMN($J$16)+1)&gt;0,OR($D35="03. UX Discovery",$D35="04. UX Design")),IF(AND($H35&lt;&gt;"",$H35&lt;=EOMONTH(AA$12,0),$I35&gt;=AA$12),"UX+DEV","UX"),IF(AND($H35&lt;&gt;"",$H35&lt;=EOMONTH(AA$12,0),$I35&gt;=AA$12),"DEV",""))))</f>
      </c>
      <c r="AB35" s="158" t="str">
        <f>IF($AI35="","",IF(AND($AN35&lt;&gt;"",$AN35&lt;=EOMONTH(AB$12,0),$AO35&gt;=AB$12),IF(AND(INDEX('Roadmap Calc (Don’t Touch)'!$AA$2:$AX$151,$AI35,COLUMN()-COLUMN($J$16)+1)&gt;0,OR($D35="03. UX Discovery",$D35="04. UX Design")),IF(AND($H35&lt;&gt;"",$H35&lt;=EOMONTH(AB$12,0),$I35&gt;=AB$12),"ALL","PD+UX"),IF(AND($H35&lt;&gt;"",$H35&lt;=EOMONTH(AB$12,0),$I35&gt;=AB$12),"PD+DEV","PD")),IF(AND(INDEX('Roadmap Calc (Don’t Touch)'!$AA$2:$AX$151,$AI35,COLUMN()-COLUMN($J$16)+1)&gt;0,OR($D35="03. UX Discovery",$D35="04. UX Design")),IF(AND($H35&lt;&gt;"",$H35&lt;=EOMONTH(AB$12,0),$I35&gt;=AB$12),"UX+DEV","UX"),IF(AND($H35&lt;&gt;"",$H35&lt;=EOMONTH(AB$12,0),$I35&gt;=AB$12),"DEV",""))))</f>
      </c>
      <c r="AC35" s="158" t="str">
        <f>IF($AI35="","",IF(AND($AN35&lt;&gt;"",$AN35&lt;=EOMONTH(AC$12,0),$AO35&gt;=AC$12),IF(AND(INDEX('Roadmap Calc (Don’t Touch)'!$AA$2:$AX$151,$AI35,COLUMN()-COLUMN($J$16)+1)&gt;0,OR($D35="03. UX Discovery",$D35="04. UX Design")),IF(AND($H35&lt;&gt;"",$H35&lt;=EOMONTH(AC$12,0),$I35&gt;=AC$12),"ALL","PD+UX"),IF(AND($H35&lt;&gt;"",$H35&lt;=EOMONTH(AC$12,0),$I35&gt;=AC$12),"PD+DEV","PD")),IF(AND(INDEX('Roadmap Calc (Don’t Touch)'!$AA$2:$AX$151,$AI35,COLUMN()-COLUMN($J$16)+1)&gt;0,OR($D35="03. UX Discovery",$D35="04. UX Design")),IF(AND($H35&lt;&gt;"",$H35&lt;=EOMONTH(AC$12,0),$I35&gt;=AC$12),"UX+DEV","UX"),IF(AND($H35&lt;&gt;"",$H35&lt;=EOMONTH(AC$12,0),$I35&gt;=AC$12),"DEV",""))))</f>
      </c>
      <c r="AD35" s="158" t="str">
        <f>IF($AI35="","",IF(AND($AN35&lt;&gt;"",$AN35&lt;=EOMONTH(AD$12,0),$AO35&gt;=AD$12),IF(AND(INDEX('Roadmap Calc (Don’t Touch)'!$AA$2:$AX$151,$AI35,COLUMN()-COLUMN($J$16)+1)&gt;0,OR($D35="03. UX Discovery",$D35="04. UX Design")),IF(AND($H35&lt;&gt;"",$H35&lt;=EOMONTH(AD$12,0),$I35&gt;=AD$12),"ALL","PD+UX"),IF(AND($H35&lt;&gt;"",$H35&lt;=EOMONTH(AD$12,0),$I35&gt;=AD$12),"PD+DEV","PD")),IF(AND(INDEX('Roadmap Calc (Don’t Touch)'!$AA$2:$AX$151,$AI35,COLUMN()-COLUMN($J$16)+1)&gt;0,OR($D35="03. UX Discovery",$D35="04. UX Design")),IF(AND($H35&lt;&gt;"",$H35&lt;=EOMONTH(AD$12,0),$I35&gt;=AD$12),"UX+DEV","UX"),IF(AND($H35&lt;&gt;"",$H35&lt;=EOMONTH(AD$12,0),$I35&gt;=AD$12),"DEV",""))))</f>
      </c>
      <c r="AE35" s="158" t="str">
        <f>IF($AI35="","",IF(AND($AN35&lt;&gt;"",$AN35&lt;=EOMONTH(AE$12,0),$AO35&gt;=AE$12),IF(AND(INDEX('Roadmap Calc (Don’t Touch)'!$AA$2:$AX$151,$AI35,COLUMN()-COLUMN($J$16)+1)&gt;0,OR($D35="03. UX Discovery",$D35="04. UX Design")),IF(AND($H35&lt;&gt;"",$H35&lt;=EOMONTH(AE$12,0),$I35&gt;=AE$12),"ALL","PD+UX"),IF(AND($H35&lt;&gt;"",$H35&lt;=EOMONTH(AE$12,0),$I35&gt;=AE$12),"PD+DEV","PD")),IF(AND(INDEX('Roadmap Calc (Don’t Touch)'!$AA$2:$AX$151,$AI35,COLUMN()-COLUMN($J$16)+1)&gt;0,OR($D35="03. UX Discovery",$D35="04. UX Design")),IF(AND($H35&lt;&gt;"",$H35&lt;=EOMONTH(AE$12,0),$I35&gt;=AE$12),"UX+DEV","UX"),IF(AND($H35&lt;&gt;"",$H35&lt;=EOMONTH(AE$12,0),$I35&gt;=AE$12),"DEV",""))))</f>
      </c>
      <c r="AF35" s="158" t="str">
        <f>IF($AI35="","",IF(AND($AN35&lt;&gt;"",$AN35&lt;=EOMONTH(AF$12,0),$AO35&gt;=AF$12),IF(AND(INDEX('Roadmap Calc (Don’t Touch)'!$AA$2:$AX$151,$AI35,COLUMN()-COLUMN($J$16)+1)&gt;0,OR($D35="03. UX Discovery",$D35="04. UX Design")),IF(AND($H35&lt;&gt;"",$H35&lt;=EOMONTH(AF$12,0),$I35&gt;=AF$12),"ALL","PD+UX"),IF(AND($H35&lt;&gt;"",$H35&lt;=EOMONTH(AF$12,0),$I35&gt;=AF$12),"PD+DEV","PD")),IF(AND(INDEX('Roadmap Calc (Don’t Touch)'!$AA$2:$AX$151,$AI35,COLUMN()-COLUMN($J$16)+1)&gt;0,OR($D35="03. UX Discovery",$D35="04. UX Design")),IF(AND($H35&lt;&gt;"",$H35&lt;=EOMONTH(AF$12,0),$I35&gt;=AF$12),"UX+DEV","UX"),IF(AND($H35&lt;&gt;"",$H35&lt;=EOMONTH(AF$12,0),$I35&gt;=AF$12),"DEV",""))))</f>
      </c>
      <c r="AG35" s="158" t="str">
        <f>IF($AI35="","",IF(AND($AN35&lt;&gt;"",$AN35&lt;=EOMONTH(AG$12,0),$AO35&gt;=AG$12),IF(AND(INDEX('Roadmap Calc (Don’t Touch)'!$AA$2:$AX$151,$AI35,COLUMN()-COLUMN($J$16)+1)&gt;0,OR($D35="03. UX Discovery",$D35="04. UX Design")),IF(AND($H35&lt;&gt;"",$H35&lt;=EOMONTH(AG$12,0),$I35&gt;=AG$12),"ALL","PD+UX"),IF(AND($H35&lt;&gt;"",$H35&lt;=EOMONTH(AG$12,0),$I35&gt;=AG$12),"PD+DEV","PD")),IF(AND(INDEX('Roadmap Calc (Don’t Touch)'!$AA$2:$AX$151,$AI35,COLUMN()-COLUMN($J$16)+1)&gt;0,OR($D35="03. UX Discovery",$D35="04. UX Design")),IF(AND($H35&lt;&gt;"",$H35&lt;=EOMONTH(AG$12,0),$I35&gt;=AG$12),"UX+DEV","UX"),IF(AND($H35&lt;&gt;"",$H35&lt;=EOMONTH(AG$12,0),$I35&gt;=AG$12),"DEV",""))))</f>
      </c>
      <c r="AH35" s="145" t="str">
        <f>IF($AI35="","",INDEX('Roadmap Calc (Don’t Touch)'!$D$2:$D$151,$AI35))</f>
        <v>Increase Buy Used Awareness</v>
      </c>
      <c r="AI35" s="145">
        <f>IFERROR(MATCH(20,'Roadmap Calc (Don’t Touch)'!$O$2:$O$151,0),"")</f>
        <v>38</v>
      </c>
      <c r="AJ35" s="145"/>
      <c r="AK35" s="145"/>
      <c r="AL35" s="145"/>
      <c r="AM35" s="145"/>
      <c r="AN35">
        <f>IF($AI35="","",IF(ISNUMBER(INDEX('Roadmap Calc (Don’t Touch)'!$BB$2:$BB$151,$AI35)),INDEX('Roadmap Calc (Don’t Touch)'!$BB$2:$BB$151,$AI35),""))</f>
      </c>
      <c r="AO35">
        <f>IF($AI35="","",IF(ISNUMBER(INDEX('Roadmap Calc (Don’t Touch)'!$BC$2:$BC$151,$AI35)),INDEX('Roadmap Calc (Don’t Touch)'!$BC$2:$BC$151,$AI35),""))</f>
      </c>
    </row>
    <row r="36" spans="1:41" ht="20" customHeight="1" x14ac:dyDescent="0.25">
      <c r="A36" s="198" t="str">
        <f>IF($AI36="","",IF($AH36=$AH35,"",IF(INDEX('Roadmap Calc (Don’t Touch)'!$U$2:$U$151,$AI36)=0,$AH36,HYPERLINK("#'Control (Don’t Touch)'!E"&amp;INDEX('Roadmap Calc (Don’t Touch)'!$U$2:$U$151,$AI36),$AH36))))</f>
        <v/>
      </c>
      <c r="B36" s="159" t="str">
        <f>IF($AI36="","",IF(INDEX('Roadmap Calc (Don’t Touch)'!$K$2:$K$151,$AI36)="",INDEX('Roadmap Calc (Don’t Touch)'!$B$2:$B$151,$AI36),HYPERLINK("https://jira.bnh.com/browse/"&amp;INDEX('Roadmap Calc (Don’t Touch)'!$K$2:$K$151,$AI36),INDEX('Roadmap Calc (Don’t Touch)'!$B$2:$B$151,$AI36))))</f>
        <v>Used Hub Enhancements</v>
      </c>
      <c r="C36" s="159" t="str">
        <f>IF($AI36="","",IF(INDEX('Roadmap Calc (Don’t Touch)'!$E$2:$E$151,$AI36)="","",HYPERLINK("https://jira.bnh.com/browse/"&amp;INDEX('Roadmap Calc (Don’t Touch)'!$E$2:$E$151,$AI36),INDEX('Roadmap Calc (Don’t Touch)'!$E$2:$E$151,$AI36))))</f>
        <v>BHUX-31354 </v>
      </c>
      <c r="D36" s="161" t="str">
        <f>IF($AI36="","",INDEX('Roadmap Calc (Don’t Touch)'!$F$2:$F$151,$AI36))</f>
        <v>13. Live</v>
      </c>
      <c r="E36" s="155" t="str">
        <f>IF($AI36="","",IF(ISNUMBER(INDEX('Roadmap Calc (Don’t Touch)'!$G$2:$G$151,$AI36)),INDEX('Roadmap Calc (Don’t Touch)'!$G$2:$G$151,$AI36),""))</f>
        <v/>
      </c>
      <c r="F36" s="155" t="str">
        <f>IF($AI36="","",IF(ISNUMBER(INDEX('Roadmap Calc (Don’t Touch)'!$H$2:$H$151,$AI36)),INDEX('Roadmap Calc (Don’t Touch)'!$H$2:$H$151,$AI36),""))</f>
        <v/>
      </c>
      <c r="G36" s="156">
        <f>IF($AI36="","",INDEX('Roadmap Calc (Don’t Touch)'!$T$2:$T$151,$AI36))</f>
        <v>0</v>
      </c>
      <c r="H36" s="157" t="str">
        <f ca="1">IF($AI36="","",IF(ISNUMBER(INDEX('Roadmap Calc (Don’t Touch)'!$I$2:$I$151,$AI36)),INDEX('Roadmap Calc (Don’t Touch)'!$I$2:$I$151,$AI36),""))</f>
        <v/>
      </c>
      <c r="I36" s="157" t="str">
        <f ca="1">IF($AI36="","",IF(ISNUMBER(INDEX('Roadmap Calc (Don’t Touch)'!$J$2:$J$151,$AI36)),INDEX('Roadmap Calc (Don’t Touch)'!$J$2:$J$151,$AI36),""))</f>
        <v/>
      </c>
      <c r="J36" s="158" t="str">
        <f>IF($AI36="","",IF(AND($AN36&lt;&gt;"",$AN36&lt;=EOMONTH(J$12,0),$AO36&gt;=J$12),IF(AND(INDEX('Roadmap Calc (Don’t Touch)'!$AA$2:$AX$151,$AI36,COLUMN()-COLUMN($J$16)+1)&gt;0,OR($D36="03. UX Discovery",$D36="04. UX Design")),IF(AND($H36&lt;&gt;"",$H36&lt;=EOMONTH(J$12,0),$I36&gt;=J$12),"ALL","PD+UX"),IF(AND($H36&lt;&gt;"",$H36&lt;=EOMONTH(J$12,0),$I36&gt;=J$12),"PD+DEV","PD")),IF(AND(INDEX('Roadmap Calc (Don’t Touch)'!$AA$2:$AX$151,$AI36,COLUMN()-COLUMN($J$16)+1)&gt;0,OR($D36="03. UX Discovery",$D36="04. UX Design")),IF(AND($H36&lt;&gt;"",$H36&lt;=EOMONTH(J$12,0),$I36&gt;=J$12),"UX+DEV","UX"),IF(AND($H36&lt;&gt;"",$H36&lt;=EOMONTH(J$12,0),$I36&gt;=J$12),"DEV",""))))</f>
      </c>
      <c r="K36" s="158" t="str">
        <f>IF($AI36="","",IF(AND($AN36&lt;&gt;"",$AN36&lt;=EOMONTH(K$12,0),$AO36&gt;=K$12),IF(AND(INDEX('Roadmap Calc (Don’t Touch)'!$AA$2:$AX$151,$AI36,COLUMN()-COLUMN($J$16)+1)&gt;0,OR($D36="03. UX Discovery",$D36="04. UX Design")),IF(AND($H36&lt;&gt;"",$H36&lt;=EOMONTH(K$12,0),$I36&gt;=K$12),"ALL","PD+UX"),IF(AND($H36&lt;&gt;"",$H36&lt;=EOMONTH(K$12,0),$I36&gt;=K$12),"PD+DEV","PD")),IF(AND(INDEX('Roadmap Calc (Don’t Touch)'!$AA$2:$AX$151,$AI36,COLUMN()-COLUMN($J$16)+1)&gt;0,OR($D36="03. UX Discovery",$D36="04. UX Design")),IF(AND($H36&lt;&gt;"",$H36&lt;=EOMONTH(K$12,0),$I36&gt;=K$12),"UX+DEV","UX"),IF(AND($H36&lt;&gt;"",$H36&lt;=EOMONTH(K$12,0),$I36&gt;=K$12),"DEV",""))))</f>
      </c>
      <c r="L36" s="158" t="str">
        <f>IF($AI36="","",IF(AND($AN36&lt;&gt;"",$AN36&lt;=EOMONTH(L$12,0),$AO36&gt;=L$12),IF(AND(INDEX('Roadmap Calc (Don’t Touch)'!$AA$2:$AX$151,$AI36,COLUMN()-COLUMN($J$16)+1)&gt;0,OR($D36="03. UX Discovery",$D36="04. UX Design")),IF(AND($H36&lt;&gt;"",$H36&lt;=EOMONTH(L$12,0),$I36&gt;=L$12),"ALL","PD+UX"),IF(AND($H36&lt;&gt;"",$H36&lt;=EOMONTH(L$12,0),$I36&gt;=L$12),"PD+DEV","PD")),IF(AND(INDEX('Roadmap Calc (Don’t Touch)'!$AA$2:$AX$151,$AI36,COLUMN()-COLUMN($J$16)+1)&gt;0,OR($D36="03. UX Discovery",$D36="04. UX Design")),IF(AND($H36&lt;&gt;"",$H36&lt;=EOMONTH(L$12,0),$I36&gt;=L$12),"UX+DEV","UX"),IF(AND($H36&lt;&gt;"",$H36&lt;=EOMONTH(L$12,0),$I36&gt;=L$12),"DEV",""))))</f>
      </c>
      <c r="M36" s="158" t="str">
        <f>IF($AI36="","",IF(AND($AN36&lt;&gt;"",$AN36&lt;=EOMONTH(M$12,0),$AO36&gt;=M$12),IF(AND(INDEX('Roadmap Calc (Don’t Touch)'!$AA$2:$AX$151,$AI36,COLUMN()-COLUMN($J$16)+1)&gt;0,OR($D36="03. UX Discovery",$D36="04. UX Design")),IF(AND($H36&lt;&gt;"",$H36&lt;=EOMONTH(M$12,0),$I36&gt;=M$12),"ALL","PD+UX"),IF(AND($H36&lt;&gt;"",$H36&lt;=EOMONTH(M$12,0),$I36&gt;=M$12),"PD+DEV","PD")),IF(AND(INDEX('Roadmap Calc (Don’t Touch)'!$AA$2:$AX$151,$AI36,COLUMN()-COLUMN($J$16)+1)&gt;0,OR($D36="03. UX Discovery",$D36="04. UX Design")),IF(AND($H36&lt;&gt;"",$H36&lt;=EOMONTH(M$12,0),$I36&gt;=M$12),"UX+DEV","UX"),IF(AND($H36&lt;&gt;"",$H36&lt;=EOMONTH(M$12,0),$I36&gt;=M$12),"DEV",""))))</f>
      </c>
      <c r="N36" s="158" t="str">
        <f>IF($AI36="","",IF(AND($AN36&lt;&gt;"",$AN36&lt;=EOMONTH(N$12,0),$AO36&gt;=N$12),IF(AND(INDEX('Roadmap Calc (Don’t Touch)'!$AA$2:$AX$151,$AI36,COLUMN()-COLUMN($J$16)+1)&gt;0,OR($D36="03. UX Discovery",$D36="04. UX Design")),IF(AND($H36&lt;&gt;"",$H36&lt;=EOMONTH(N$12,0),$I36&gt;=N$12),"ALL","PD+UX"),IF(AND($H36&lt;&gt;"",$H36&lt;=EOMONTH(N$12,0),$I36&gt;=N$12),"PD+DEV","PD")),IF(AND(INDEX('Roadmap Calc (Don’t Touch)'!$AA$2:$AX$151,$AI36,COLUMN()-COLUMN($J$16)+1)&gt;0,OR($D36="03. UX Discovery",$D36="04. UX Design")),IF(AND($H36&lt;&gt;"",$H36&lt;=EOMONTH(N$12,0),$I36&gt;=N$12),"UX+DEV","UX"),IF(AND($H36&lt;&gt;"",$H36&lt;=EOMONTH(N$12,0),$I36&gt;=N$12),"DEV",""))))</f>
      </c>
      <c r="O36" s="158" t="str">
        <f>IF($AI36="","",IF(AND($AN36&lt;&gt;"",$AN36&lt;=EOMONTH(O$12,0),$AO36&gt;=O$12),IF(AND(INDEX('Roadmap Calc (Don’t Touch)'!$AA$2:$AX$151,$AI36,COLUMN()-COLUMN($J$16)+1)&gt;0,OR($D36="03. UX Discovery",$D36="04. UX Design")),IF(AND($H36&lt;&gt;"",$H36&lt;=EOMONTH(O$12,0),$I36&gt;=O$12),"ALL","PD+UX"),IF(AND($H36&lt;&gt;"",$H36&lt;=EOMONTH(O$12,0),$I36&gt;=O$12),"PD+DEV","PD")),IF(AND(INDEX('Roadmap Calc (Don’t Touch)'!$AA$2:$AX$151,$AI36,COLUMN()-COLUMN($J$16)+1)&gt;0,OR($D36="03. UX Discovery",$D36="04. UX Design")),IF(AND($H36&lt;&gt;"",$H36&lt;=EOMONTH(O$12,0),$I36&gt;=O$12),"UX+DEV","UX"),IF(AND($H36&lt;&gt;"",$H36&lt;=EOMONTH(O$12,0),$I36&gt;=O$12),"DEV",""))))</f>
      </c>
      <c r="P36" s="158" t="str">
        <f>IF($AI36="","",IF(AND($AN36&lt;&gt;"",$AN36&lt;=EOMONTH(P$12,0),$AO36&gt;=P$12),IF(AND(INDEX('Roadmap Calc (Don’t Touch)'!$AA$2:$AX$151,$AI36,COLUMN()-COLUMN($J$16)+1)&gt;0,OR($D36="03. UX Discovery",$D36="04. UX Design")),IF(AND($H36&lt;&gt;"",$H36&lt;=EOMONTH(P$12,0),$I36&gt;=P$12),"ALL","PD+UX"),IF(AND($H36&lt;&gt;"",$H36&lt;=EOMONTH(P$12,0),$I36&gt;=P$12),"PD+DEV","PD")),IF(AND(INDEX('Roadmap Calc (Don’t Touch)'!$AA$2:$AX$151,$AI36,COLUMN()-COLUMN($J$16)+1)&gt;0,OR($D36="03. UX Discovery",$D36="04. UX Design")),IF(AND($H36&lt;&gt;"",$H36&lt;=EOMONTH(P$12,0),$I36&gt;=P$12),"UX+DEV","UX"),IF(AND($H36&lt;&gt;"",$H36&lt;=EOMONTH(P$12,0),$I36&gt;=P$12),"DEV",""))))</f>
      </c>
      <c r="Q36" s="158" t="str">
        <f>IF($AI36="","",IF(AND($AN36&lt;&gt;"",$AN36&lt;=EOMONTH(Q$12,0),$AO36&gt;=Q$12),IF(AND(INDEX('Roadmap Calc (Don’t Touch)'!$AA$2:$AX$151,$AI36,COLUMN()-COLUMN($J$16)+1)&gt;0,OR($D36="03. UX Discovery",$D36="04. UX Design")),IF(AND($H36&lt;&gt;"",$H36&lt;=EOMONTH(Q$12,0),$I36&gt;=Q$12),"ALL","PD+UX"),IF(AND($H36&lt;&gt;"",$H36&lt;=EOMONTH(Q$12,0),$I36&gt;=Q$12),"PD+DEV","PD")),IF(AND(INDEX('Roadmap Calc (Don’t Touch)'!$AA$2:$AX$151,$AI36,COLUMN()-COLUMN($J$16)+1)&gt;0,OR($D36="03. UX Discovery",$D36="04. UX Design")),IF(AND($H36&lt;&gt;"",$H36&lt;=EOMONTH(Q$12,0),$I36&gt;=Q$12),"UX+DEV","UX"),IF(AND($H36&lt;&gt;"",$H36&lt;=EOMONTH(Q$12,0),$I36&gt;=Q$12),"DEV",""))))</f>
      </c>
      <c r="R36" s="158" t="str">
        <f>IF($AI36="","",IF(AND($AN36&lt;&gt;"",$AN36&lt;=EOMONTH(R$12,0),$AO36&gt;=R$12),IF(AND(INDEX('Roadmap Calc (Don’t Touch)'!$AA$2:$AX$151,$AI36,COLUMN()-COLUMN($J$16)+1)&gt;0,OR($D36="03. UX Discovery",$D36="04. UX Design")),IF(AND($H36&lt;&gt;"",$H36&lt;=EOMONTH(R$12,0),$I36&gt;=R$12),"ALL","PD+UX"),IF(AND($H36&lt;&gt;"",$H36&lt;=EOMONTH(R$12,0),$I36&gt;=R$12),"PD+DEV","PD")),IF(AND(INDEX('Roadmap Calc (Don’t Touch)'!$AA$2:$AX$151,$AI36,COLUMN()-COLUMN($J$16)+1)&gt;0,OR($D36="03. UX Discovery",$D36="04. UX Design")),IF(AND($H36&lt;&gt;"",$H36&lt;=EOMONTH(R$12,0),$I36&gt;=R$12),"UX+DEV","UX"),IF(AND($H36&lt;&gt;"",$H36&lt;=EOMONTH(R$12,0),$I36&gt;=R$12),"DEV",""))))</f>
      </c>
      <c r="S36" s="158" t="str">
        <f>IF($AI36="","",IF(AND($AN36&lt;&gt;"",$AN36&lt;=EOMONTH(S$12,0),$AO36&gt;=S$12),IF(AND(INDEX('Roadmap Calc (Don’t Touch)'!$AA$2:$AX$151,$AI36,COLUMN()-COLUMN($J$16)+1)&gt;0,OR($D36="03. UX Discovery",$D36="04. UX Design")),IF(AND($H36&lt;&gt;"",$H36&lt;=EOMONTH(S$12,0),$I36&gt;=S$12),"ALL","PD+UX"),IF(AND($H36&lt;&gt;"",$H36&lt;=EOMONTH(S$12,0),$I36&gt;=S$12),"PD+DEV","PD")),IF(AND(INDEX('Roadmap Calc (Don’t Touch)'!$AA$2:$AX$151,$AI36,COLUMN()-COLUMN($J$16)+1)&gt;0,OR($D36="03. UX Discovery",$D36="04. UX Design")),IF(AND($H36&lt;&gt;"",$H36&lt;=EOMONTH(S$12,0),$I36&gt;=S$12),"UX+DEV","UX"),IF(AND($H36&lt;&gt;"",$H36&lt;=EOMONTH(S$12,0),$I36&gt;=S$12),"DEV",""))))</f>
      </c>
      <c r="T36" s="158" t="str">
        <f>IF($AI36="","",IF(AND($AN36&lt;&gt;"",$AN36&lt;=EOMONTH(T$12,0),$AO36&gt;=T$12),IF(AND(INDEX('Roadmap Calc (Don’t Touch)'!$AA$2:$AX$151,$AI36,COLUMN()-COLUMN($J$16)+1)&gt;0,OR($D36="03. UX Discovery",$D36="04. UX Design")),IF(AND($H36&lt;&gt;"",$H36&lt;=EOMONTH(T$12,0),$I36&gt;=T$12),"ALL","PD+UX"),IF(AND($H36&lt;&gt;"",$H36&lt;=EOMONTH(T$12,0),$I36&gt;=T$12),"PD+DEV","PD")),IF(AND(INDEX('Roadmap Calc (Don’t Touch)'!$AA$2:$AX$151,$AI36,COLUMN()-COLUMN($J$16)+1)&gt;0,OR($D36="03. UX Discovery",$D36="04. UX Design")),IF(AND($H36&lt;&gt;"",$H36&lt;=EOMONTH(T$12,0),$I36&gt;=T$12),"UX+DEV","UX"),IF(AND($H36&lt;&gt;"",$H36&lt;=EOMONTH(T$12,0),$I36&gt;=T$12),"DEV",""))))</f>
      </c>
      <c r="U36" s="158" t="str">
        <f>IF($AI36="","",IF(AND($AN36&lt;&gt;"",$AN36&lt;=EOMONTH(U$12,0),$AO36&gt;=U$12),IF(AND(INDEX('Roadmap Calc (Don’t Touch)'!$AA$2:$AX$151,$AI36,COLUMN()-COLUMN($J$16)+1)&gt;0,OR($D36="03. UX Discovery",$D36="04. UX Design")),IF(AND($H36&lt;&gt;"",$H36&lt;=EOMONTH(U$12,0),$I36&gt;=U$12),"ALL","PD+UX"),IF(AND($H36&lt;&gt;"",$H36&lt;=EOMONTH(U$12,0),$I36&gt;=U$12),"PD+DEV","PD")),IF(AND(INDEX('Roadmap Calc (Don’t Touch)'!$AA$2:$AX$151,$AI36,COLUMN()-COLUMN($J$16)+1)&gt;0,OR($D36="03. UX Discovery",$D36="04. UX Design")),IF(AND($H36&lt;&gt;"",$H36&lt;=EOMONTH(U$12,0),$I36&gt;=U$12),"UX+DEV","UX"),IF(AND($H36&lt;&gt;"",$H36&lt;=EOMONTH(U$12,0),$I36&gt;=U$12),"DEV",""))))</f>
      </c>
      <c r="V36" s="158" t="str">
        <f>IF($AI36="","",IF(AND($AN36&lt;&gt;"",$AN36&lt;=EOMONTH(V$12,0),$AO36&gt;=V$12),IF(AND(INDEX('Roadmap Calc (Don’t Touch)'!$AA$2:$AX$151,$AI36,COLUMN()-COLUMN($J$16)+1)&gt;0,OR($D36="03. UX Discovery",$D36="04. UX Design")),IF(AND($H36&lt;&gt;"",$H36&lt;=EOMONTH(V$12,0),$I36&gt;=V$12),"ALL","PD+UX"),IF(AND($H36&lt;&gt;"",$H36&lt;=EOMONTH(V$12,0),$I36&gt;=V$12),"PD+DEV","PD")),IF(AND(INDEX('Roadmap Calc (Don’t Touch)'!$AA$2:$AX$151,$AI36,COLUMN()-COLUMN($J$16)+1)&gt;0,OR($D36="03. UX Discovery",$D36="04. UX Design")),IF(AND($H36&lt;&gt;"",$H36&lt;=EOMONTH(V$12,0),$I36&gt;=V$12),"UX+DEV","UX"),IF(AND($H36&lt;&gt;"",$H36&lt;=EOMONTH(V$12,0),$I36&gt;=V$12),"DEV",""))))</f>
      </c>
      <c r="W36" s="158" t="str">
        <f>IF($AI36="","",IF(AND($AN36&lt;&gt;"",$AN36&lt;=EOMONTH(W$12,0),$AO36&gt;=W$12),IF(AND(INDEX('Roadmap Calc (Don’t Touch)'!$AA$2:$AX$151,$AI36,COLUMN()-COLUMN($J$16)+1)&gt;0,OR($D36="03. UX Discovery",$D36="04. UX Design")),IF(AND($H36&lt;&gt;"",$H36&lt;=EOMONTH(W$12,0),$I36&gt;=W$12),"ALL","PD+UX"),IF(AND($H36&lt;&gt;"",$H36&lt;=EOMONTH(W$12,0),$I36&gt;=W$12),"PD+DEV","PD")),IF(AND(INDEX('Roadmap Calc (Don’t Touch)'!$AA$2:$AX$151,$AI36,COLUMN()-COLUMN($J$16)+1)&gt;0,OR($D36="03. UX Discovery",$D36="04. UX Design")),IF(AND($H36&lt;&gt;"",$H36&lt;=EOMONTH(W$12,0),$I36&gt;=W$12),"UX+DEV","UX"),IF(AND($H36&lt;&gt;"",$H36&lt;=EOMONTH(W$12,0),$I36&gt;=W$12),"DEV",""))))</f>
      </c>
      <c r="X36" s="158" t="str">
        <f>IF($AI36="","",IF(AND($AN36&lt;&gt;"",$AN36&lt;=EOMONTH(X$12,0),$AO36&gt;=X$12),IF(AND(INDEX('Roadmap Calc (Don’t Touch)'!$AA$2:$AX$151,$AI36,COLUMN()-COLUMN($J$16)+1)&gt;0,OR($D36="03. UX Discovery",$D36="04. UX Design")),IF(AND($H36&lt;&gt;"",$H36&lt;=EOMONTH(X$12,0),$I36&gt;=X$12),"ALL","PD+UX"),IF(AND($H36&lt;&gt;"",$H36&lt;=EOMONTH(X$12,0),$I36&gt;=X$12),"PD+DEV","PD")),IF(AND(INDEX('Roadmap Calc (Don’t Touch)'!$AA$2:$AX$151,$AI36,COLUMN()-COLUMN($J$16)+1)&gt;0,OR($D36="03. UX Discovery",$D36="04. UX Design")),IF(AND($H36&lt;&gt;"",$H36&lt;=EOMONTH(X$12,0),$I36&gt;=X$12),"UX+DEV","UX"),IF(AND($H36&lt;&gt;"",$H36&lt;=EOMONTH(X$12,0),$I36&gt;=X$12),"DEV",""))))</f>
      </c>
      <c r="Y36" s="158" t="str">
        <f>IF($AI36="","",IF(AND($AN36&lt;&gt;"",$AN36&lt;=EOMONTH(Y$12,0),$AO36&gt;=Y$12),IF(AND(INDEX('Roadmap Calc (Don’t Touch)'!$AA$2:$AX$151,$AI36,COLUMN()-COLUMN($J$16)+1)&gt;0,OR($D36="03. UX Discovery",$D36="04. UX Design")),IF(AND($H36&lt;&gt;"",$H36&lt;=EOMONTH(Y$12,0),$I36&gt;=Y$12),"ALL","PD+UX"),IF(AND($H36&lt;&gt;"",$H36&lt;=EOMONTH(Y$12,0),$I36&gt;=Y$12),"PD+DEV","PD")),IF(AND(INDEX('Roadmap Calc (Don’t Touch)'!$AA$2:$AX$151,$AI36,COLUMN()-COLUMN($J$16)+1)&gt;0,OR($D36="03. UX Discovery",$D36="04. UX Design")),IF(AND($H36&lt;&gt;"",$H36&lt;=EOMONTH(Y$12,0),$I36&gt;=Y$12),"UX+DEV","UX"),IF(AND($H36&lt;&gt;"",$H36&lt;=EOMONTH(Y$12,0),$I36&gt;=Y$12),"DEV",""))))</f>
      </c>
      <c r="Z36" s="158" t="str">
        <f>IF($AI36="","",IF(AND($AN36&lt;&gt;"",$AN36&lt;=EOMONTH(Z$12,0),$AO36&gt;=Z$12),IF(AND(INDEX('Roadmap Calc (Don’t Touch)'!$AA$2:$AX$151,$AI36,COLUMN()-COLUMN($J$16)+1)&gt;0,OR($D36="03. UX Discovery",$D36="04. UX Design")),IF(AND($H36&lt;&gt;"",$H36&lt;=EOMONTH(Z$12,0),$I36&gt;=Z$12),"ALL","PD+UX"),IF(AND($H36&lt;&gt;"",$H36&lt;=EOMONTH(Z$12,0),$I36&gt;=Z$12),"PD+DEV","PD")),IF(AND(INDEX('Roadmap Calc (Don’t Touch)'!$AA$2:$AX$151,$AI36,COLUMN()-COLUMN($J$16)+1)&gt;0,OR($D36="03. UX Discovery",$D36="04. UX Design")),IF(AND($H36&lt;&gt;"",$H36&lt;=EOMONTH(Z$12,0),$I36&gt;=Z$12),"UX+DEV","UX"),IF(AND($H36&lt;&gt;"",$H36&lt;=EOMONTH(Z$12,0),$I36&gt;=Z$12),"DEV",""))))</f>
      </c>
      <c r="AA36" s="158" t="str">
        <f>IF($AI36="","",IF(AND($AN36&lt;&gt;"",$AN36&lt;=EOMONTH(AA$12,0),$AO36&gt;=AA$12),IF(AND(INDEX('Roadmap Calc (Don’t Touch)'!$AA$2:$AX$151,$AI36,COLUMN()-COLUMN($J$16)+1)&gt;0,OR($D36="03. UX Discovery",$D36="04. UX Design")),IF(AND($H36&lt;&gt;"",$H36&lt;=EOMONTH(AA$12,0),$I36&gt;=AA$12),"ALL","PD+UX"),IF(AND($H36&lt;&gt;"",$H36&lt;=EOMONTH(AA$12,0),$I36&gt;=AA$12),"PD+DEV","PD")),IF(AND(INDEX('Roadmap Calc (Don’t Touch)'!$AA$2:$AX$151,$AI36,COLUMN()-COLUMN($J$16)+1)&gt;0,OR($D36="03. UX Discovery",$D36="04. UX Design")),IF(AND($H36&lt;&gt;"",$H36&lt;=EOMONTH(AA$12,0),$I36&gt;=AA$12),"UX+DEV","UX"),IF(AND($H36&lt;&gt;"",$H36&lt;=EOMONTH(AA$12,0),$I36&gt;=AA$12),"DEV",""))))</f>
      </c>
      <c r="AB36" s="158" t="str">
        <f>IF($AI36="","",IF(AND($AN36&lt;&gt;"",$AN36&lt;=EOMONTH(AB$12,0),$AO36&gt;=AB$12),IF(AND(INDEX('Roadmap Calc (Don’t Touch)'!$AA$2:$AX$151,$AI36,COLUMN()-COLUMN($J$16)+1)&gt;0,OR($D36="03. UX Discovery",$D36="04. UX Design")),IF(AND($H36&lt;&gt;"",$H36&lt;=EOMONTH(AB$12,0),$I36&gt;=AB$12),"ALL","PD+UX"),IF(AND($H36&lt;&gt;"",$H36&lt;=EOMONTH(AB$12,0),$I36&gt;=AB$12),"PD+DEV","PD")),IF(AND(INDEX('Roadmap Calc (Don’t Touch)'!$AA$2:$AX$151,$AI36,COLUMN()-COLUMN($J$16)+1)&gt;0,OR($D36="03. UX Discovery",$D36="04. UX Design")),IF(AND($H36&lt;&gt;"",$H36&lt;=EOMONTH(AB$12,0),$I36&gt;=AB$12),"UX+DEV","UX"),IF(AND($H36&lt;&gt;"",$H36&lt;=EOMONTH(AB$12,0),$I36&gt;=AB$12),"DEV",""))))</f>
      </c>
      <c r="AC36" s="158" t="str">
        <f>IF($AI36="","",IF(AND($AN36&lt;&gt;"",$AN36&lt;=EOMONTH(AC$12,0),$AO36&gt;=AC$12),IF(AND(INDEX('Roadmap Calc (Don’t Touch)'!$AA$2:$AX$151,$AI36,COLUMN()-COLUMN($J$16)+1)&gt;0,OR($D36="03. UX Discovery",$D36="04. UX Design")),IF(AND($H36&lt;&gt;"",$H36&lt;=EOMONTH(AC$12,0),$I36&gt;=AC$12),"ALL","PD+UX"),IF(AND($H36&lt;&gt;"",$H36&lt;=EOMONTH(AC$12,0),$I36&gt;=AC$12),"PD+DEV","PD")),IF(AND(INDEX('Roadmap Calc (Don’t Touch)'!$AA$2:$AX$151,$AI36,COLUMN()-COLUMN($J$16)+1)&gt;0,OR($D36="03. UX Discovery",$D36="04. UX Design")),IF(AND($H36&lt;&gt;"",$H36&lt;=EOMONTH(AC$12,0),$I36&gt;=AC$12),"UX+DEV","UX"),IF(AND($H36&lt;&gt;"",$H36&lt;=EOMONTH(AC$12,0),$I36&gt;=AC$12),"DEV",""))))</f>
      </c>
      <c r="AD36" s="158" t="str">
        <f>IF($AI36="","",IF(AND($AN36&lt;&gt;"",$AN36&lt;=EOMONTH(AD$12,0),$AO36&gt;=AD$12),IF(AND(INDEX('Roadmap Calc (Don’t Touch)'!$AA$2:$AX$151,$AI36,COLUMN()-COLUMN($J$16)+1)&gt;0,OR($D36="03. UX Discovery",$D36="04. UX Design")),IF(AND($H36&lt;&gt;"",$H36&lt;=EOMONTH(AD$12,0),$I36&gt;=AD$12),"ALL","PD+UX"),IF(AND($H36&lt;&gt;"",$H36&lt;=EOMONTH(AD$12,0),$I36&gt;=AD$12),"PD+DEV","PD")),IF(AND(INDEX('Roadmap Calc (Don’t Touch)'!$AA$2:$AX$151,$AI36,COLUMN()-COLUMN($J$16)+1)&gt;0,OR($D36="03. UX Discovery",$D36="04. UX Design")),IF(AND($H36&lt;&gt;"",$H36&lt;=EOMONTH(AD$12,0),$I36&gt;=AD$12),"UX+DEV","UX"),IF(AND($H36&lt;&gt;"",$H36&lt;=EOMONTH(AD$12,0),$I36&gt;=AD$12),"DEV",""))))</f>
      </c>
      <c r="AE36" s="158" t="str">
        <f>IF($AI36="","",IF(AND($AN36&lt;&gt;"",$AN36&lt;=EOMONTH(AE$12,0),$AO36&gt;=AE$12),IF(AND(INDEX('Roadmap Calc (Don’t Touch)'!$AA$2:$AX$151,$AI36,COLUMN()-COLUMN($J$16)+1)&gt;0,OR($D36="03. UX Discovery",$D36="04. UX Design")),IF(AND($H36&lt;&gt;"",$H36&lt;=EOMONTH(AE$12,0),$I36&gt;=AE$12),"ALL","PD+UX"),IF(AND($H36&lt;&gt;"",$H36&lt;=EOMONTH(AE$12,0),$I36&gt;=AE$12),"PD+DEV","PD")),IF(AND(INDEX('Roadmap Calc (Don’t Touch)'!$AA$2:$AX$151,$AI36,COLUMN()-COLUMN($J$16)+1)&gt;0,OR($D36="03. UX Discovery",$D36="04. UX Design")),IF(AND($H36&lt;&gt;"",$H36&lt;=EOMONTH(AE$12,0),$I36&gt;=AE$12),"UX+DEV","UX"),IF(AND($H36&lt;&gt;"",$H36&lt;=EOMONTH(AE$12,0),$I36&gt;=AE$12),"DEV",""))))</f>
      </c>
      <c r="AF36" s="158" t="str">
        <f>IF($AI36="","",IF(AND($AN36&lt;&gt;"",$AN36&lt;=EOMONTH(AF$12,0),$AO36&gt;=AF$12),IF(AND(INDEX('Roadmap Calc (Don’t Touch)'!$AA$2:$AX$151,$AI36,COLUMN()-COLUMN($J$16)+1)&gt;0,OR($D36="03. UX Discovery",$D36="04. UX Design")),IF(AND($H36&lt;&gt;"",$H36&lt;=EOMONTH(AF$12,0),$I36&gt;=AF$12),"ALL","PD+UX"),IF(AND($H36&lt;&gt;"",$H36&lt;=EOMONTH(AF$12,0),$I36&gt;=AF$12),"PD+DEV","PD")),IF(AND(INDEX('Roadmap Calc (Don’t Touch)'!$AA$2:$AX$151,$AI36,COLUMN()-COLUMN($J$16)+1)&gt;0,OR($D36="03. UX Discovery",$D36="04. UX Design")),IF(AND($H36&lt;&gt;"",$H36&lt;=EOMONTH(AF$12,0),$I36&gt;=AF$12),"UX+DEV","UX"),IF(AND($H36&lt;&gt;"",$H36&lt;=EOMONTH(AF$12,0),$I36&gt;=AF$12),"DEV",""))))</f>
      </c>
      <c r="AG36" s="158" t="str">
        <f>IF($AI36="","",IF(AND($AN36&lt;&gt;"",$AN36&lt;=EOMONTH(AG$12,0),$AO36&gt;=AG$12),IF(AND(INDEX('Roadmap Calc (Don’t Touch)'!$AA$2:$AX$151,$AI36,COLUMN()-COLUMN($J$16)+1)&gt;0,OR($D36="03. UX Discovery",$D36="04. UX Design")),IF(AND($H36&lt;&gt;"",$H36&lt;=EOMONTH(AG$12,0),$I36&gt;=AG$12),"ALL","PD+UX"),IF(AND($H36&lt;&gt;"",$H36&lt;=EOMONTH(AG$12,0),$I36&gt;=AG$12),"PD+DEV","PD")),IF(AND(INDEX('Roadmap Calc (Don’t Touch)'!$AA$2:$AX$151,$AI36,COLUMN()-COLUMN($J$16)+1)&gt;0,OR($D36="03. UX Discovery",$D36="04. UX Design")),IF(AND($H36&lt;&gt;"",$H36&lt;=EOMONTH(AG$12,0),$I36&gt;=AG$12),"UX+DEV","UX"),IF(AND($H36&lt;&gt;"",$H36&lt;=EOMONTH(AG$12,0),$I36&gt;=AG$12),"DEV",""))))</f>
      </c>
      <c r="AH36" s="145" t="str">
        <f>IF($AI36="","",INDEX('Roadmap Calc (Don’t Touch)'!$D$2:$D$151,$AI36))</f>
        <v>Increase Buy Used Awareness</v>
      </c>
      <c r="AI36" s="145">
        <f>IFERROR(MATCH(21,'Roadmap Calc (Don’t Touch)'!$O$2:$O$151,0),"")</f>
        <v>47</v>
      </c>
      <c r="AJ36" s="145"/>
      <c r="AK36" s="145"/>
      <c r="AL36" s="145"/>
      <c r="AM36" s="145"/>
      <c r="AN36">
        <f>IF($AI36="","",IF(ISNUMBER(INDEX('Roadmap Calc (Don’t Touch)'!$BB$2:$BB$151,$AI36)),INDEX('Roadmap Calc (Don’t Touch)'!$BB$2:$BB$151,$AI36),""))</f>
      </c>
      <c r="AO36">
        <f>IF($AI36="","",IF(ISNUMBER(INDEX('Roadmap Calc (Don’t Touch)'!$BC$2:$BC$151,$AI36)),INDEX('Roadmap Calc (Don’t Touch)'!$BC$2:$BC$151,$AI36),""))</f>
      </c>
    </row>
    <row r="37" spans="1:41" ht="20" customHeight="1" x14ac:dyDescent="0.25">
      <c r="A37" s="198" t="str">
        <f>IF($AI37="","",IF($AH37=$AH36,"",IF(INDEX('Roadmap Calc (Don’t Touch)'!$U$2:$U$151,$AI37)=0,$AH37,HYPERLINK("#'Control (Don’t Touch)'!E"&amp;INDEX('Roadmap Calc (Don’t Touch)'!$U$2:$U$151,$AI37),$AH37))))</f>
        <v>Improve Buy Used Customer Experience</v>
      </c>
      <c r="B37" s="159" t="str">
        <f>IF($AI37="","",IF(INDEX('Roadmap Calc (Don’t Touch)'!$K$2:$K$151,$AI37)="",INDEX('Roadmap Calc (Don’t Touch)'!$B$2:$B$151,$AI37),HYPERLINK("https://jira.bnh.com/browse/"&amp;INDEX('Roadmap Calc (Don’t Touch)'!$K$2:$K$151,$AI37),INDEX('Roadmap Calc (Don’t Touch)'!$B$2:$B$151,$AI37))))</f>
        <v>New Condition Rating Scale</v>
      </c>
      <c r="C37" s="159" t="str">
        <f>IF($AI37="","",IF(INDEX('Roadmap Calc (Don’t Touch)'!$E$2:$E$151,$AI37)="","",HYPERLINK("https://jira.bnh.com/browse/"&amp;INDEX('Roadmap Calc (Don’t Touch)'!$E$2:$E$151,$AI37),INDEX('Roadmap Calc (Don’t Touch)'!$E$2:$E$151,$AI37))))</f>
        <v>BHUX-33510</v>
      </c>
      <c r="D37" s="161" t="str">
        <f>IF($AI37="","",INDEX('Roadmap Calc (Don’t Touch)'!$F$2:$F$151,$AI37))</f>
        <v>00. Parking Lot</v>
      </c>
      <c r="E37" s="155">
        <f>IF($AI37="","",IF(ISNUMBER(INDEX('Roadmap Calc (Don’t Touch)'!$G$2:$G$151,$AI37)),INDEX('Roadmap Calc (Don’t Touch)'!$G$2:$G$151,$AI37),""))</f>
        <v>46174</v>
      </c>
      <c r="F37" s="155">
        <f>IF($AI37="","",IF(ISNUMBER(INDEX('Roadmap Calc (Don’t Touch)'!$H$2:$H$151,$AI37)),INDEX('Roadmap Calc (Don’t Touch)'!$H$2:$H$151,$AI37),""))</f>
        <v>46188</v>
      </c>
      <c r="G37" s="156">
        <f>IF($AI37="","",INDEX('Roadmap Calc (Don’t Touch)'!$T$2:$T$151,$AI37))</f>
        <v>3</v>
      </c>
      <c r="H37" s="157">
        <f ca="1">IF($AI37="","",IF(ISNUMBER(INDEX('Roadmap Calc (Don’t Touch)'!$I$2:$I$151,$AI37)),INDEX('Roadmap Calc (Don’t Touch)'!$I$2:$I$151,$AI37),""))</f>
        <v>46388</v>
      </c>
      <c r="I37" s="157">
        <f ca="1">IF($AI37="","",IF(ISNUMBER(INDEX('Roadmap Calc (Don’t Touch)'!$J$2:$J$151,$AI37)),INDEX('Roadmap Calc (Don’t Touch)'!$J$2:$J$151,$AI37),""))</f>
        <v>46418</v>
      </c>
      <c r="J37" s="158" t="str">
        <f>IF($AI37="","",IF(AND($AN37&lt;&gt;"",$AN37&lt;=EOMONTH(J$12,0),$AO37&gt;=J$12),IF(AND(INDEX('Roadmap Calc (Don’t Touch)'!$AA$2:$AX$151,$AI37,COLUMN()-COLUMN($J$16)+1)&gt;0,OR($D37="03. UX Discovery",$D37="04. UX Design")),IF(AND($H37&lt;&gt;"",$H37&lt;=EOMONTH(J$12,0),$I37&gt;=J$12),"ALL","PD+UX"),IF(AND($H37&lt;&gt;"",$H37&lt;=EOMONTH(J$12,0),$I37&gt;=J$12),"PD+DEV","PD")),IF(AND(INDEX('Roadmap Calc (Don’t Touch)'!$AA$2:$AX$151,$AI37,COLUMN()-COLUMN($J$16)+1)&gt;0,OR($D37="03. UX Discovery",$D37="04. UX Design")),IF(AND($H37&lt;&gt;"",$H37&lt;=EOMONTH(J$12,0),$I37&gt;=J$12),"UX+DEV","UX"),IF(AND($H37&lt;&gt;"",$H37&lt;=EOMONTH(J$12,0),$I37&gt;=J$12),"DEV",""))))</f>
      </c>
      <c r="K37" s="158" t="str">
        <f>IF($AI37="","",IF(AND($AN37&lt;&gt;"",$AN37&lt;=EOMONTH(K$12,0),$AO37&gt;=K$12),IF(AND(INDEX('Roadmap Calc (Don’t Touch)'!$AA$2:$AX$151,$AI37,COLUMN()-COLUMN($J$16)+1)&gt;0,OR($D37="03. UX Discovery",$D37="04. UX Design")),IF(AND($H37&lt;&gt;"",$H37&lt;=EOMONTH(K$12,0),$I37&gt;=K$12),"ALL","PD+UX"),IF(AND($H37&lt;&gt;"",$H37&lt;=EOMONTH(K$12,0),$I37&gt;=K$12),"PD+DEV","PD")),IF(AND(INDEX('Roadmap Calc (Don’t Touch)'!$AA$2:$AX$151,$AI37,COLUMN()-COLUMN($J$16)+1)&gt;0,OR($D37="03. UX Discovery",$D37="04. UX Design")),IF(AND($H37&lt;&gt;"",$H37&lt;=EOMONTH(K$12,0),$I37&gt;=K$12),"UX+DEV","UX"),IF(AND($H37&lt;&gt;"",$H37&lt;=EOMONTH(K$12,0),$I37&gt;=K$12),"DEV",""))))</f>
      </c>
      <c r="L37" s="158" t="str">
        <f>IF($AI37="","",IF(AND($AN37&lt;&gt;"",$AN37&lt;=EOMONTH(L$12,0),$AO37&gt;=L$12),IF(AND(INDEX('Roadmap Calc (Don’t Touch)'!$AA$2:$AX$151,$AI37,COLUMN()-COLUMN($J$16)+1)&gt;0,OR($D37="03. UX Discovery",$D37="04. UX Design")),IF(AND($H37&lt;&gt;"",$H37&lt;=EOMONTH(L$12,0),$I37&gt;=L$12),"ALL","PD+UX"),IF(AND($H37&lt;&gt;"",$H37&lt;=EOMONTH(L$12,0),$I37&gt;=L$12),"PD+DEV","PD")),IF(AND(INDEX('Roadmap Calc (Don’t Touch)'!$AA$2:$AX$151,$AI37,COLUMN()-COLUMN($J$16)+1)&gt;0,OR($D37="03. UX Discovery",$D37="04. UX Design")),IF(AND($H37&lt;&gt;"",$H37&lt;=EOMONTH(L$12,0),$I37&gt;=L$12),"UX+DEV","UX"),IF(AND($H37&lt;&gt;"",$H37&lt;=EOMONTH(L$12,0),$I37&gt;=L$12),"DEV",""))))</f>
      </c>
      <c r="M37" s="158" t="str">
        <f>IF($AI37="","",IF(AND($AN37&lt;&gt;"",$AN37&lt;=EOMONTH(M$12,0),$AO37&gt;=M$12),IF(AND(INDEX('Roadmap Calc (Don’t Touch)'!$AA$2:$AX$151,$AI37,COLUMN()-COLUMN($J$16)+1)&gt;0,OR($D37="03. UX Discovery",$D37="04. UX Design")),IF(AND($H37&lt;&gt;"",$H37&lt;=EOMONTH(M$12,0),$I37&gt;=M$12),"ALL","PD+UX"),IF(AND($H37&lt;&gt;"",$H37&lt;=EOMONTH(M$12,0),$I37&gt;=M$12),"PD+DEV","PD")),IF(AND(INDEX('Roadmap Calc (Don’t Touch)'!$AA$2:$AX$151,$AI37,COLUMN()-COLUMN($J$16)+1)&gt;0,OR($D37="03. UX Discovery",$D37="04. UX Design")),IF(AND($H37&lt;&gt;"",$H37&lt;=EOMONTH(M$12,0),$I37&gt;=M$12),"UX+DEV","UX"),IF(AND($H37&lt;&gt;"",$H37&lt;=EOMONTH(M$12,0),$I37&gt;=M$12),"DEV",""))))</f>
      </c>
      <c r="N37" s="158" t="str">
        <f>IF($AI37="","",IF(AND($AN37&lt;&gt;"",$AN37&lt;=EOMONTH(N$12,0),$AO37&gt;=N$12),IF(AND(INDEX('Roadmap Calc (Don’t Touch)'!$AA$2:$AX$151,$AI37,COLUMN()-COLUMN($J$16)+1)&gt;0,OR($D37="03. UX Discovery",$D37="04. UX Design")),IF(AND($H37&lt;&gt;"",$H37&lt;=EOMONTH(N$12,0),$I37&gt;=N$12),"ALL","PD+UX"),IF(AND($H37&lt;&gt;"",$H37&lt;=EOMONTH(N$12,0),$I37&gt;=N$12),"PD+DEV","PD")),IF(AND(INDEX('Roadmap Calc (Don’t Touch)'!$AA$2:$AX$151,$AI37,COLUMN()-COLUMN($J$16)+1)&gt;0,OR($D37="03. UX Discovery",$D37="04. UX Design")),IF(AND($H37&lt;&gt;"",$H37&lt;=EOMONTH(N$12,0),$I37&gt;=N$12),"UX+DEV","UX"),IF(AND($H37&lt;&gt;"",$H37&lt;=EOMONTH(N$12,0),$I37&gt;=N$12),"DEV",""))))</f>
      </c>
      <c r="O37" s="158" t="str">
        <f>IF($AI37="","",IF(AND($AN37&lt;&gt;"",$AN37&lt;=EOMONTH(O$12,0),$AO37&gt;=O$12),IF(AND(INDEX('Roadmap Calc (Don’t Touch)'!$AA$2:$AX$151,$AI37,COLUMN()-COLUMN($J$16)+1)&gt;0,OR($D37="03. UX Discovery",$D37="04. UX Design")),IF(AND($H37&lt;&gt;"",$H37&lt;=EOMONTH(O$12,0),$I37&gt;=O$12),"ALL","PD+UX"),IF(AND($H37&lt;&gt;"",$H37&lt;=EOMONTH(O$12,0),$I37&gt;=O$12),"PD+DEV","PD")),IF(AND(INDEX('Roadmap Calc (Don’t Touch)'!$AA$2:$AX$151,$AI37,COLUMN()-COLUMN($J$16)+1)&gt;0,OR($D37="03. UX Discovery",$D37="04. UX Design")),IF(AND($H37&lt;&gt;"",$H37&lt;=EOMONTH(O$12,0),$I37&gt;=O$12),"UX+DEV","UX"),IF(AND($H37&lt;&gt;"",$H37&lt;=EOMONTH(O$12,0),$I37&gt;=O$12),"DEV",""))))</f>
      </c>
      <c r="P37" s="158" t="str">
        <f>IF($AI37="","",IF(AND($AN37&lt;&gt;"",$AN37&lt;=EOMONTH(P$12,0),$AO37&gt;=P$12),IF(AND(INDEX('Roadmap Calc (Don’t Touch)'!$AA$2:$AX$151,$AI37,COLUMN()-COLUMN($J$16)+1)&gt;0,OR($D37="03. UX Discovery",$D37="04. UX Design")),IF(AND($H37&lt;&gt;"",$H37&lt;=EOMONTH(P$12,0),$I37&gt;=P$12),"ALL","PD+UX"),IF(AND($H37&lt;&gt;"",$H37&lt;=EOMONTH(P$12,0),$I37&gt;=P$12),"PD+DEV","PD")),IF(AND(INDEX('Roadmap Calc (Don’t Touch)'!$AA$2:$AX$151,$AI37,COLUMN()-COLUMN($J$16)+1)&gt;0,OR($D37="03. UX Discovery",$D37="04. UX Design")),IF(AND($H37&lt;&gt;"",$H37&lt;=EOMONTH(P$12,0),$I37&gt;=P$12),"UX+DEV","UX"),IF(AND($H37&lt;&gt;"",$H37&lt;=EOMONTH(P$12,0),$I37&gt;=P$12),"DEV",""))))</f>
      </c>
      <c r="Q37" s="158" t="str">
        <f>IF($AI37="","",IF(AND($AN37&lt;&gt;"",$AN37&lt;=EOMONTH(Q$12,0),$AO37&gt;=Q$12),IF(AND(INDEX('Roadmap Calc (Don’t Touch)'!$AA$2:$AX$151,$AI37,COLUMN()-COLUMN($J$16)+1)&gt;0,OR($D37="03. UX Discovery",$D37="04. UX Design")),IF(AND($H37&lt;&gt;"",$H37&lt;=EOMONTH(Q$12,0),$I37&gt;=Q$12),"ALL","PD+UX"),IF(AND($H37&lt;&gt;"",$H37&lt;=EOMONTH(Q$12,0),$I37&gt;=Q$12),"PD+DEV","PD")),IF(AND(INDEX('Roadmap Calc (Don’t Touch)'!$AA$2:$AX$151,$AI37,COLUMN()-COLUMN($J$16)+1)&gt;0,OR($D37="03. UX Discovery",$D37="04. UX Design")),IF(AND($H37&lt;&gt;"",$H37&lt;=EOMONTH(Q$12,0),$I37&gt;=Q$12),"UX+DEV","UX"),IF(AND($H37&lt;&gt;"",$H37&lt;=EOMONTH(Q$12,0),$I37&gt;=Q$12),"DEV",""))))</f>
      </c>
      <c r="R37" s="158" t="str">
        <f>IF($AI37="","",IF(AND($AN37&lt;&gt;"",$AN37&lt;=EOMONTH(R$12,0),$AO37&gt;=R$12),IF(AND(INDEX('Roadmap Calc (Don’t Touch)'!$AA$2:$AX$151,$AI37,COLUMN()-COLUMN($J$16)+1)&gt;0,OR($D37="03. UX Discovery",$D37="04. UX Design")),IF(AND($H37&lt;&gt;"",$H37&lt;=EOMONTH(R$12,0),$I37&gt;=R$12),"ALL","PD+UX"),IF(AND($H37&lt;&gt;"",$H37&lt;=EOMONTH(R$12,0),$I37&gt;=R$12),"PD+DEV","PD")),IF(AND(INDEX('Roadmap Calc (Don’t Touch)'!$AA$2:$AX$151,$AI37,COLUMN()-COLUMN($J$16)+1)&gt;0,OR($D37="03. UX Discovery",$D37="04. UX Design")),IF(AND($H37&lt;&gt;"",$H37&lt;=EOMONTH(R$12,0),$I37&gt;=R$12),"UX+DEV","UX"),IF(AND($H37&lt;&gt;"",$H37&lt;=EOMONTH(R$12,0),$I37&gt;=R$12),"DEV",""))))</f>
      </c>
      <c r="S37" s="158" t="str">
        <f>IF($AI37="","",IF(AND($AN37&lt;&gt;"",$AN37&lt;=EOMONTH(S$12,0),$AO37&gt;=S$12),IF(AND(INDEX('Roadmap Calc (Don’t Touch)'!$AA$2:$AX$151,$AI37,COLUMN()-COLUMN($J$16)+1)&gt;0,OR($D37="03. UX Discovery",$D37="04. UX Design")),IF(AND($H37&lt;&gt;"",$H37&lt;=EOMONTH(S$12,0),$I37&gt;=S$12),"ALL","PD+UX"),IF(AND($H37&lt;&gt;"",$H37&lt;=EOMONTH(S$12,0),$I37&gt;=S$12),"PD+DEV","PD")),IF(AND(INDEX('Roadmap Calc (Don’t Touch)'!$AA$2:$AX$151,$AI37,COLUMN()-COLUMN($J$16)+1)&gt;0,OR($D37="03. UX Discovery",$D37="04. UX Design")),IF(AND($H37&lt;&gt;"",$H37&lt;=EOMONTH(S$12,0),$I37&gt;=S$12),"UX+DEV","UX"),IF(AND($H37&lt;&gt;"",$H37&lt;=EOMONTH(S$12,0),$I37&gt;=S$12),"DEV",""))))</f>
      </c>
      <c r="T37" s="158" t="str">
        <f>IF($AI37="","",IF(AND($AN37&lt;&gt;"",$AN37&lt;=EOMONTH(T$12,0),$AO37&gt;=T$12),IF(AND(INDEX('Roadmap Calc (Don’t Touch)'!$AA$2:$AX$151,$AI37,COLUMN()-COLUMN($J$16)+1)&gt;0,OR($D37="03. UX Discovery",$D37="04. UX Design")),IF(AND($H37&lt;&gt;"",$H37&lt;=EOMONTH(T$12,0),$I37&gt;=T$12),"ALL","PD+UX"),IF(AND($H37&lt;&gt;"",$H37&lt;=EOMONTH(T$12,0),$I37&gt;=T$12),"PD+DEV","PD")),IF(AND(INDEX('Roadmap Calc (Don’t Touch)'!$AA$2:$AX$151,$AI37,COLUMN()-COLUMN($J$16)+1)&gt;0,OR($D37="03. UX Discovery",$D37="04. UX Design")),IF(AND($H37&lt;&gt;"",$H37&lt;=EOMONTH(T$12,0),$I37&gt;=T$12),"UX+DEV","UX"),IF(AND($H37&lt;&gt;"",$H37&lt;=EOMONTH(T$12,0),$I37&gt;=T$12),"DEV",""))))</f>
      </c>
      <c r="U37" s="158" t="str">
        <f>IF($AI37="","",IF(AND($AN37&lt;&gt;"",$AN37&lt;=EOMONTH(U$12,0),$AO37&gt;=U$12),IF(AND(INDEX('Roadmap Calc (Don’t Touch)'!$AA$2:$AX$151,$AI37,COLUMN()-COLUMN($J$16)+1)&gt;0,OR($D37="03. UX Discovery",$D37="04. UX Design")),IF(AND($H37&lt;&gt;"",$H37&lt;=EOMONTH(U$12,0),$I37&gt;=U$12),"ALL","PD+UX"),IF(AND($H37&lt;&gt;"",$H37&lt;=EOMONTH(U$12,0),$I37&gt;=U$12),"PD+DEV","PD")),IF(AND(INDEX('Roadmap Calc (Don’t Touch)'!$AA$2:$AX$151,$AI37,COLUMN()-COLUMN($J$16)+1)&gt;0,OR($D37="03. UX Discovery",$D37="04. UX Design")),IF(AND($H37&lt;&gt;"",$H37&lt;=EOMONTH(U$12,0),$I37&gt;=U$12),"UX+DEV","UX"),IF(AND($H37&lt;&gt;"",$H37&lt;=EOMONTH(U$12,0),$I37&gt;=U$12),"DEV",""))))</f>
      </c>
      <c r="V37" s="158" t="str">
        <f>IF($AI37="","",IF(AND($AN37&lt;&gt;"",$AN37&lt;=EOMONTH(V$12,0),$AO37&gt;=V$12),IF(AND(INDEX('Roadmap Calc (Don’t Touch)'!$AA$2:$AX$151,$AI37,COLUMN()-COLUMN($J$16)+1)&gt;0,OR($D37="03. UX Discovery",$D37="04. UX Design")),IF(AND($H37&lt;&gt;"",$H37&lt;=EOMONTH(V$12,0),$I37&gt;=V$12),"ALL","PD+UX"),IF(AND($H37&lt;&gt;"",$H37&lt;=EOMONTH(V$12,0),$I37&gt;=V$12),"PD+DEV","PD")),IF(AND(INDEX('Roadmap Calc (Don’t Touch)'!$AA$2:$AX$151,$AI37,COLUMN()-COLUMN($J$16)+1)&gt;0,OR($D37="03. UX Discovery",$D37="04. UX Design")),IF(AND($H37&lt;&gt;"",$H37&lt;=EOMONTH(V$12,0),$I37&gt;=V$12),"UX+DEV","UX"),IF(AND($H37&lt;&gt;"",$H37&lt;=EOMONTH(V$12,0),$I37&gt;=V$12),"DEV",""))))</f>
      </c>
      <c r="W37" s="158" t="str">
        <f>IF($AI37="","",IF(AND($AN37&lt;&gt;"",$AN37&lt;=EOMONTH(W$12,0),$AO37&gt;=W$12),IF(AND(INDEX('Roadmap Calc (Don’t Touch)'!$AA$2:$AX$151,$AI37,COLUMN()-COLUMN($J$16)+1)&gt;0,OR($D37="03. UX Discovery",$D37="04. UX Design")),IF(AND($H37&lt;&gt;"",$H37&lt;=EOMONTH(W$12,0),$I37&gt;=W$12),"ALL","PD+UX"),IF(AND($H37&lt;&gt;"",$H37&lt;=EOMONTH(W$12,0),$I37&gt;=W$12),"PD+DEV","PD")),IF(AND(INDEX('Roadmap Calc (Don’t Touch)'!$AA$2:$AX$151,$AI37,COLUMN()-COLUMN($J$16)+1)&gt;0,OR($D37="03. UX Discovery",$D37="04. UX Design")),IF(AND($H37&lt;&gt;"",$H37&lt;=EOMONTH(W$12,0),$I37&gt;=W$12),"UX+DEV","UX"),IF(AND($H37&lt;&gt;"",$H37&lt;=EOMONTH(W$12,0),$I37&gt;=W$12),"DEV",""))))</f>
      </c>
      <c r="X37" s="158" t="str">
        <f>IF($AI37="","",IF(AND($AN37&lt;&gt;"",$AN37&lt;=EOMONTH(X$12,0),$AO37&gt;=X$12),IF(AND(INDEX('Roadmap Calc (Don’t Touch)'!$AA$2:$AX$151,$AI37,COLUMN()-COLUMN($J$16)+1)&gt;0,OR($D37="03. UX Discovery",$D37="04. UX Design")),IF(AND($H37&lt;&gt;"",$H37&lt;=EOMONTH(X$12,0),$I37&gt;=X$12),"ALL","PD+UX"),IF(AND($H37&lt;&gt;"",$H37&lt;=EOMONTH(X$12,0),$I37&gt;=X$12),"PD+DEV","PD")),IF(AND(INDEX('Roadmap Calc (Don’t Touch)'!$AA$2:$AX$151,$AI37,COLUMN()-COLUMN($J$16)+1)&gt;0,OR($D37="03. UX Discovery",$D37="04. UX Design")),IF(AND($H37&lt;&gt;"",$H37&lt;=EOMONTH(X$12,0),$I37&gt;=X$12),"UX+DEV","UX"),IF(AND($H37&lt;&gt;"",$H37&lt;=EOMONTH(X$12,0),$I37&gt;=X$12),"DEV",""))))</f>
      </c>
      <c r="Y37" s="158" t="str">
        <f>IF($AI37="","",IF(AND($AN37&lt;&gt;"",$AN37&lt;=EOMONTH(Y$12,0),$AO37&gt;=Y$12),IF(AND(INDEX('Roadmap Calc (Don’t Touch)'!$AA$2:$AX$151,$AI37,COLUMN()-COLUMN($J$16)+1)&gt;0,OR($D37="03. UX Discovery",$D37="04. UX Design")),IF(AND($H37&lt;&gt;"",$H37&lt;=EOMONTH(Y$12,0),$I37&gt;=Y$12),"ALL","PD+UX"),IF(AND($H37&lt;&gt;"",$H37&lt;=EOMONTH(Y$12,0),$I37&gt;=Y$12),"PD+DEV","PD")),IF(AND(INDEX('Roadmap Calc (Don’t Touch)'!$AA$2:$AX$151,$AI37,COLUMN()-COLUMN($J$16)+1)&gt;0,OR($D37="03. UX Discovery",$D37="04. UX Design")),IF(AND($H37&lt;&gt;"",$H37&lt;=EOMONTH(Y$12,0),$I37&gt;=Y$12),"UX+DEV","UX"),IF(AND($H37&lt;&gt;"",$H37&lt;=EOMONTH(Y$12,0),$I37&gt;=Y$12),"DEV",""))))</f>
      </c>
      <c r="Z37" s="158" t="str">
        <f>IF($AI37="","",IF(AND($AN37&lt;&gt;"",$AN37&lt;=EOMONTH(Z$12,0),$AO37&gt;=Z$12),IF(AND(INDEX('Roadmap Calc (Don’t Touch)'!$AA$2:$AX$151,$AI37,COLUMN()-COLUMN($J$16)+1)&gt;0,OR($D37="03. UX Discovery",$D37="04. UX Design")),IF(AND($H37&lt;&gt;"",$H37&lt;=EOMONTH(Z$12,0),$I37&gt;=Z$12),"ALL","PD+UX"),IF(AND($H37&lt;&gt;"",$H37&lt;=EOMONTH(Z$12,0),$I37&gt;=Z$12),"PD+DEV","PD")),IF(AND(INDEX('Roadmap Calc (Don’t Touch)'!$AA$2:$AX$151,$AI37,COLUMN()-COLUMN($J$16)+1)&gt;0,OR($D37="03. UX Discovery",$D37="04. UX Design")),IF(AND($H37&lt;&gt;"",$H37&lt;=EOMONTH(Z$12,0),$I37&gt;=Z$12),"UX+DEV","UX"),IF(AND($H37&lt;&gt;"",$H37&lt;=EOMONTH(Z$12,0),$I37&gt;=Z$12),"DEV",""))))</f>
      </c>
      <c r="AA37" s="158" t="str">
        <f>IF($AI37="","",IF(AND($AN37&lt;&gt;"",$AN37&lt;=EOMONTH(AA$12,0),$AO37&gt;=AA$12),IF(AND(INDEX('Roadmap Calc (Don’t Touch)'!$AA$2:$AX$151,$AI37,COLUMN()-COLUMN($J$16)+1)&gt;0,OR($D37="03. UX Discovery",$D37="04. UX Design")),IF(AND($H37&lt;&gt;"",$H37&lt;=EOMONTH(AA$12,0),$I37&gt;=AA$12),"ALL","PD+UX"),IF(AND($H37&lt;&gt;"",$H37&lt;=EOMONTH(AA$12,0),$I37&gt;=AA$12),"PD+DEV","PD")),IF(AND(INDEX('Roadmap Calc (Don’t Touch)'!$AA$2:$AX$151,$AI37,COLUMN()-COLUMN($J$16)+1)&gt;0,OR($D37="03. UX Discovery",$D37="04. UX Design")),IF(AND($H37&lt;&gt;"",$H37&lt;=EOMONTH(AA$12,0),$I37&gt;=AA$12),"UX+DEV","UX"),IF(AND($H37&lt;&gt;"",$H37&lt;=EOMONTH(AA$12,0),$I37&gt;=AA$12),"DEV",""))))</f>
      </c>
      <c r="AB37" s="158" t="str">
        <f>IF($AI37="","",IF(AND($AN37&lt;&gt;"",$AN37&lt;=EOMONTH(AB$12,0),$AO37&gt;=AB$12),IF(AND(INDEX('Roadmap Calc (Don’t Touch)'!$AA$2:$AX$151,$AI37,COLUMN()-COLUMN($J$16)+1)&gt;0,OR($D37="03. UX Discovery",$D37="04. UX Design")),IF(AND($H37&lt;&gt;"",$H37&lt;=EOMONTH(AB$12,0),$I37&gt;=AB$12),"ALL","PD+UX"),IF(AND($H37&lt;&gt;"",$H37&lt;=EOMONTH(AB$12,0),$I37&gt;=AB$12),"PD+DEV","PD")),IF(AND(INDEX('Roadmap Calc (Don’t Touch)'!$AA$2:$AX$151,$AI37,COLUMN()-COLUMN($J$16)+1)&gt;0,OR($D37="03. UX Discovery",$D37="04. UX Design")),IF(AND($H37&lt;&gt;"",$H37&lt;=EOMONTH(AB$12,0),$I37&gt;=AB$12),"UX+DEV","UX"),IF(AND($H37&lt;&gt;"",$H37&lt;=EOMONTH(AB$12,0),$I37&gt;=AB$12),"DEV",""))))</f>
      </c>
      <c r="AC37" s="158" t="str">
        <f>IF($AI37="","",IF(AND($AN37&lt;&gt;"",$AN37&lt;=EOMONTH(AC$12,0),$AO37&gt;=AC$12),IF(AND(INDEX('Roadmap Calc (Don’t Touch)'!$AA$2:$AX$151,$AI37,COLUMN()-COLUMN($J$16)+1)&gt;0,OR($D37="03. UX Discovery",$D37="04. UX Design")),IF(AND($H37&lt;&gt;"",$H37&lt;=EOMONTH(AC$12,0),$I37&gt;=AC$12),"ALL","PD+UX"),IF(AND($H37&lt;&gt;"",$H37&lt;=EOMONTH(AC$12,0),$I37&gt;=AC$12),"PD+DEV","PD")),IF(AND(INDEX('Roadmap Calc (Don’t Touch)'!$AA$2:$AX$151,$AI37,COLUMN()-COLUMN($J$16)+1)&gt;0,OR($D37="03. UX Discovery",$D37="04. UX Design")),IF(AND($H37&lt;&gt;"",$H37&lt;=EOMONTH(AC$12,0),$I37&gt;=AC$12),"UX+DEV","UX"),IF(AND($H37&lt;&gt;"",$H37&lt;=EOMONTH(AC$12,0),$I37&gt;=AC$12),"DEV",""))))</f>
      </c>
      <c r="AD37" s="158" t="str">
        <f>IF($AI37="","",IF(AND($AN37&lt;&gt;"",$AN37&lt;=EOMONTH(AD$12,0),$AO37&gt;=AD$12),IF(AND(INDEX('Roadmap Calc (Don’t Touch)'!$AA$2:$AX$151,$AI37,COLUMN()-COLUMN($J$16)+1)&gt;0,OR($D37="03. UX Discovery",$D37="04. UX Design")),IF(AND($H37&lt;&gt;"",$H37&lt;=EOMONTH(AD$12,0),$I37&gt;=AD$12),"ALL","PD+UX"),IF(AND($H37&lt;&gt;"",$H37&lt;=EOMONTH(AD$12,0),$I37&gt;=AD$12),"PD+DEV","PD")),IF(AND(INDEX('Roadmap Calc (Don’t Touch)'!$AA$2:$AX$151,$AI37,COLUMN()-COLUMN($J$16)+1)&gt;0,OR($D37="03. UX Discovery",$D37="04. UX Design")),IF(AND($H37&lt;&gt;"",$H37&lt;=EOMONTH(AD$12,0),$I37&gt;=AD$12),"UX+DEV","UX"),IF(AND($H37&lt;&gt;"",$H37&lt;=EOMONTH(AD$12,0),$I37&gt;=AD$12),"DEV",""))))</f>
      </c>
      <c r="AE37" s="158" t="str">
        <f>IF($AI37="","",IF(AND($AN37&lt;&gt;"",$AN37&lt;=EOMONTH(AE$12,0),$AO37&gt;=AE$12),IF(AND(INDEX('Roadmap Calc (Don’t Touch)'!$AA$2:$AX$151,$AI37,COLUMN()-COLUMN($J$16)+1)&gt;0,OR($D37="03. UX Discovery",$D37="04. UX Design")),IF(AND($H37&lt;&gt;"",$H37&lt;=EOMONTH(AE$12,0),$I37&gt;=AE$12),"ALL","PD+UX"),IF(AND($H37&lt;&gt;"",$H37&lt;=EOMONTH(AE$12,0),$I37&gt;=AE$12),"PD+DEV","PD")),IF(AND(INDEX('Roadmap Calc (Don’t Touch)'!$AA$2:$AX$151,$AI37,COLUMN()-COLUMN($J$16)+1)&gt;0,OR($D37="03. UX Discovery",$D37="04. UX Design")),IF(AND($H37&lt;&gt;"",$H37&lt;=EOMONTH(AE$12,0),$I37&gt;=AE$12),"UX+DEV","UX"),IF(AND($H37&lt;&gt;"",$H37&lt;=EOMONTH(AE$12,0),$I37&gt;=AE$12),"DEV",""))))</f>
      </c>
      <c r="AF37" s="158" t="str">
        <f>IF($AI37="","",IF(AND($AN37&lt;&gt;"",$AN37&lt;=EOMONTH(AF$12,0),$AO37&gt;=AF$12),IF(AND(INDEX('Roadmap Calc (Don’t Touch)'!$AA$2:$AX$151,$AI37,COLUMN()-COLUMN($J$16)+1)&gt;0,OR($D37="03. UX Discovery",$D37="04. UX Design")),IF(AND($H37&lt;&gt;"",$H37&lt;=EOMONTH(AF$12,0),$I37&gt;=AF$12),"ALL","PD+UX"),IF(AND($H37&lt;&gt;"",$H37&lt;=EOMONTH(AF$12,0),$I37&gt;=AF$12),"PD+DEV","PD")),IF(AND(INDEX('Roadmap Calc (Don’t Touch)'!$AA$2:$AX$151,$AI37,COLUMN()-COLUMN($J$16)+1)&gt;0,OR($D37="03. UX Discovery",$D37="04. UX Design")),IF(AND($H37&lt;&gt;"",$H37&lt;=EOMONTH(AF$12,0),$I37&gt;=AF$12),"UX+DEV","UX"),IF(AND($H37&lt;&gt;"",$H37&lt;=EOMONTH(AF$12,0),$I37&gt;=AF$12),"DEV",""))))</f>
      </c>
      <c r="AG37" s="158" t="str">
        <f>IF($AI37="","",IF(AND($AN37&lt;&gt;"",$AN37&lt;=EOMONTH(AG$12,0),$AO37&gt;=AG$12),IF(AND(INDEX('Roadmap Calc (Don’t Touch)'!$AA$2:$AX$151,$AI37,COLUMN()-COLUMN($J$16)+1)&gt;0,OR($D37="03. UX Discovery",$D37="04. UX Design")),IF(AND($H37&lt;&gt;"",$H37&lt;=EOMONTH(AG$12,0),$I37&gt;=AG$12),"ALL","PD+UX"),IF(AND($H37&lt;&gt;"",$H37&lt;=EOMONTH(AG$12,0),$I37&gt;=AG$12),"PD+DEV","PD")),IF(AND(INDEX('Roadmap Calc (Don’t Touch)'!$AA$2:$AX$151,$AI37,COLUMN()-COLUMN($J$16)+1)&gt;0,OR($D37="03. UX Discovery",$D37="04. UX Design")),IF(AND($H37&lt;&gt;"",$H37&lt;=EOMONTH(AG$12,0),$I37&gt;=AG$12),"UX+DEV","UX"),IF(AND($H37&lt;&gt;"",$H37&lt;=EOMONTH(AG$12,0),$I37&gt;=AG$12),"DEV",""))))</f>
      </c>
      <c r="AH37" s="145" t="str">
        <f>IF($AI37="","",INDEX('Roadmap Calc (Don’t Touch)'!$D$2:$D$151,$AI37))</f>
        <v>Improve Buy Used Customer Experience</v>
      </c>
      <c r="AI37" s="145">
        <f>IFERROR(MATCH(22,'Roadmap Calc (Don’t Touch)'!$O$2:$O$151,0),"")</f>
        <v>1</v>
      </c>
      <c r="AJ37" s="145"/>
      <c r="AK37" s="145"/>
      <c r="AL37" s="145"/>
      <c r="AM37" s="145"/>
      <c r="AN37">
        <f>IF($AI37="","",IF(ISNUMBER(INDEX('Roadmap Calc (Don’t Touch)'!$BB$2:$BB$151,$AI37)),INDEX('Roadmap Calc (Don’t Touch)'!$BB$2:$BB$151,$AI37),""))</f>
      </c>
      <c r="AO37">
        <f>IF($AI37="","",IF(ISNUMBER(INDEX('Roadmap Calc (Don’t Touch)'!$BC$2:$BC$151,$AI37)),INDEX('Roadmap Calc (Don’t Touch)'!$BC$2:$BC$151,$AI37),""))</f>
      </c>
    </row>
    <row r="38" spans="1:41" ht="20" customHeight="1" x14ac:dyDescent="0.25">
      <c r="A38" s="198" t="str">
        <f>IF($AI38="","",IF($AH38=$AH37,"",IF(INDEX('Roadmap Calc (Don’t Touch)'!$U$2:$U$151,$AI38)=0,$AH38,HYPERLINK("#'Control (Don’t Touch)'!E"&amp;INDEX('Roadmap Calc (Don’t Touch)'!$U$2:$U$151,$AI38),$AH38))))</f>
        <v/>
      </c>
      <c r="B38" s="159" t="str">
        <f>IF($AI38="","",IF(INDEX('Roadmap Calc (Don’t Touch)'!$K$2:$K$151,$AI38)="",INDEX('Roadmap Calc (Don’t Touch)'!$B$2:$B$151,$AI38),HYPERLINK("https://jira.bnh.com/browse/"&amp;INDEX('Roadmap Calc (Don’t Touch)'!$K$2:$K$151,$AI38),INDEX('Roadmap Calc (Don’t Touch)'!$B$2:$B$151,$AI38))))</f>
        <v>New Condition Rating Scale (Intermediate Step)</v>
      </c>
      <c r="C38" s="159" t="str">
        <f>IF($AI38="","",IF(INDEX('Roadmap Calc (Don’t Touch)'!$E$2:$E$151,$AI38)="","",HYPERLINK("https://jira.bnh.com/browse/"&amp;INDEX('Roadmap Calc (Don’t Touch)'!$E$2:$E$151,$AI38),INDEX('Roadmap Calc (Don’t Touch)'!$E$2:$E$151,$AI38))))</f>
        <v>BHJ-121278</v>
      </c>
      <c r="D38" s="161" t="str">
        <f>IF($AI38="","",INDEX('Roadmap Calc (Don’t Touch)'!$F$2:$F$151,$AI38))</f>
        <v>00. Parking Lot</v>
      </c>
      <c r="E38" s="155" t="str">
        <f>IF($AI38="","",IF(ISNUMBER(INDEX('Roadmap Calc (Don’t Touch)'!$G$2:$G$151,$AI38)),INDEX('Roadmap Calc (Don’t Touch)'!$G$2:$G$151,$AI38),""))</f>
        <v/>
      </c>
      <c r="F38" s="155" t="str">
        <f>IF($AI38="","",IF(ISNUMBER(INDEX('Roadmap Calc (Don’t Touch)'!$H$2:$H$151,$AI38)),INDEX('Roadmap Calc (Don’t Touch)'!$H$2:$H$151,$AI38),""))</f>
        <v/>
      </c>
      <c r="G38" s="156">
        <f>IF($AI38="","",INDEX('Roadmap Calc (Don’t Touch)'!$T$2:$T$151,$AI38))</f>
        <v>0</v>
      </c>
      <c r="H38" s="157">
        <f ca="1">IF($AI38="","",IF(ISNUMBER(INDEX('Roadmap Calc (Don’t Touch)'!$I$2:$I$151,$AI38)),INDEX('Roadmap Calc (Don’t Touch)'!$I$2:$I$151,$AI38),""))</f>
        <v>46296</v>
      </c>
      <c r="I38" s="157">
        <f ca="1">IF($AI38="","",IF(ISNUMBER(INDEX('Roadmap Calc (Don’t Touch)'!$J$2:$J$151,$AI38)),INDEX('Roadmap Calc (Don’t Touch)'!$J$2:$J$151,$AI38),""))</f>
        <v>46326</v>
      </c>
      <c r="J38" s="158" t="str">
        <f>IF($AI38="","",IF(AND($AN38&lt;&gt;"",$AN38&lt;=EOMONTH(J$12,0),$AO38&gt;=J$12),IF(AND(INDEX('Roadmap Calc (Don’t Touch)'!$AA$2:$AX$151,$AI38,COLUMN()-COLUMN($J$16)+1)&gt;0,OR($D38="03. UX Discovery",$D38="04. UX Design")),IF(AND($H38&lt;&gt;"",$H38&lt;=EOMONTH(J$12,0),$I38&gt;=J$12),"ALL","PD+UX"),IF(AND($H38&lt;&gt;"",$H38&lt;=EOMONTH(J$12,0),$I38&gt;=J$12),"PD+DEV","PD")),IF(AND(INDEX('Roadmap Calc (Don’t Touch)'!$AA$2:$AX$151,$AI38,COLUMN()-COLUMN($J$16)+1)&gt;0,OR($D38="03. UX Discovery",$D38="04. UX Design")),IF(AND($H38&lt;&gt;"",$H38&lt;=EOMONTH(J$12,0),$I38&gt;=J$12),"UX+DEV","UX"),IF(AND($H38&lt;&gt;"",$H38&lt;=EOMONTH(J$12,0),$I38&gt;=J$12),"DEV",""))))</f>
      </c>
      <c r="K38" s="158" t="str">
        <f>IF($AI38="","",IF(AND($AN38&lt;&gt;"",$AN38&lt;=EOMONTH(K$12,0),$AO38&gt;=K$12),IF(AND(INDEX('Roadmap Calc (Don’t Touch)'!$AA$2:$AX$151,$AI38,COLUMN()-COLUMN($J$16)+1)&gt;0,OR($D38="03. UX Discovery",$D38="04. UX Design")),IF(AND($H38&lt;&gt;"",$H38&lt;=EOMONTH(K$12,0),$I38&gt;=K$12),"ALL","PD+UX"),IF(AND($H38&lt;&gt;"",$H38&lt;=EOMONTH(K$12,0),$I38&gt;=K$12),"PD+DEV","PD")),IF(AND(INDEX('Roadmap Calc (Don’t Touch)'!$AA$2:$AX$151,$AI38,COLUMN()-COLUMN($J$16)+1)&gt;0,OR($D38="03. UX Discovery",$D38="04. UX Design")),IF(AND($H38&lt;&gt;"",$H38&lt;=EOMONTH(K$12,0),$I38&gt;=K$12),"UX+DEV","UX"),IF(AND($H38&lt;&gt;"",$H38&lt;=EOMONTH(K$12,0),$I38&gt;=K$12),"DEV",""))))</f>
      </c>
      <c r="L38" s="158" t="str">
        <f>IF($AI38="","",IF(AND($AN38&lt;&gt;"",$AN38&lt;=EOMONTH(L$12,0),$AO38&gt;=L$12),IF(AND(INDEX('Roadmap Calc (Don’t Touch)'!$AA$2:$AX$151,$AI38,COLUMN()-COLUMN($J$16)+1)&gt;0,OR($D38="03. UX Discovery",$D38="04. UX Design")),IF(AND($H38&lt;&gt;"",$H38&lt;=EOMONTH(L$12,0),$I38&gt;=L$12),"ALL","PD+UX"),IF(AND($H38&lt;&gt;"",$H38&lt;=EOMONTH(L$12,0),$I38&gt;=L$12),"PD+DEV","PD")),IF(AND(INDEX('Roadmap Calc (Don’t Touch)'!$AA$2:$AX$151,$AI38,COLUMN()-COLUMN($J$16)+1)&gt;0,OR($D38="03. UX Discovery",$D38="04. UX Design")),IF(AND($H38&lt;&gt;"",$H38&lt;=EOMONTH(L$12,0),$I38&gt;=L$12),"UX+DEV","UX"),IF(AND($H38&lt;&gt;"",$H38&lt;=EOMONTH(L$12,0),$I38&gt;=L$12),"DEV",""))))</f>
      </c>
      <c r="M38" s="158" t="str">
        <f>IF($AI38="","",IF(AND($AN38&lt;&gt;"",$AN38&lt;=EOMONTH(M$12,0),$AO38&gt;=M$12),IF(AND(INDEX('Roadmap Calc (Don’t Touch)'!$AA$2:$AX$151,$AI38,COLUMN()-COLUMN($J$16)+1)&gt;0,OR($D38="03. UX Discovery",$D38="04. UX Design")),IF(AND($H38&lt;&gt;"",$H38&lt;=EOMONTH(M$12,0),$I38&gt;=M$12),"ALL","PD+UX"),IF(AND($H38&lt;&gt;"",$H38&lt;=EOMONTH(M$12,0),$I38&gt;=M$12),"PD+DEV","PD")),IF(AND(INDEX('Roadmap Calc (Don’t Touch)'!$AA$2:$AX$151,$AI38,COLUMN()-COLUMN($J$16)+1)&gt;0,OR($D38="03. UX Discovery",$D38="04. UX Design")),IF(AND($H38&lt;&gt;"",$H38&lt;=EOMONTH(M$12,0),$I38&gt;=M$12),"UX+DEV","UX"),IF(AND($H38&lt;&gt;"",$H38&lt;=EOMONTH(M$12,0),$I38&gt;=M$12),"DEV",""))))</f>
      </c>
      <c r="N38" s="158" t="str">
        <f>IF($AI38="","",IF(AND($AN38&lt;&gt;"",$AN38&lt;=EOMONTH(N$12,0),$AO38&gt;=N$12),IF(AND(INDEX('Roadmap Calc (Don’t Touch)'!$AA$2:$AX$151,$AI38,COLUMN()-COLUMN($J$16)+1)&gt;0,OR($D38="03. UX Discovery",$D38="04. UX Design")),IF(AND($H38&lt;&gt;"",$H38&lt;=EOMONTH(N$12,0),$I38&gt;=N$12),"ALL","PD+UX"),IF(AND($H38&lt;&gt;"",$H38&lt;=EOMONTH(N$12,0),$I38&gt;=N$12),"PD+DEV","PD")),IF(AND(INDEX('Roadmap Calc (Don’t Touch)'!$AA$2:$AX$151,$AI38,COLUMN()-COLUMN($J$16)+1)&gt;0,OR($D38="03. UX Discovery",$D38="04. UX Design")),IF(AND($H38&lt;&gt;"",$H38&lt;=EOMONTH(N$12,0),$I38&gt;=N$12),"UX+DEV","UX"),IF(AND($H38&lt;&gt;"",$H38&lt;=EOMONTH(N$12,0),$I38&gt;=N$12),"DEV",""))))</f>
      </c>
      <c r="O38" s="158" t="str">
        <f>IF($AI38="","",IF(AND($AN38&lt;&gt;"",$AN38&lt;=EOMONTH(O$12,0),$AO38&gt;=O$12),IF(AND(INDEX('Roadmap Calc (Don’t Touch)'!$AA$2:$AX$151,$AI38,COLUMN()-COLUMN($J$16)+1)&gt;0,OR($D38="03. UX Discovery",$D38="04. UX Design")),IF(AND($H38&lt;&gt;"",$H38&lt;=EOMONTH(O$12,0),$I38&gt;=O$12),"ALL","PD+UX"),IF(AND($H38&lt;&gt;"",$H38&lt;=EOMONTH(O$12,0),$I38&gt;=O$12),"PD+DEV","PD")),IF(AND(INDEX('Roadmap Calc (Don’t Touch)'!$AA$2:$AX$151,$AI38,COLUMN()-COLUMN($J$16)+1)&gt;0,OR($D38="03. UX Discovery",$D38="04. UX Design")),IF(AND($H38&lt;&gt;"",$H38&lt;=EOMONTH(O$12,0),$I38&gt;=O$12),"UX+DEV","UX"),IF(AND($H38&lt;&gt;"",$H38&lt;=EOMONTH(O$12,0),$I38&gt;=O$12),"DEV",""))))</f>
      </c>
      <c r="P38" s="158" t="str">
        <f>IF($AI38="","",IF(AND($AN38&lt;&gt;"",$AN38&lt;=EOMONTH(P$12,0),$AO38&gt;=P$12),IF(AND(INDEX('Roadmap Calc (Don’t Touch)'!$AA$2:$AX$151,$AI38,COLUMN()-COLUMN($J$16)+1)&gt;0,OR($D38="03. UX Discovery",$D38="04. UX Design")),IF(AND($H38&lt;&gt;"",$H38&lt;=EOMONTH(P$12,0),$I38&gt;=P$12),"ALL","PD+UX"),IF(AND($H38&lt;&gt;"",$H38&lt;=EOMONTH(P$12,0),$I38&gt;=P$12),"PD+DEV","PD")),IF(AND(INDEX('Roadmap Calc (Don’t Touch)'!$AA$2:$AX$151,$AI38,COLUMN()-COLUMN($J$16)+1)&gt;0,OR($D38="03. UX Discovery",$D38="04. UX Design")),IF(AND($H38&lt;&gt;"",$H38&lt;=EOMONTH(P$12,0),$I38&gt;=P$12),"UX+DEV","UX"),IF(AND($H38&lt;&gt;"",$H38&lt;=EOMONTH(P$12,0),$I38&gt;=P$12),"DEV",""))))</f>
      </c>
      <c r="Q38" s="158" t="str">
        <f>IF($AI38="","",IF(AND($AN38&lt;&gt;"",$AN38&lt;=EOMONTH(Q$12,0),$AO38&gt;=Q$12),IF(AND(INDEX('Roadmap Calc (Don’t Touch)'!$AA$2:$AX$151,$AI38,COLUMN()-COLUMN($J$16)+1)&gt;0,OR($D38="03. UX Discovery",$D38="04. UX Design")),IF(AND($H38&lt;&gt;"",$H38&lt;=EOMONTH(Q$12,0),$I38&gt;=Q$12),"ALL","PD+UX"),IF(AND($H38&lt;&gt;"",$H38&lt;=EOMONTH(Q$12,0),$I38&gt;=Q$12),"PD+DEV","PD")),IF(AND(INDEX('Roadmap Calc (Don’t Touch)'!$AA$2:$AX$151,$AI38,COLUMN()-COLUMN($J$16)+1)&gt;0,OR($D38="03. UX Discovery",$D38="04. UX Design")),IF(AND($H38&lt;&gt;"",$H38&lt;=EOMONTH(Q$12,0),$I38&gt;=Q$12),"UX+DEV","UX"),IF(AND($H38&lt;&gt;"",$H38&lt;=EOMONTH(Q$12,0),$I38&gt;=Q$12),"DEV",""))))</f>
      </c>
      <c r="R38" s="158" t="str">
        <f>IF($AI38="","",IF(AND($AN38&lt;&gt;"",$AN38&lt;=EOMONTH(R$12,0),$AO38&gt;=R$12),IF(AND(INDEX('Roadmap Calc (Don’t Touch)'!$AA$2:$AX$151,$AI38,COLUMN()-COLUMN($J$16)+1)&gt;0,OR($D38="03. UX Discovery",$D38="04. UX Design")),IF(AND($H38&lt;&gt;"",$H38&lt;=EOMONTH(R$12,0),$I38&gt;=R$12),"ALL","PD+UX"),IF(AND($H38&lt;&gt;"",$H38&lt;=EOMONTH(R$12,0),$I38&gt;=R$12),"PD+DEV","PD")),IF(AND(INDEX('Roadmap Calc (Don’t Touch)'!$AA$2:$AX$151,$AI38,COLUMN()-COLUMN($J$16)+1)&gt;0,OR($D38="03. UX Discovery",$D38="04. UX Design")),IF(AND($H38&lt;&gt;"",$H38&lt;=EOMONTH(R$12,0),$I38&gt;=R$12),"UX+DEV","UX"),IF(AND($H38&lt;&gt;"",$H38&lt;=EOMONTH(R$12,0),$I38&gt;=R$12),"DEV",""))))</f>
      </c>
      <c r="S38" s="158" t="str">
        <f>IF($AI38="","",IF(AND($AN38&lt;&gt;"",$AN38&lt;=EOMONTH(S$12,0),$AO38&gt;=S$12),IF(AND(INDEX('Roadmap Calc (Don’t Touch)'!$AA$2:$AX$151,$AI38,COLUMN()-COLUMN($J$16)+1)&gt;0,OR($D38="03. UX Discovery",$D38="04. UX Design")),IF(AND($H38&lt;&gt;"",$H38&lt;=EOMONTH(S$12,0),$I38&gt;=S$12),"ALL","PD+UX"),IF(AND($H38&lt;&gt;"",$H38&lt;=EOMONTH(S$12,0),$I38&gt;=S$12),"PD+DEV","PD")),IF(AND(INDEX('Roadmap Calc (Don’t Touch)'!$AA$2:$AX$151,$AI38,COLUMN()-COLUMN($J$16)+1)&gt;0,OR($D38="03. UX Discovery",$D38="04. UX Design")),IF(AND($H38&lt;&gt;"",$H38&lt;=EOMONTH(S$12,0),$I38&gt;=S$12),"UX+DEV","UX"),IF(AND($H38&lt;&gt;"",$H38&lt;=EOMONTH(S$12,0),$I38&gt;=S$12),"DEV",""))))</f>
      </c>
      <c r="T38" s="158" t="str">
        <f>IF($AI38="","",IF(AND($AN38&lt;&gt;"",$AN38&lt;=EOMONTH(T$12,0),$AO38&gt;=T$12),IF(AND(INDEX('Roadmap Calc (Don’t Touch)'!$AA$2:$AX$151,$AI38,COLUMN()-COLUMN($J$16)+1)&gt;0,OR($D38="03. UX Discovery",$D38="04. UX Design")),IF(AND($H38&lt;&gt;"",$H38&lt;=EOMONTH(T$12,0),$I38&gt;=T$12),"ALL","PD+UX"),IF(AND($H38&lt;&gt;"",$H38&lt;=EOMONTH(T$12,0),$I38&gt;=T$12),"PD+DEV","PD")),IF(AND(INDEX('Roadmap Calc (Don’t Touch)'!$AA$2:$AX$151,$AI38,COLUMN()-COLUMN($J$16)+1)&gt;0,OR($D38="03. UX Discovery",$D38="04. UX Design")),IF(AND($H38&lt;&gt;"",$H38&lt;=EOMONTH(T$12,0),$I38&gt;=T$12),"UX+DEV","UX"),IF(AND($H38&lt;&gt;"",$H38&lt;=EOMONTH(T$12,0),$I38&gt;=T$12),"DEV",""))))</f>
      </c>
      <c r="U38" s="158" t="str">
        <f>IF($AI38="","",IF(AND($AN38&lt;&gt;"",$AN38&lt;=EOMONTH(U$12,0),$AO38&gt;=U$12),IF(AND(INDEX('Roadmap Calc (Don’t Touch)'!$AA$2:$AX$151,$AI38,COLUMN()-COLUMN($J$16)+1)&gt;0,OR($D38="03. UX Discovery",$D38="04. UX Design")),IF(AND($H38&lt;&gt;"",$H38&lt;=EOMONTH(U$12,0),$I38&gt;=U$12),"ALL","PD+UX"),IF(AND($H38&lt;&gt;"",$H38&lt;=EOMONTH(U$12,0),$I38&gt;=U$12),"PD+DEV","PD")),IF(AND(INDEX('Roadmap Calc (Don’t Touch)'!$AA$2:$AX$151,$AI38,COLUMN()-COLUMN($J$16)+1)&gt;0,OR($D38="03. UX Discovery",$D38="04. UX Design")),IF(AND($H38&lt;&gt;"",$H38&lt;=EOMONTH(U$12,0),$I38&gt;=U$12),"UX+DEV","UX"),IF(AND($H38&lt;&gt;"",$H38&lt;=EOMONTH(U$12,0),$I38&gt;=U$12),"DEV",""))))</f>
      </c>
      <c r="V38" s="158" t="str">
        <f>IF($AI38="","",IF(AND($AN38&lt;&gt;"",$AN38&lt;=EOMONTH(V$12,0),$AO38&gt;=V$12),IF(AND(INDEX('Roadmap Calc (Don’t Touch)'!$AA$2:$AX$151,$AI38,COLUMN()-COLUMN($J$16)+1)&gt;0,OR($D38="03. UX Discovery",$D38="04. UX Design")),IF(AND($H38&lt;&gt;"",$H38&lt;=EOMONTH(V$12,0),$I38&gt;=V$12),"ALL","PD+UX"),IF(AND($H38&lt;&gt;"",$H38&lt;=EOMONTH(V$12,0),$I38&gt;=V$12),"PD+DEV","PD")),IF(AND(INDEX('Roadmap Calc (Don’t Touch)'!$AA$2:$AX$151,$AI38,COLUMN()-COLUMN($J$16)+1)&gt;0,OR($D38="03. UX Discovery",$D38="04. UX Design")),IF(AND($H38&lt;&gt;"",$H38&lt;=EOMONTH(V$12,0),$I38&gt;=V$12),"UX+DEV","UX"),IF(AND($H38&lt;&gt;"",$H38&lt;=EOMONTH(V$12,0),$I38&gt;=V$12),"DEV",""))))</f>
      </c>
      <c r="W38" s="158" t="str">
        <f>IF($AI38="","",IF(AND($AN38&lt;&gt;"",$AN38&lt;=EOMONTH(W$12,0),$AO38&gt;=W$12),IF(AND(INDEX('Roadmap Calc (Don’t Touch)'!$AA$2:$AX$151,$AI38,COLUMN()-COLUMN($J$16)+1)&gt;0,OR($D38="03. UX Discovery",$D38="04. UX Design")),IF(AND($H38&lt;&gt;"",$H38&lt;=EOMONTH(W$12,0),$I38&gt;=W$12),"ALL","PD+UX"),IF(AND($H38&lt;&gt;"",$H38&lt;=EOMONTH(W$12,0),$I38&gt;=W$12),"PD+DEV","PD")),IF(AND(INDEX('Roadmap Calc (Don’t Touch)'!$AA$2:$AX$151,$AI38,COLUMN()-COLUMN($J$16)+1)&gt;0,OR($D38="03. UX Discovery",$D38="04. UX Design")),IF(AND($H38&lt;&gt;"",$H38&lt;=EOMONTH(W$12,0),$I38&gt;=W$12),"UX+DEV","UX"),IF(AND($H38&lt;&gt;"",$H38&lt;=EOMONTH(W$12,0),$I38&gt;=W$12),"DEV",""))))</f>
      </c>
      <c r="X38" s="158" t="str">
        <f>IF($AI38="","",IF(AND($AN38&lt;&gt;"",$AN38&lt;=EOMONTH(X$12,0),$AO38&gt;=X$12),IF(AND(INDEX('Roadmap Calc (Don’t Touch)'!$AA$2:$AX$151,$AI38,COLUMN()-COLUMN($J$16)+1)&gt;0,OR($D38="03. UX Discovery",$D38="04. UX Design")),IF(AND($H38&lt;&gt;"",$H38&lt;=EOMONTH(X$12,0),$I38&gt;=X$12),"ALL","PD+UX"),IF(AND($H38&lt;&gt;"",$H38&lt;=EOMONTH(X$12,0),$I38&gt;=X$12),"PD+DEV","PD")),IF(AND(INDEX('Roadmap Calc (Don’t Touch)'!$AA$2:$AX$151,$AI38,COLUMN()-COLUMN($J$16)+1)&gt;0,OR($D38="03. UX Discovery",$D38="04. UX Design")),IF(AND($H38&lt;&gt;"",$H38&lt;=EOMONTH(X$12,0),$I38&gt;=X$12),"UX+DEV","UX"),IF(AND($H38&lt;&gt;"",$H38&lt;=EOMONTH(X$12,0),$I38&gt;=X$12),"DEV",""))))</f>
      </c>
      <c r="Y38" s="158" t="str">
        <f>IF($AI38="","",IF(AND($AN38&lt;&gt;"",$AN38&lt;=EOMONTH(Y$12,0),$AO38&gt;=Y$12),IF(AND(INDEX('Roadmap Calc (Don’t Touch)'!$AA$2:$AX$151,$AI38,COLUMN()-COLUMN($J$16)+1)&gt;0,OR($D38="03. UX Discovery",$D38="04. UX Design")),IF(AND($H38&lt;&gt;"",$H38&lt;=EOMONTH(Y$12,0),$I38&gt;=Y$12),"ALL","PD+UX"),IF(AND($H38&lt;&gt;"",$H38&lt;=EOMONTH(Y$12,0),$I38&gt;=Y$12),"PD+DEV","PD")),IF(AND(INDEX('Roadmap Calc (Don’t Touch)'!$AA$2:$AX$151,$AI38,COLUMN()-COLUMN($J$16)+1)&gt;0,OR($D38="03. UX Discovery",$D38="04. UX Design")),IF(AND($H38&lt;&gt;"",$H38&lt;=EOMONTH(Y$12,0),$I38&gt;=Y$12),"UX+DEV","UX"),IF(AND($H38&lt;&gt;"",$H38&lt;=EOMONTH(Y$12,0),$I38&gt;=Y$12),"DEV",""))))</f>
      </c>
      <c r="Z38" s="158" t="str">
        <f>IF($AI38="","",IF(AND($AN38&lt;&gt;"",$AN38&lt;=EOMONTH(Z$12,0),$AO38&gt;=Z$12),IF(AND(INDEX('Roadmap Calc (Don’t Touch)'!$AA$2:$AX$151,$AI38,COLUMN()-COLUMN($J$16)+1)&gt;0,OR($D38="03. UX Discovery",$D38="04. UX Design")),IF(AND($H38&lt;&gt;"",$H38&lt;=EOMONTH(Z$12,0),$I38&gt;=Z$12),"ALL","PD+UX"),IF(AND($H38&lt;&gt;"",$H38&lt;=EOMONTH(Z$12,0),$I38&gt;=Z$12),"PD+DEV","PD")),IF(AND(INDEX('Roadmap Calc (Don’t Touch)'!$AA$2:$AX$151,$AI38,COLUMN()-COLUMN($J$16)+1)&gt;0,OR($D38="03. UX Discovery",$D38="04. UX Design")),IF(AND($H38&lt;&gt;"",$H38&lt;=EOMONTH(Z$12,0),$I38&gt;=Z$12),"UX+DEV","UX"),IF(AND($H38&lt;&gt;"",$H38&lt;=EOMONTH(Z$12,0),$I38&gt;=Z$12),"DEV",""))))</f>
      </c>
      <c r="AA38" s="158" t="str">
        <f>IF($AI38="","",IF(AND($AN38&lt;&gt;"",$AN38&lt;=EOMONTH(AA$12,0),$AO38&gt;=AA$12),IF(AND(INDEX('Roadmap Calc (Don’t Touch)'!$AA$2:$AX$151,$AI38,COLUMN()-COLUMN($J$16)+1)&gt;0,OR($D38="03. UX Discovery",$D38="04. UX Design")),IF(AND($H38&lt;&gt;"",$H38&lt;=EOMONTH(AA$12,0),$I38&gt;=AA$12),"ALL","PD+UX"),IF(AND($H38&lt;&gt;"",$H38&lt;=EOMONTH(AA$12,0),$I38&gt;=AA$12),"PD+DEV","PD")),IF(AND(INDEX('Roadmap Calc (Don’t Touch)'!$AA$2:$AX$151,$AI38,COLUMN()-COLUMN($J$16)+1)&gt;0,OR($D38="03. UX Discovery",$D38="04. UX Design")),IF(AND($H38&lt;&gt;"",$H38&lt;=EOMONTH(AA$12,0),$I38&gt;=AA$12),"UX+DEV","UX"),IF(AND($H38&lt;&gt;"",$H38&lt;=EOMONTH(AA$12,0),$I38&gt;=AA$12),"DEV",""))))</f>
      </c>
      <c r="AB38" s="158" t="str">
        <f>IF($AI38="","",IF(AND($AN38&lt;&gt;"",$AN38&lt;=EOMONTH(AB$12,0),$AO38&gt;=AB$12),IF(AND(INDEX('Roadmap Calc (Don’t Touch)'!$AA$2:$AX$151,$AI38,COLUMN()-COLUMN($J$16)+1)&gt;0,OR($D38="03. UX Discovery",$D38="04. UX Design")),IF(AND($H38&lt;&gt;"",$H38&lt;=EOMONTH(AB$12,0),$I38&gt;=AB$12),"ALL","PD+UX"),IF(AND($H38&lt;&gt;"",$H38&lt;=EOMONTH(AB$12,0),$I38&gt;=AB$12),"PD+DEV","PD")),IF(AND(INDEX('Roadmap Calc (Don’t Touch)'!$AA$2:$AX$151,$AI38,COLUMN()-COLUMN($J$16)+1)&gt;0,OR($D38="03. UX Discovery",$D38="04. UX Design")),IF(AND($H38&lt;&gt;"",$H38&lt;=EOMONTH(AB$12,0),$I38&gt;=AB$12),"UX+DEV","UX"),IF(AND($H38&lt;&gt;"",$H38&lt;=EOMONTH(AB$12,0),$I38&gt;=AB$12),"DEV",""))))</f>
      </c>
      <c r="AC38" s="158" t="str">
        <f>IF($AI38="","",IF(AND($AN38&lt;&gt;"",$AN38&lt;=EOMONTH(AC$12,0),$AO38&gt;=AC$12),IF(AND(INDEX('Roadmap Calc (Don’t Touch)'!$AA$2:$AX$151,$AI38,COLUMN()-COLUMN($J$16)+1)&gt;0,OR($D38="03. UX Discovery",$D38="04. UX Design")),IF(AND($H38&lt;&gt;"",$H38&lt;=EOMONTH(AC$12,0),$I38&gt;=AC$12),"ALL","PD+UX"),IF(AND($H38&lt;&gt;"",$H38&lt;=EOMONTH(AC$12,0),$I38&gt;=AC$12),"PD+DEV","PD")),IF(AND(INDEX('Roadmap Calc (Don’t Touch)'!$AA$2:$AX$151,$AI38,COLUMN()-COLUMN($J$16)+1)&gt;0,OR($D38="03. UX Discovery",$D38="04. UX Design")),IF(AND($H38&lt;&gt;"",$H38&lt;=EOMONTH(AC$12,0),$I38&gt;=AC$12),"UX+DEV","UX"),IF(AND($H38&lt;&gt;"",$H38&lt;=EOMONTH(AC$12,0),$I38&gt;=AC$12),"DEV",""))))</f>
      </c>
      <c r="AD38" s="158" t="str">
        <f>IF($AI38="","",IF(AND($AN38&lt;&gt;"",$AN38&lt;=EOMONTH(AD$12,0),$AO38&gt;=AD$12),IF(AND(INDEX('Roadmap Calc (Don’t Touch)'!$AA$2:$AX$151,$AI38,COLUMN()-COLUMN($J$16)+1)&gt;0,OR($D38="03. UX Discovery",$D38="04. UX Design")),IF(AND($H38&lt;&gt;"",$H38&lt;=EOMONTH(AD$12,0),$I38&gt;=AD$12),"ALL","PD+UX"),IF(AND($H38&lt;&gt;"",$H38&lt;=EOMONTH(AD$12,0),$I38&gt;=AD$12),"PD+DEV","PD")),IF(AND(INDEX('Roadmap Calc (Don’t Touch)'!$AA$2:$AX$151,$AI38,COLUMN()-COLUMN($J$16)+1)&gt;0,OR($D38="03. UX Discovery",$D38="04. UX Design")),IF(AND($H38&lt;&gt;"",$H38&lt;=EOMONTH(AD$12,0),$I38&gt;=AD$12),"UX+DEV","UX"),IF(AND($H38&lt;&gt;"",$H38&lt;=EOMONTH(AD$12,0),$I38&gt;=AD$12),"DEV",""))))</f>
      </c>
      <c r="AE38" s="158" t="str">
        <f>IF($AI38="","",IF(AND($AN38&lt;&gt;"",$AN38&lt;=EOMONTH(AE$12,0),$AO38&gt;=AE$12),IF(AND(INDEX('Roadmap Calc (Don’t Touch)'!$AA$2:$AX$151,$AI38,COLUMN()-COLUMN($J$16)+1)&gt;0,OR($D38="03. UX Discovery",$D38="04. UX Design")),IF(AND($H38&lt;&gt;"",$H38&lt;=EOMONTH(AE$12,0),$I38&gt;=AE$12),"ALL","PD+UX"),IF(AND($H38&lt;&gt;"",$H38&lt;=EOMONTH(AE$12,0),$I38&gt;=AE$12),"PD+DEV","PD")),IF(AND(INDEX('Roadmap Calc (Don’t Touch)'!$AA$2:$AX$151,$AI38,COLUMN()-COLUMN($J$16)+1)&gt;0,OR($D38="03. UX Discovery",$D38="04. UX Design")),IF(AND($H38&lt;&gt;"",$H38&lt;=EOMONTH(AE$12,0),$I38&gt;=AE$12),"UX+DEV","UX"),IF(AND($H38&lt;&gt;"",$H38&lt;=EOMONTH(AE$12,0),$I38&gt;=AE$12),"DEV",""))))</f>
      </c>
      <c r="AF38" s="158" t="str">
        <f>IF($AI38="","",IF(AND($AN38&lt;&gt;"",$AN38&lt;=EOMONTH(AF$12,0),$AO38&gt;=AF$12),IF(AND(INDEX('Roadmap Calc (Don’t Touch)'!$AA$2:$AX$151,$AI38,COLUMN()-COLUMN($J$16)+1)&gt;0,OR($D38="03. UX Discovery",$D38="04. UX Design")),IF(AND($H38&lt;&gt;"",$H38&lt;=EOMONTH(AF$12,0),$I38&gt;=AF$12),"ALL","PD+UX"),IF(AND($H38&lt;&gt;"",$H38&lt;=EOMONTH(AF$12,0),$I38&gt;=AF$12),"PD+DEV","PD")),IF(AND(INDEX('Roadmap Calc (Don’t Touch)'!$AA$2:$AX$151,$AI38,COLUMN()-COLUMN($J$16)+1)&gt;0,OR($D38="03. UX Discovery",$D38="04. UX Design")),IF(AND($H38&lt;&gt;"",$H38&lt;=EOMONTH(AF$12,0),$I38&gt;=AF$12),"UX+DEV","UX"),IF(AND($H38&lt;&gt;"",$H38&lt;=EOMONTH(AF$12,0),$I38&gt;=AF$12),"DEV",""))))</f>
      </c>
      <c r="AG38" s="158" t="str">
        <f>IF($AI38="","",IF(AND($AN38&lt;&gt;"",$AN38&lt;=EOMONTH(AG$12,0),$AO38&gt;=AG$12),IF(AND(INDEX('Roadmap Calc (Don’t Touch)'!$AA$2:$AX$151,$AI38,COLUMN()-COLUMN($J$16)+1)&gt;0,OR($D38="03. UX Discovery",$D38="04. UX Design")),IF(AND($H38&lt;&gt;"",$H38&lt;=EOMONTH(AG$12,0),$I38&gt;=AG$12),"ALL","PD+UX"),IF(AND($H38&lt;&gt;"",$H38&lt;=EOMONTH(AG$12,0),$I38&gt;=AG$12),"PD+DEV","PD")),IF(AND(INDEX('Roadmap Calc (Don’t Touch)'!$AA$2:$AX$151,$AI38,COLUMN()-COLUMN($J$16)+1)&gt;0,OR($D38="03. UX Discovery",$D38="04. UX Design")),IF(AND($H38&lt;&gt;"",$H38&lt;=EOMONTH(AG$12,0),$I38&gt;=AG$12),"UX+DEV","UX"),IF(AND($H38&lt;&gt;"",$H38&lt;=EOMONTH(AG$12,0),$I38&gt;=AG$12),"DEV",""))))</f>
      </c>
      <c r="AH38" s="145" t="str">
        <f>IF($AI38="","",INDEX('Roadmap Calc (Don’t Touch)'!$D$2:$D$151,$AI38))</f>
        <v>Improve Buy Used Customer Experience</v>
      </c>
      <c r="AI38" s="145">
        <f>IFERROR(MATCH(23,'Roadmap Calc (Don’t Touch)'!$O$2:$O$151,0),"")</f>
        <v>3</v>
      </c>
      <c r="AJ38" s="145"/>
      <c r="AK38" s="145"/>
      <c r="AL38" s="145"/>
      <c r="AM38" s="145"/>
      <c r="AN38">
        <f>IF($AI38="","",IF(ISNUMBER(INDEX('Roadmap Calc (Don’t Touch)'!$BB$2:$BB$151,$AI38)),INDEX('Roadmap Calc (Don’t Touch)'!$BB$2:$BB$151,$AI38),""))</f>
      </c>
      <c r="AO38">
        <f>IF($AI38="","",IF(ISNUMBER(INDEX('Roadmap Calc (Don’t Touch)'!$BC$2:$BC$151,$AI38)),INDEX('Roadmap Calc (Don’t Touch)'!$BC$2:$BC$151,$AI38),""))</f>
      </c>
    </row>
    <row r="39" spans="1:41" ht="20" customHeight="1" x14ac:dyDescent="0.25">
      <c r="A39" s="198" t="str">
        <f>IF($AI39="","",IF($AH39=$AH38,"",IF(INDEX('Roadmap Calc (Don’t Touch)'!$U$2:$U$151,$AI39)=0,$AH39,HYPERLINK("#'Control (Don’t Touch)'!E"&amp;INDEX('Roadmap Calc (Don’t Touch)'!$U$2:$U$151,$AI39),$AH39))))</f>
        <v/>
      </c>
      <c r="B39" s="159" t="str">
        <f>IF($AI39="","",IF(INDEX('Roadmap Calc (Don’t Touch)'!$K$2:$K$151,$AI39)="",INDEX('Roadmap Calc (Don’t Touch)'!$B$2:$B$151,$AI39),HYPERLINK("https://jira.bnh.com/browse/"&amp;INDEX('Roadmap Calc (Don’t Touch)'!$K$2:$K$151,$AI39),INDEX('Roadmap Calc (Don’t Touch)'!$B$2:$B$151,$AI39))))</f>
        <v>Used Roll Up SKUs</v>
      </c>
      <c r="C39" s="159" t="str">
        <f>IF($AI39="","",IF(INDEX('Roadmap Calc (Don’t Touch)'!$E$2:$E$151,$AI39)="","",HYPERLINK("https://jira.bnh.com/browse/"&amp;INDEX('Roadmap Calc (Don’t Touch)'!$E$2:$E$151,$AI39),INDEX('Roadmap Calc (Don’t Touch)'!$E$2:$E$151,$AI39))))</f>
        <v>BHP-6479</v>
      </c>
      <c r="D39" s="161" t="str">
        <f>IF($AI39="","",INDEX('Roadmap Calc (Don’t Touch)'!$F$2:$F$151,$AI39))</f>
        <v>01. Prod Discovery</v>
      </c>
      <c r="E39" s="155" t="str">
        <f>IF($AI39="","",IF(ISNUMBER(INDEX('Roadmap Calc (Don’t Touch)'!$G$2:$G$151,$AI39)),INDEX('Roadmap Calc (Don’t Touch)'!$G$2:$G$151,$AI39),""))</f>
        <v/>
      </c>
      <c r="F39" s="155" t="str">
        <f>IF($AI39="","",IF(ISNUMBER(INDEX('Roadmap Calc (Don’t Touch)'!$H$2:$H$151,$AI39)),INDEX('Roadmap Calc (Don’t Touch)'!$H$2:$H$151,$AI39),""))</f>
        <v/>
      </c>
      <c r="G39" s="156">
        <f>IF($AI39="","",INDEX('Roadmap Calc (Don’t Touch)'!$T$2:$T$151,$AI39))</f>
        <v>0</v>
      </c>
      <c r="H39" s="157">
        <f ca="1">IF($AI39="","",IF(ISNUMBER(INDEX('Roadmap Calc (Don’t Touch)'!$I$2:$I$151,$AI39)),INDEX('Roadmap Calc (Don’t Touch)'!$I$2:$I$151,$AI39),""))</f>
        <v>46357</v>
      </c>
      <c r="I39" s="157">
        <f ca="1">IF($AI39="","",IF(ISNUMBER(INDEX('Roadmap Calc (Don’t Touch)'!$J$2:$J$151,$AI39)),INDEX('Roadmap Calc (Don’t Touch)'!$J$2:$J$151,$AI39),""))</f>
        <v>46446</v>
      </c>
      <c r="J39" s="158" t="str">
        <f>IF($AI39="","",IF(AND($AN39&lt;&gt;"",$AN39&lt;=EOMONTH(J$12,0),$AO39&gt;=J$12),IF(AND(INDEX('Roadmap Calc (Don’t Touch)'!$AA$2:$AX$151,$AI39,COLUMN()-COLUMN($J$16)+1)&gt;0,OR($D39="03. UX Discovery",$D39="04. UX Design")),IF(AND($H39&lt;&gt;"",$H39&lt;=EOMONTH(J$12,0),$I39&gt;=J$12),"ALL","PD+UX"),IF(AND($H39&lt;&gt;"",$H39&lt;=EOMONTH(J$12,0),$I39&gt;=J$12),"PD+DEV","PD")),IF(AND(INDEX('Roadmap Calc (Don’t Touch)'!$AA$2:$AX$151,$AI39,COLUMN()-COLUMN($J$16)+1)&gt;0,OR($D39="03. UX Discovery",$D39="04. UX Design")),IF(AND($H39&lt;&gt;"",$H39&lt;=EOMONTH(J$12,0),$I39&gt;=J$12),"UX+DEV","UX"),IF(AND($H39&lt;&gt;"",$H39&lt;=EOMONTH(J$12,0),$I39&gt;=J$12),"DEV",""))))</f>
      </c>
      <c r="K39" s="158" t="str">
        <f>IF($AI39="","",IF(AND($AN39&lt;&gt;"",$AN39&lt;=EOMONTH(K$12,0),$AO39&gt;=K$12),IF(AND(INDEX('Roadmap Calc (Don’t Touch)'!$AA$2:$AX$151,$AI39,COLUMN()-COLUMN($J$16)+1)&gt;0,OR($D39="03. UX Discovery",$D39="04. UX Design")),IF(AND($H39&lt;&gt;"",$H39&lt;=EOMONTH(K$12,0),$I39&gt;=K$12),"ALL","PD+UX"),IF(AND($H39&lt;&gt;"",$H39&lt;=EOMONTH(K$12,0),$I39&gt;=K$12),"PD+DEV","PD")),IF(AND(INDEX('Roadmap Calc (Don’t Touch)'!$AA$2:$AX$151,$AI39,COLUMN()-COLUMN($J$16)+1)&gt;0,OR($D39="03. UX Discovery",$D39="04. UX Design")),IF(AND($H39&lt;&gt;"",$H39&lt;=EOMONTH(K$12,0),$I39&gt;=K$12),"UX+DEV","UX"),IF(AND($H39&lt;&gt;"",$H39&lt;=EOMONTH(K$12,0),$I39&gt;=K$12),"DEV",""))))</f>
      </c>
      <c r="L39" s="158" t="str">
        <f>IF($AI39="","",IF(AND($AN39&lt;&gt;"",$AN39&lt;=EOMONTH(L$12,0),$AO39&gt;=L$12),IF(AND(INDEX('Roadmap Calc (Don’t Touch)'!$AA$2:$AX$151,$AI39,COLUMN()-COLUMN($J$16)+1)&gt;0,OR($D39="03. UX Discovery",$D39="04. UX Design")),IF(AND($H39&lt;&gt;"",$H39&lt;=EOMONTH(L$12,0),$I39&gt;=L$12),"ALL","PD+UX"),IF(AND($H39&lt;&gt;"",$H39&lt;=EOMONTH(L$12,0),$I39&gt;=L$12),"PD+DEV","PD")),IF(AND(INDEX('Roadmap Calc (Don’t Touch)'!$AA$2:$AX$151,$AI39,COLUMN()-COLUMN($J$16)+1)&gt;0,OR($D39="03. UX Discovery",$D39="04. UX Design")),IF(AND($H39&lt;&gt;"",$H39&lt;=EOMONTH(L$12,0),$I39&gt;=L$12),"UX+DEV","UX"),IF(AND($H39&lt;&gt;"",$H39&lt;=EOMONTH(L$12,0),$I39&gt;=L$12),"DEV",""))))</f>
      </c>
      <c r="M39" s="158" t="str">
        <f>IF($AI39="","",IF(AND($AN39&lt;&gt;"",$AN39&lt;=EOMONTH(M$12,0),$AO39&gt;=M$12),IF(AND(INDEX('Roadmap Calc (Don’t Touch)'!$AA$2:$AX$151,$AI39,COLUMN()-COLUMN($J$16)+1)&gt;0,OR($D39="03. UX Discovery",$D39="04. UX Design")),IF(AND($H39&lt;&gt;"",$H39&lt;=EOMONTH(M$12,0),$I39&gt;=M$12),"ALL","PD+UX"),IF(AND($H39&lt;&gt;"",$H39&lt;=EOMONTH(M$12,0),$I39&gt;=M$12),"PD+DEV","PD")),IF(AND(INDEX('Roadmap Calc (Don’t Touch)'!$AA$2:$AX$151,$AI39,COLUMN()-COLUMN($J$16)+1)&gt;0,OR($D39="03. UX Discovery",$D39="04. UX Design")),IF(AND($H39&lt;&gt;"",$H39&lt;=EOMONTH(M$12,0),$I39&gt;=M$12),"UX+DEV","UX"),IF(AND($H39&lt;&gt;"",$H39&lt;=EOMONTH(M$12,0),$I39&gt;=M$12),"DEV",""))))</f>
      </c>
      <c r="N39" s="158" t="str">
        <f>IF($AI39="","",IF(AND($AN39&lt;&gt;"",$AN39&lt;=EOMONTH(N$12,0),$AO39&gt;=N$12),IF(AND(INDEX('Roadmap Calc (Don’t Touch)'!$AA$2:$AX$151,$AI39,COLUMN()-COLUMN($J$16)+1)&gt;0,OR($D39="03. UX Discovery",$D39="04. UX Design")),IF(AND($H39&lt;&gt;"",$H39&lt;=EOMONTH(N$12,0),$I39&gt;=N$12),"ALL","PD+UX"),IF(AND($H39&lt;&gt;"",$H39&lt;=EOMONTH(N$12,0),$I39&gt;=N$12),"PD+DEV","PD")),IF(AND(INDEX('Roadmap Calc (Don’t Touch)'!$AA$2:$AX$151,$AI39,COLUMN()-COLUMN($J$16)+1)&gt;0,OR($D39="03. UX Discovery",$D39="04. UX Design")),IF(AND($H39&lt;&gt;"",$H39&lt;=EOMONTH(N$12,0),$I39&gt;=N$12),"UX+DEV","UX"),IF(AND($H39&lt;&gt;"",$H39&lt;=EOMONTH(N$12,0),$I39&gt;=N$12),"DEV",""))))</f>
      </c>
      <c r="O39" s="158" t="str">
        <f>IF($AI39="","",IF(AND($AN39&lt;&gt;"",$AN39&lt;=EOMONTH(O$12,0),$AO39&gt;=O$12),IF(AND(INDEX('Roadmap Calc (Don’t Touch)'!$AA$2:$AX$151,$AI39,COLUMN()-COLUMN($J$16)+1)&gt;0,OR($D39="03. UX Discovery",$D39="04. UX Design")),IF(AND($H39&lt;&gt;"",$H39&lt;=EOMONTH(O$12,0),$I39&gt;=O$12),"ALL","PD+UX"),IF(AND($H39&lt;&gt;"",$H39&lt;=EOMONTH(O$12,0),$I39&gt;=O$12),"PD+DEV","PD")),IF(AND(INDEX('Roadmap Calc (Don’t Touch)'!$AA$2:$AX$151,$AI39,COLUMN()-COLUMN($J$16)+1)&gt;0,OR($D39="03. UX Discovery",$D39="04. UX Design")),IF(AND($H39&lt;&gt;"",$H39&lt;=EOMONTH(O$12,0),$I39&gt;=O$12),"UX+DEV","UX"),IF(AND($H39&lt;&gt;"",$H39&lt;=EOMONTH(O$12,0),$I39&gt;=O$12),"DEV",""))))</f>
      </c>
      <c r="P39" s="158" t="str">
        <f>IF($AI39="","",IF(AND($AN39&lt;&gt;"",$AN39&lt;=EOMONTH(P$12,0),$AO39&gt;=P$12),IF(AND(INDEX('Roadmap Calc (Don’t Touch)'!$AA$2:$AX$151,$AI39,COLUMN()-COLUMN($J$16)+1)&gt;0,OR($D39="03. UX Discovery",$D39="04. UX Design")),IF(AND($H39&lt;&gt;"",$H39&lt;=EOMONTH(P$12,0),$I39&gt;=P$12),"ALL","PD+UX"),IF(AND($H39&lt;&gt;"",$H39&lt;=EOMONTH(P$12,0),$I39&gt;=P$12),"PD+DEV","PD")),IF(AND(INDEX('Roadmap Calc (Don’t Touch)'!$AA$2:$AX$151,$AI39,COLUMN()-COLUMN($J$16)+1)&gt;0,OR($D39="03. UX Discovery",$D39="04. UX Design")),IF(AND($H39&lt;&gt;"",$H39&lt;=EOMONTH(P$12,0),$I39&gt;=P$12),"UX+DEV","UX"),IF(AND($H39&lt;&gt;"",$H39&lt;=EOMONTH(P$12,0),$I39&gt;=P$12),"DEV",""))))</f>
      </c>
      <c r="Q39" s="158" t="str">
        <f>IF($AI39="","",IF(AND($AN39&lt;&gt;"",$AN39&lt;=EOMONTH(Q$12,0),$AO39&gt;=Q$12),IF(AND(INDEX('Roadmap Calc (Don’t Touch)'!$AA$2:$AX$151,$AI39,COLUMN()-COLUMN($J$16)+1)&gt;0,OR($D39="03. UX Discovery",$D39="04. UX Design")),IF(AND($H39&lt;&gt;"",$H39&lt;=EOMONTH(Q$12,0),$I39&gt;=Q$12),"ALL","PD+UX"),IF(AND($H39&lt;&gt;"",$H39&lt;=EOMONTH(Q$12,0),$I39&gt;=Q$12),"PD+DEV","PD")),IF(AND(INDEX('Roadmap Calc (Don’t Touch)'!$AA$2:$AX$151,$AI39,COLUMN()-COLUMN($J$16)+1)&gt;0,OR($D39="03. UX Discovery",$D39="04. UX Design")),IF(AND($H39&lt;&gt;"",$H39&lt;=EOMONTH(Q$12,0),$I39&gt;=Q$12),"UX+DEV","UX"),IF(AND($H39&lt;&gt;"",$H39&lt;=EOMONTH(Q$12,0),$I39&gt;=Q$12),"DEV",""))))</f>
      </c>
      <c r="R39" s="158" t="str">
        <f>IF($AI39="","",IF(AND($AN39&lt;&gt;"",$AN39&lt;=EOMONTH(R$12,0),$AO39&gt;=R$12),IF(AND(INDEX('Roadmap Calc (Don’t Touch)'!$AA$2:$AX$151,$AI39,COLUMN()-COLUMN($J$16)+1)&gt;0,OR($D39="03. UX Discovery",$D39="04. UX Design")),IF(AND($H39&lt;&gt;"",$H39&lt;=EOMONTH(R$12,0),$I39&gt;=R$12),"ALL","PD+UX"),IF(AND($H39&lt;&gt;"",$H39&lt;=EOMONTH(R$12,0),$I39&gt;=R$12),"PD+DEV","PD")),IF(AND(INDEX('Roadmap Calc (Don’t Touch)'!$AA$2:$AX$151,$AI39,COLUMN()-COLUMN($J$16)+1)&gt;0,OR($D39="03. UX Discovery",$D39="04. UX Design")),IF(AND($H39&lt;&gt;"",$H39&lt;=EOMONTH(R$12,0),$I39&gt;=R$12),"UX+DEV","UX"),IF(AND($H39&lt;&gt;"",$H39&lt;=EOMONTH(R$12,0),$I39&gt;=R$12),"DEV",""))))</f>
      </c>
      <c r="S39" s="158" t="str">
        <f>IF($AI39="","",IF(AND($AN39&lt;&gt;"",$AN39&lt;=EOMONTH(S$12,0),$AO39&gt;=S$12),IF(AND(INDEX('Roadmap Calc (Don’t Touch)'!$AA$2:$AX$151,$AI39,COLUMN()-COLUMN($J$16)+1)&gt;0,OR($D39="03. UX Discovery",$D39="04. UX Design")),IF(AND($H39&lt;&gt;"",$H39&lt;=EOMONTH(S$12,0),$I39&gt;=S$12),"ALL","PD+UX"),IF(AND($H39&lt;&gt;"",$H39&lt;=EOMONTH(S$12,0),$I39&gt;=S$12),"PD+DEV","PD")),IF(AND(INDEX('Roadmap Calc (Don’t Touch)'!$AA$2:$AX$151,$AI39,COLUMN()-COLUMN($J$16)+1)&gt;0,OR($D39="03. UX Discovery",$D39="04. UX Design")),IF(AND($H39&lt;&gt;"",$H39&lt;=EOMONTH(S$12,0),$I39&gt;=S$12),"UX+DEV","UX"),IF(AND($H39&lt;&gt;"",$H39&lt;=EOMONTH(S$12,0),$I39&gt;=S$12),"DEV",""))))</f>
      </c>
      <c r="T39" s="158" t="str">
        <f>IF($AI39="","",IF(AND($AN39&lt;&gt;"",$AN39&lt;=EOMONTH(T$12,0),$AO39&gt;=T$12),IF(AND(INDEX('Roadmap Calc (Don’t Touch)'!$AA$2:$AX$151,$AI39,COLUMN()-COLUMN($J$16)+1)&gt;0,OR($D39="03. UX Discovery",$D39="04. UX Design")),IF(AND($H39&lt;&gt;"",$H39&lt;=EOMONTH(T$12,0),$I39&gt;=T$12),"ALL","PD+UX"),IF(AND($H39&lt;&gt;"",$H39&lt;=EOMONTH(T$12,0),$I39&gt;=T$12),"PD+DEV","PD")),IF(AND(INDEX('Roadmap Calc (Don’t Touch)'!$AA$2:$AX$151,$AI39,COLUMN()-COLUMN($J$16)+1)&gt;0,OR($D39="03. UX Discovery",$D39="04. UX Design")),IF(AND($H39&lt;&gt;"",$H39&lt;=EOMONTH(T$12,0),$I39&gt;=T$12),"UX+DEV","UX"),IF(AND($H39&lt;&gt;"",$H39&lt;=EOMONTH(T$12,0),$I39&gt;=T$12),"DEV",""))))</f>
      </c>
      <c r="U39" s="158" t="str">
        <f>IF($AI39="","",IF(AND($AN39&lt;&gt;"",$AN39&lt;=EOMONTH(U$12,0),$AO39&gt;=U$12),IF(AND(INDEX('Roadmap Calc (Don’t Touch)'!$AA$2:$AX$151,$AI39,COLUMN()-COLUMN($J$16)+1)&gt;0,OR($D39="03. UX Discovery",$D39="04. UX Design")),IF(AND($H39&lt;&gt;"",$H39&lt;=EOMONTH(U$12,0),$I39&gt;=U$12),"ALL","PD+UX"),IF(AND($H39&lt;&gt;"",$H39&lt;=EOMONTH(U$12,0),$I39&gt;=U$12),"PD+DEV","PD")),IF(AND(INDEX('Roadmap Calc (Don’t Touch)'!$AA$2:$AX$151,$AI39,COLUMN()-COLUMN($J$16)+1)&gt;0,OR($D39="03. UX Discovery",$D39="04. UX Design")),IF(AND($H39&lt;&gt;"",$H39&lt;=EOMONTH(U$12,0),$I39&gt;=U$12),"UX+DEV","UX"),IF(AND($H39&lt;&gt;"",$H39&lt;=EOMONTH(U$12,0),$I39&gt;=U$12),"DEV",""))))</f>
      </c>
      <c r="V39" s="158" t="str">
        <f>IF($AI39="","",IF(AND($AN39&lt;&gt;"",$AN39&lt;=EOMONTH(V$12,0),$AO39&gt;=V$12),IF(AND(INDEX('Roadmap Calc (Don’t Touch)'!$AA$2:$AX$151,$AI39,COLUMN()-COLUMN($J$16)+1)&gt;0,OR($D39="03. UX Discovery",$D39="04. UX Design")),IF(AND($H39&lt;&gt;"",$H39&lt;=EOMONTH(V$12,0),$I39&gt;=V$12),"ALL","PD+UX"),IF(AND($H39&lt;&gt;"",$H39&lt;=EOMONTH(V$12,0),$I39&gt;=V$12),"PD+DEV","PD")),IF(AND(INDEX('Roadmap Calc (Don’t Touch)'!$AA$2:$AX$151,$AI39,COLUMN()-COLUMN($J$16)+1)&gt;0,OR($D39="03. UX Discovery",$D39="04. UX Design")),IF(AND($H39&lt;&gt;"",$H39&lt;=EOMONTH(V$12,0),$I39&gt;=V$12),"UX+DEV","UX"),IF(AND($H39&lt;&gt;"",$H39&lt;=EOMONTH(V$12,0),$I39&gt;=V$12),"DEV",""))))</f>
      </c>
      <c r="W39" s="158" t="str">
        <f>IF($AI39="","",IF(AND($AN39&lt;&gt;"",$AN39&lt;=EOMONTH(W$12,0),$AO39&gt;=W$12),IF(AND(INDEX('Roadmap Calc (Don’t Touch)'!$AA$2:$AX$151,$AI39,COLUMN()-COLUMN($J$16)+1)&gt;0,OR($D39="03. UX Discovery",$D39="04. UX Design")),IF(AND($H39&lt;&gt;"",$H39&lt;=EOMONTH(W$12,0),$I39&gt;=W$12),"ALL","PD+UX"),IF(AND($H39&lt;&gt;"",$H39&lt;=EOMONTH(W$12,0),$I39&gt;=W$12),"PD+DEV","PD")),IF(AND(INDEX('Roadmap Calc (Don’t Touch)'!$AA$2:$AX$151,$AI39,COLUMN()-COLUMN($J$16)+1)&gt;0,OR($D39="03. UX Discovery",$D39="04. UX Design")),IF(AND($H39&lt;&gt;"",$H39&lt;=EOMONTH(W$12,0),$I39&gt;=W$12),"UX+DEV","UX"),IF(AND($H39&lt;&gt;"",$H39&lt;=EOMONTH(W$12,0),$I39&gt;=W$12),"DEV",""))))</f>
      </c>
      <c r="X39" s="158" t="str">
        <f>IF($AI39="","",IF(AND($AN39&lt;&gt;"",$AN39&lt;=EOMONTH(X$12,0),$AO39&gt;=X$12),IF(AND(INDEX('Roadmap Calc (Don’t Touch)'!$AA$2:$AX$151,$AI39,COLUMN()-COLUMN($J$16)+1)&gt;0,OR($D39="03. UX Discovery",$D39="04. UX Design")),IF(AND($H39&lt;&gt;"",$H39&lt;=EOMONTH(X$12,0),$I39&gt;=X$12),"ALL","PD+UX"),IF(AND($H39&lt;&gt;"",$H39&lt;=EOMONTH(X$12,0),$I39&gt;=X$12),"PD+DEV","PD")),IF(AND(INDEX('Roadmap Calc (Don’t Touch)'!$AA$2:$AX$151,$AI39,COLUMN()-COLUMN($J$16)+1)&gt;0,OR($D39="03. UX Discovery",$D39="04. UX Design")),IF(AND($H39&lt;&gt;"",$H39&lt;=EOMONTH(X$12,0),$I39&gt;=X$12),"UX+DEV","UX"),IF(AND($H39&lt;&gt;"",$H39&lt;=EOMONTH(X$12,0),$I39&gt;=X$12),"DEV",""))))</f>
      </c>
      <c r="Y39" s="158" t="str">
        <f>IF($AI39="","",IF(AND($AN39&lt;&gt;"",$AN39&lt;=EOMONTH(Y$12,0),$AO39&gt;=Y$12),IF(AND(INDEX('Roadmap Calc (Don’t Touch)'!$AA$2:$AX$151,$AI39,COLUMN()-COLUMN($J$16)+1)&gt;0,OR($D39="03. UX Discovery",$D39="04. UX Design")),IF(AND($H39&lt;&gt;"",$H39&lt;=EOMONTH(Y$12,0),$I39&gt;=Y$12),"ALL","PD+UX"),IF(AND($H39&lt;&gt;"",$H39&lt;=EOMONTH(Y$12,0),$I39&gt;=Y$12),"PD+DEV","PD")),IF(AND(INDEX('Roadmap Calc (Don’t Touch)'!$AA$2:$AX$151,$AI39,COLUMN()-COLUMN($J$16)+1)&gt;0,OR($D39="03. UX Discovery",$D39="04. UX Design")),IF(AND($H39&lt;&gt;"",$H39&lt;=EOMONTH(Y$12,0),$I39&gt;=Y$12),"UX+DEV","UX"),IF(AND($H39&lt;&gt;"",$H39&lt;=EOMONTH(Y$12,0),$I39&gt;=Y$12),"DEV",""))))</f>
      </c>
      <c r="Z39" s="158" t="str">
        <f>IF($AI39="","",IF(AND($AN39&lt;&gt;"",$AN39&lt;=EOMONTH(Z$12,0),$AO39&gt;=Z$12),IF(AND(INDEX('Roadmap Calc (Don’t Touch)'!$AA$2:$AX$151,$AI39,COLUMN()-COLUMN($J$16)+1)&gt;0,OR($D39="03. UX Discovery",$D39="04. UX Design")),IF(AND($H39&lt;&gt;"",$H39&lt;=EOMONTH(Z$12,0),$I39&gt;=Z$12),"ALL","PD+UX"),IF(AND($H39&lt;&gt;"",$H39&lt;=EOMONTH(Z$12,0),$I39&gt;=Z$12),"PD+DEV","PD")),IF(AND(INDEX('Roadmap Calc (Don’t Touch)'!$AA$2:$AX$151,$AI39,COLUMN()-COLUMN($J$16)+1)&gt;0,OR($D39="03. UX Discovery",$D39="04. UX Design")),IF(AND($H39&lt;&gt;"",$H39&lt;=EOMONTH(Z$12,0),$I39&gt;=Z$12),"UX+DEV","UX"),IF(AND($H39&lt;&gt;"",$H39&lt;=EOMONTH(Z$12,0),$I39&gt;=Z$12),"DEV",""))))</f>
      </c>
      <c r="AA39" s="158" t="str">
        <f>IF($AI39="","",IF(AND($AN39&lt;&gt;"",$AN39&lt;=EOMONTH(AA$12,0),$AO39&gt;=AA$12),IF(AND(INDEX('Roadmap Calc (Don’t Touch)'!$AA$2:$AX$151,$AI39,COLUMN()-COLUMN($J$16)+1)&gt;0,OR($D39="03. UX Discovery",$D39="04. UX Design")),IF(AND($H39&lt;&gt;"",$H39&lt;=EOMONTH(AA$12,0),$I39&gt;=AA$12),"ALL","PD+UX"),IF(AND($H39&lt;&gt;"",$H39&lt;=EOMONTH(AA$12,0),$I39&gt;=AA$12),"PD+DEV","PD")),IF(AND(INDEX('Roadmap Calc (Don’t Touch)'!$AA$2:$AX$151,$AI39,COLUMN()-COLUMN($J$16)+1)&gt;0,OR($D39="03. UX Discovery",$D39="04. UX Design")),IF(AND($H39&lt;&gt;"",$H39&lt;=EOMONTH(AA$12,0),$I39&gt;=AA$12),"UX+DEV","UX"),IF(AND($H39&lt;&gt;"",$H39&lt;=EOMONTH(AA$12,0),$I39&gt;=AA$12),"DEV",""))))</f>
      </c>
      <c r="AB39" s="158" t="str">
        <f>IF($AI39="","",IF(AND($AN39&lt;&gt;"",$AN39&lt;=EOMONTH(AB$12,0),$AO39&gt;=AB$12),IF(AND(INDEX('Roadmap Calc (Don’t Touch)'!$AA$2:$AX$151,$AI39,COLUMN()-COLUMN($J$16)+1)&gt;0,OR($D39="03. UX Discovery",$D39="04. UX Design")),IF(AND($H39&lt;&gt;"",$H39&lt;=EOMONTH(AB$12,0),$I39&gt;=AB$12),"ALL","PD+UX"),IF(AND($H39&lt;&gt;"",$H39&lt;=EOMONTH(AB$12,0),$I39&gt;=AB$12),"PD+DEV","PD")),IF(AND(INDEX('Roadmap Calc (Don’t Touch)'!$AA$2:$AX$151,$AI39,COLUMN()-COLUMN($J$16)+1)&gt;0,OR($D39="03. UX Discovery",$D39="04. UX Design")),IF(AND($H39&lt;&gt;"",$H39&lt;=EOMONTH(AB$12,0),$I39&gt;=AB$12),"UX+DEV","UX"),IF(AND($H39&lt;&gt;"",$H39&lt;=EOMONTH(AB$12,0),$I39&gt;=AB$12),"DEV",""))))</f>
      </c>
      <c r="AC39" s="158" t="str">
        <f>IF($AI39="","",IF(AND($AN39&lt;&gt;"",$AN39&lt;=EOMONTH(AC$12,0),$AO39&gt;=AC$12),IF(AND(INDEX('Roadmap Calc (Don’t Touch)'!$AA$2:$AX$151,$AI39,COLUMN()-COLUMN($J$16)+1)&gt;0,OR($D39="03. UX Discovery",$D39="04. UX Design")),IF(AND($H39&lt;&gt;"",$H39&lt;=EOMONTH(AC$12,0),$I39&gt;=AC$12),"ALL","PD+UX"),IF(AND($H39&lt;&gt;"",$H39&lt;=EOMONTH(AC$12,0),$I39&gt;=AC$12),"PD+DEV","PD")),IF(AND(INDEX('Roadmap Calc (Don’t Touch)'!$AA$2:$AX$151,$AI39,COLUMN()-COLUMN($J$16)+1)&gt;0,OR($D39="03. UX Discovery",$D39="04. UX Design")),IF(AND($H39&lt;&gt;"",$H39&lt;=EOMONTH(AC$12,0),$I39&gt;=AC$12),"UX+DEV","UX"),IF(AND($H39&lt;&gt;"",$H39&lt;=EOMONTH(AC$12,0),$I39&gt;=AC$12),"DEV",""))))</f>
      </c>
      <c r="AD39" s="158" t="str">
        <f>IF($AI39="","",IF(AND($AN39&lt;&gt;"",$AN39&lt;=EOMONTH(AD$12,0),$AO39&gt;=AD$12),IF(AND(INDEX('Roadmap Calc (Don’t Touch)'!$AA$2:$AX$151,$AI39,COLUMN()-COLUMN($J$16)+1)&gt;0,OR($D39="03. UX Discovery",$D39="04. UX Design")),IF(AND($H39&lt;&gt;"",$H39&lt;=EOMONTH(AD$12,0),$I39&gt;=AD$12),"ALL","PD+UX"),IF(AND($H39&lt;&gt;"",$H39&lt;=EOMONTH(AD$12,0),$I39&gt;=AD$12),"PD+DEV","PD")),IF(AND(INDEX('Roadmap Calc (Don’t Touch)'!$AA$2:$AX$151,$AI39,COLUMN()-COLUMN($J$16)+1)&gt;0,OR($D39="03. UX Discovery",$D39="04. UX Design")),IF(AND($H39&lt;&gt;"",$H39&lt;=EOMONTH(AD$12,0),$I39&gt;=AD$12),"UX+DEV","UX"),IF(AND($H39&lt;&gt;"",$H39&lt;=EOMONTH(AD$12,0),$I39&gt;=AD$12),"DEV",""))))</f>
      </c>
      <c r="AE39" s="158" t="str">
        <f>IF($AI39="","",IF(AND($AN39&lt;&gt;"",$AN39&lt;=EOMONTH(AE$12,0),$AO39&gt;=AE$12),IF(AND(INDEX('Roadmap Calc (Don’t Touch)'!$AA$2:$AX$151,$AI39,COLUMN()-COLUMN($J$16)+1)&gt;0,OR($D39="03. UX Discovery",$D39="04. UX Design")),IF(AND($H39&lt;&gt;"",$H39&lt;=EOMONTH(AE$12,0),$I39&gt;=AE$12),"ALL","PD+UX"),IF(AND($H39&lt;&gt;"",$H39&lt;=EOMONTH(AE$12,0),$I39&gt;=AE$12),"PD+DEV","PD")),IF(AND(INDEX('Roadmap Calc (Don’t Touch)'!$AA$2:$AX$151,$AI39,COLUMN()-COLUMN($J$16)+1)&gt;0,OR($D39="03. UX Discovery",$D39="04. UX Design")),IF(AND($H39&lt;&gt;"",$H39&lt;=EOMONTH(AE$12,0),$I39&gt;=AE$12),"UX+DEV","UX"),IF(AND($H39&lt;&gt;"",$H39&lt;=EOMONTH(AE$12,0),$I39&gt;=AE$12),"DEV",""))))</f>
      </c>
      <c r="AF39" s="158" t="str">
        <f>IF($AI39="","",IF(AND($AN39&lt;&gt;"",$AN39&lt;=EOMONTH(AF$12,0),$AO39&gt;=AF$12),IF(AND(INDEX('Roadmap Calc (Don’t Touch)'!$AA$2:$AX$151,$AI39,COLUMN()-COLUMN($J$16)+1)&gt;0,OR($D39="03. UX Discovery",$D39="04. UX Design")),IF(AND($H39&lt;&gt;"",$H39&lt;=EOMONTH(AF$12,0),$I39&gt;=AF$12),"ALL","PD+UX"),IF(AND($H39&lt;&gt;"",$H39&lt;=EOMONTH(AF$12,0),$I39&gt;=AF$12),"PD+DEV","PD")),IF(AND(INDEX('Roadmap Calc (Don’t Touch)'!$AA$2:$AX$151,$AI39,COLUMN()-COLUMN($J$16)+1)&gt;0,OR($D39="03. UX Discovery",$D39="04. UX Design")),IF(AND($H39&lt;&gt;"",$H39&lt;=EOMONTH(AF$12,0),$I39&gt;=AF$12),"UX+DEV","UX"),IF(AND($H39&lt;&gt;"",$H39&lt;=EOMONTH(AF$12,0),$I39&gt;=AF$12),"DEV",""))))</f>
      </c>
      <c r="AG39" s="158" t="str">
        <f>IF($AI39="","",IF(AND($AN39&lt;&gt;"",$AN39&lt;=EOMONTH(AG$12,0),$AO39&gt;=AG$12),IF(AND(INDEX('Roadmap Calc (Don’t Touch)'!$AA$2:$AX$151,$AI39,COLUMN()-COLUMN($J$16)+1)&gt;0,OR($D39="03. UX Discovery",$D39="04. UX Design")),IF(AND($H39&lt;&gt;"",$H39&lt;=EOMONTH(AG$12,0),$I39&gt;=AG$12),"ALL","PD+UX"),IF(AND($H39&lt;&gt;"",$H39&lt;=EOMONTH(AG$12,0),$I39&gt;=AG$12),"PD+DEV","PD")),IF(AND(INDEX('Roadmap Calc (Don’t Touch)'!$AA$2:$AX$151,$AI39,COLUMN()-COLUMN($J$16)+1)&gt;0,OR($D39="03. UX Discovery",$D39="04. UX Design")),IF(AND($H39&lt;&gt;"",$H39&lt;=EOMONTH(AG$12,0),$I39&gt;=AG$12),"UX+DEV","UX"),IF(AND($H39&lt;&gt;"",$H39&lt;=EOMONTH(AG$12,0),$I39&gt;=AG$12),"DEV",""))))</f>
      </c>
      <c r="AH39" s="145" t="str">
        <f>IF($AI39="","",INDEX('Roadmap Calc (Don’t Touch)'!$D$2:$D$151,$AI39))</f>
        <v>Improve Buy Used Customer Experience</v>
      </c>
      <c r="AI39" s="145">
        <f>IFERROR(MATCH(24,'Roadmap Calc (Don’t Touch)'!$O$2:$O$151,0),"")</f>
        <v>9</v>
      </c>
      <c r="AJ39" s="145"/>
      <c r="AK39" s="145"/>
      <c r="AL39" s="145"/>
      <c r="AM39" s="145"/>
      <c r="AN39">
        <f>IF($AI39="","",IF(ISNUMBER(INDEX('Roadmap Calc (Don’t Touch)'!$BB$2:$BB$151,$AI39)),INDEX('Roadmap Calc (Don’t Touch)'!$BB$2:$BB$151,$AI39),""))</f>
      </c>
      <c r="AO39">
        <f>IF($AI39="","",IF(ISNUMBER(INDEX('Roadmap Calc (Don’t Touch)'!$BC$2:$BC$151,$AI39)),INDEX('Roadmap Calc (Don’t Touch)'!$BC$2:$BC$151,$AI39),""))</f>
      </c>
    </row>
    <row r="40" spans="1:41" ht="20" customHeight="1" x14ac:dyDescent="0.25">
      <c r="A40" s="198" t="str">
        <f>IF($AI40="","",IF($AH40=$AH39,"",IF(INDEX('Roadmap Calc (Don’t Touch)'!$U$2:$U$151,$AI40)=0,$AH40,HYPERLINK("#'Control (Don’t Touch)'!E"&amp;INDEX('Roadmap Calc (Don’t Touch)'!$U$2:$U$151,$AI40),$AH40))))</f>
        <v/>
      </c>
      <c r="B40" s="159" t="str">
        <f>IF($AI40="","",IF(INDEX('Roadmap Calc (Don’t Touch)'!$K$2:$K$151,$AI40)="",INDEX('Roadmap Calc (Don’t Touch)'!$B$2:$B$151,$AI40),HYPERLINK("https://jira.bnh.com/browse/"&amp;INDEX('Roadmap Calc (Don’t Touch)'!$K$2:$K$151,$AI40),INDEX('Roadmap Calc (Don’t Touch)'!$B$2:$B$151,$AI40))))</f>
        <v>Actual Used Images</v>
      </c>
      <c r="C40" s="159" t="str">
        <f>IF($AI40="","",IF(INDEX('Roadmap Calc (Don’t Touch)'!$E$2:$E$151,$AI40)="","",HYPERLINK("https://jira.bnh.com/browse/"&amp;INDEX('Roadmap Calc (Don’t Touch)'!$E$2:$E$151,$AI40),INDEX('Roadmap Calc (Don’t Touch)'!$E$2:$E$151,$AI40))))</f>
        <v>BHP-4563</v>
      </c>
      <c r="D40" s="161" t="str">
        <f>IF($AI40="","",INDEX('Roadmap Calc (Don’t Touch)'!$F$2:$F$151,$AI40))</f>
        <v>13. Live</v>
      </c>
      <c r="E40" s="155" t="str">
        <f>IF($AI40="","",IF(ISNUMBER(INDEX('Roadmap Calc (Don’t Touch)'!$G$2:$G$151,$AI40)),INDEX('Roadmap Calc (Don’t Touch)'!$G$2:$G$151,$AI40),""))</f>
        <v/>
      </c>
      <c r="F40" s="155" t="str">
        <f>IF($AI40="","",IF(ISNUMBER(INDEX('Roadmap Calc (Don’t Touch)'!$H$2:$H$151,$AI40)),INDEX('Roadmap Calc (Don’t Touch)'!$H$2:$H$151,$AI40),""))</f>
        <v/>
      </c>
      <c r="G40" s="156">
        <f>IF($AI40="","",INDEX('Roadmap Calc (Don’t Touch)'!$T$2:$T$151,$AI40))</f>
        <v>0</v>
      </c>
      <c r="H40" s="157" t="str">
        <f ca="1">IF($AI40="","",IF(ISNUMBER(INDEX('Roadmap Calc (Don’t Touch)'!$I$2:$I$151,$AI40)),INDEX('Roadmap Calc (Don’t Touch)'!$I$2:$I$151,$AI40),""))</f>
        <v/>
      </c>
      <c r="I40" s="157" t="str">
        <f ca="1">IF($AI40="","",IF(ISNUMBER(INDEX('Roadmap Calc (Don’t Touch)'!$J$2:$J$151,$AI40)),INDEX('Roadmap Calc (Don’t Touch)'!$J$2:$J$151,$AI40),""))</f>
        <v/>
      </c>
      <c r="J40" s="158" t="str">
        <f>IF($AI40="","",IF(AND($AN40&lt;&gt;"",$AN40&lt;=EOMONTH(J$12,0),$AO40&gt;=J$12),IF(AND(INDEX('Roadmap Calc (Don’t Touch)'!$AA$2:$AX$151,$AI40,COLUMN()-COLUMN($J$16)+1)&gt;0,OR($D40="03. UX Discovery",$D40="04. UX Design")),IF(AND($H40&lt;&gt;"",$H40&lt;=EOMONTH(J$12,0),$I40&gt;=J$12),"ALL","PD+UX"),IF(AND($H40&lt;&gt;"",$H40&lt;=EOMONTH(J$12,0),$I40&gt;=J$12),"PD+DEV","PD")),IF(AND(INDEX('Roadmap Calc (Don’t Touch)'!$AA$2:$AX$151,$AI40,COLUMN()-COLUMN($J$16)+1)&gt;0,OR($D40="03. UX Discovery",$D40="04. UX Design")),IF(AND($H40&lt;&gt;"",$H40&lt;=EOMONTH(J$12,0),$I40&gt;=J$12),"UX+DEV","UX"),IF(AND($H40&lt;&gt;"",$H40&lt;=EOMONTH(J$12,0),$I40&gt;=J$12),"DEV",""))))</f>
      </c>
      <c r="K40" s="158" t="str">
        <f>IF($AI40="","",IF(AND($AN40&lt;&gt;"",$AN40&lt;=EOMONTH(K$12,0),$AO40&gt;=K$12),IF(AND(INDEX('Roadmap Calc (Don’t Touch)'!$AA$2:$AX$151,$AI40,COLUMN()-COLUMN($J$16)+1)&gt;0,OR($D40="03. UX Discovery",$D40="04. UX Design")),IF(AND($H40&lt;&gt;"",$H40&lt;=EOMONTH(K$12,0),$I40&gt;=K$12),"ALL","PD+UX"),IF(AND($H40&lt;&gt;"",$H40&lt;=EOMONTH(K$12,0),$I40&gt;=K$12),"PD+DEV","PD")),IF(AND(INDEX('Roadmap Calc (Don’t Touch)'!$AA$2:$AX$151,$AI40,COLUMN()-COLUMN($J$16)+1)&gt;0,OR($D40="03. UX Discovery",$D40="04. UX Design")),IF(AND($H40&lt;&gt;"",$H40&lt;=EOMONTH(K$12,0),$I40&gt;=K$12),"UX+DEV","UX"),IF(AND($H40&lt;&gt;"",$H40&lt;=EOMONTH(K$12,0),$I40&gt;=K$12),"DEV",""))))</f>
      </c>
      <c r="L40" s="158" t="str">
        <f>IF($AI40="","",IF(AND($AN40&lt;&gt;"",$AN40&lt;=EOMONTH(L$12,0),$AO40&gt;=L$12),IF(AND(INDEX('Roadmap Calc (Don’t Touch)'!$AA$2:$AX$151,$AI40,COLUMN()-COLUMN($J$16)+1)&gt;0,OR($D40="03. UX Discovery",$D40="04. UX Design")),IF(AND($H40&lt;&gt;"",$H40&lt;=EOMONTH(L$12,0),$I40&gt;=L$12),"ALL","PD+UX"),IF(AND($H40&lt;&gt;"",$H40&lt;=EOMONTH(L$12,0),$I40&gt;=L$12),"PD+DEV","PD")),IF(AND(INDEX('Roadmap Calc (Don’t Touch)'!$AA$2:$AX$151,$AI40,COLUMN()-COLUMN($J$16)+1)&gt;0,OR($D40="03. UX Discovery",$D40="04. UX Design")),IF(AND($H40&lt;&gt;"",$H40&lt;=EOMONTH(L$12,0),$I40&gt;=L$12),"UX+DEV","UX"),IF(AND($H40&lt;&gt;"",$H40&lt;=EOMONTH(L$12,0),$I40&gt;=L$12),"DEV",""))))</f>
      </c>
      <c r="M40" s="158" t="str">
        <f>IF($AI40="","",IF(AND($AN40&lt;&gt;"",$AN40&lt;=EOMONTH(M$12,0),$AO40&gt;=M$12),IF(AND(INDEX('Roadmap Calc (Don’t Touch)'!$AA$2:$AX$151,$AI40,COLUMN()-COLUMN($J$16)+1)&gt;0,OR($D40="03. UX Discovery",$D40="04. UX Design")),IF(AND($H40&lt;&gt;"",$H40&lt;=EOMONTH(M$12,0),$I40&gt;=M$12),"ALL","PD+UX"),IF(AND($H40&lt;&gt;"",$H40&lt;=EOMONTH(M$12,0),$I40&gt;=M$12),"PD+DEV","PD")),IF(AND(INDEX('Roadmap Calc (Don’t Touch)'!$AA$2:$AX$151,$AI40,COLUMN()-COLUMN($J$16)+1)&gt;0,OR($D40="03. UX Discovery",$D40="04. UX Design")),IF(AND($H40&lt;&gt;"",$H40&lt;=EOMONTH(M$12,0),$I40&gt;=M$12),"UX+DEV","UX"),IF(AND($H40&lt;&gt;"",$H40&lt;=EOMONTH(M$12,0),$I40&gt;=M$12),"DEV",""))))</f>
      </c>
      <c r="N40" s="158" t="str">
        <f>IF($AI40="","",IF(AND($AN40&lt;&gt;"",$AN40&lt;=EOMONTH(N$12,0),$AO40&gt;=N$12),IF(AND(INDEX('Roadmap Calc (Don’t Touch)'!$AA$2:$AX$151,$AI40,COLUMN()-COLUMN($J$16)+1)&gt;0,OR($D40="03. UX Discovery",$D40="04. UX Design")),IF(AND($H40&lt;&gt;"",$H40&lt;=EOMONTH(N$12,0),$I40&gt;=N$12),"ALL","PD+UX"),IF(AND($H40&lt;&gt;"",$H40&lt;=EOMONTH(N$12,0),$I40&gt;=N$12),"PD+DEV","PD")),IF(AND(INDEX('Roadmap Calc (Don’t Touch)'!$AA$2:$AX$151,$AI40,COLUMN()-COLUMN($J$16)+1)&gt;0,OR($D40="03. UX Discovery",$D40="04. UX Design")),IF(AND($H40&lt;&gt;"",$H40&lt;=EOMONTH(N$12,0),$I40&gt;=N$12),"UX+DEV","UX"),IF(AND($H40&lt;&gt;"",$H40&lt;=EOMONTH(N$12,0),$I40&gt;=N$12),"DEV",""))))</f>
      </c>
      <c r="O40" s="158" t="str">
        <f>IF($AI40="","",IF(AND($AN40&lt;&gt;"",$AN40&lt;=EOMONTH(O$12,0),$AO40&gt;=O$12),IF(AND(INDEX('Roadmap Calc (Don’t Touch)'!$AA$2:$AX$151,$AI40,COLUMN()-COLUMN($J$16)+1)&gt;0,OR($D40="03. UX Discovery",$D40="04. UX Design")),IF(AND($H40&lt;&gt;"",$H40&lt;=EOMONTH(O$12,0),$I40&gt;=O$12),"ALL","PD+UX"),IF(AND($H40&lt;&gt;"",$H40&lt;=EOMONTH(O$12,0),$I40&gt;=O$12),"PD+DEV","PD")),IF(AND(INDEX('Roadmap Calc (Don’t Touch)'!$AA$2:$AX$151,$AI40,COLUMN()-COLUMN($J$16)+1)&gt;0,OR($D40="03. UX Discovery",$D40="04. UX Design")),IF(AND($H40&lt;&gt;"",$H40&lt;=EOMONTH(O$12,0),$I40&gt;=O$12),"UX+DEV","UX"),IF(AND($H40&lt;&gt;"",$H40&lt;=EOMONTH(O$12,0),$I40&gt;=O$12),"DEV",""))))</f>
      </c>
      <c r="P40" s="158" t="str">
        <f>IF($AI40="","",IF(AND($AN40&lt;&gt;"",$AN40&lt;=EOMONTH(P$12,0),$AO40&gt;=P$12),IF(AND(INDEX('Roadmap Calc (Don’t Touch)'!$AA$2:$AX$151,$AI40,COLUMN()-COLUMN($J$16)+1)&gt;0,OR($D40="03. UX Discovery",$D40="04. UX Design")),IF(AND($H40&lt;&gt;"",$H40&lt;=EOMONTH(P$12,0),$I40&gt;=P$12),"ALL","PD+UX"),IF(AND($H40&lt;&gt;"",$H40&lt;=EOMONTH(P$12,0),$I40&gt;=P$12),"PD+DEV","PD")),IF(AND(INDEX('Roadmap Calc (Don’t Touch)'!$AA$2:$AX$151,$AI40,COLUMN()-COLUMN($J$16)+1)&gt;0,OR($D40="03. UX Discovery",$D40="04. UX Design")),IF(AND($H40&lt;&gt;"",$H40&lt;=EOMONTH(P$12,0),$I40&gt;=P$12),"UX+DEV","UX"),IF(AND($H40&lt;&gt;"",$H40&lt;=EOMONTH(P$12,0),$I40&gt;=P$12),"DEV",""))))</f>
      </c>
      <c r="Q40" s="158" t="str">
        <f>IF($AI40="","",IF(AND($AN40&lt;&gt;"",$AN40&lt;=EOMONTH(Q$12,0),$AO40&gt;=Q$12),IF(AND(INDEX('Roadmap Calc (Don’t Touch)'!$AA$2:$AX$151,$AI40,COLUMN()-COLUMN($J$16)+1)&gt;0,OR($D40="03. UX Discovery",$D40="04. UX Design")),IF(AND($H40&lt;&gt;"",$H40&lt;=EOMONTH(Q$12,0),$I40&gt;=Q$12),"ALL","PD+UX"),IF(AND($H40&lt;&gt;"",$H40&lt;=EOMONTH(Q$12,0),$I40&gt;=Q$12),"PD+DEV","PD")),IF(AND(INDEX('Roadmap Calc (Don’t Touch)'!$AA$2:$AX$151,$AI40,COLUMN()-COLUMN($J$16)+1)&gt;0,OR($D40="03. UX Discovery",$D40="04. UX Design")),IF(AND($H40&lt;&gt;"",$H40&lt;=EOMONTH(Q$12,0),$I40&gt;=Q$12),"UX+DEV","UX"),IF(AND($H40&lt;&gt;"",$H40&lt;=EOMONTH(Q$12,0),$I40&gt;=Q$12),"DEV",""))))</f>
      </c>
      <c r="R40" s="158" t="str">
        <f>IF($AI40="","",IF(AND($AN40&lt;&gt;"",$AN40&lt;=EOMONTH(R$12,0),$AO40&gt;=R$12),IF(AND(INDEX('Roadmap Calc (Don’t Touch)'!$AA$2:$AX$151,$AI40,COLUMN()-COLUMN($J$16)+1)&gt;0,OR($D40="03. UX Discovery",$D40="04. UX Design")),IF(AND($H40&lt;&gt;"",$H40&lt;=EOMONTH(R$12,0),$I40&gt;=R$12),"ALL","PD+UX"),IF(AND($H40&lt;&gt;"",$H40&lt;=EOMONTH(R$12,0),$I40&gt;=R$12),"PD+DEV","PD")),IF(AND(INDEX('Roadmap Calc (Don’t Touch)'!$AA$2:$AX$151,$AI40,COLUMN()-COLUMN($J$16)+1)&gt;0,OR($D40="03. UX Discovery",$D40="04. UX Design")),IF(AND($H40&lt;&gt;"",$H40&lt;=EOMONTH(R$12,0),$I40&gt;=R$12),"UX+DEV","UX"),IF(AND($H40&lt;&gt;"",$H40&lt;=EOMONTH(R$12,0),$I40&gt;=R$12),"DEV",""))))</f>
      </c>
      <c r="S40" s="158" t="str">
        <f>IF($AI40="","",IF(AND($AN40&lt;&gt;"",$AN40&lt;=EOMONTH(S$12,0),$AO40&gt;=S$12),IF(AND(INDEX('Roadmap Calc (Don’t Touch)'!$AA$2:$AX$151,$AI40,COLUMN()-COLUMN($J$16)+1)&gt;0,OR($D40="03. UX Discovery",$D40="04. UX Design")),IF(AND($H40&lt;&gt;"",$H40&lt;=EOMONTH(S$12,0),$I40&gt;=S$12),"ALL","PD+UX"),IF(AND($H40&lt;&gt;"",$H40&lt;=EOMONTH(S$12,0),$I40&gt;=S$12),"PD+DEV","PD")),IF(AND(INDEX('Roadmap Calc (Don’t Touch)'!$AA$2:$AX$151,$AI40,COLUMN()-COLUMN($J$16)+1)&gt;0,OR($D40="03. UX Discovery",$D40="04. UX Design")),IF(AND($H40&lt;&gt;"",$H40&lt;=EOMONTH(S$12,0),$I40&gt;=S$12),"UX+DEV","UX"),IF(AND($H40&lt;&gt;"",$H40&lt;=EOMONTH(S$12,0),$I40&gt;=S$12),"DEV",""))))</f>
      </c>
      <c r="T40" s="158" t="str">
        <f>IF($AI40="","",IF(AND($AN40&lt;&gt;"",$AN40&lt;=EOMONTH(T$12,0),$AO40&gt;=T$12),IF(AND(INDEX('Roadmap Calc (Don’t Touch)'!$AA$2:$AX$151,$AI40,COLUMN()-COLUMN($J$16)+1)&gt;0,OR($D40="03. UX Discovery",$D40="04. UX Design")),IF(AND($H40&lt;&gt;"",$H40&lt;=EOMONTH(T$12,0),$I40&gt;=T$12),"ALL","PD+UX"),IF(AND($H40&lt;&gt;"",$H40&lt;=EOMONTH(T$12,0),$I40&gt;=T$12),"PD+DEV","PD")),IF(AND(INDEX('Roadmap Calc (Don’t Touch)'!$AA$2:$AX$151,$AI40,COLUMN()-COLUMN($J$16)+1)&gt;0,OR($D40="03. UX Discovery",$D40="04. UX Design")),IF(AND($H40&lt;&gt;"",$H40&lt;=EOMONTH(T$12,0),$I40&gt;=T$12),"UX+DEV","UX"),IF(AND($H40&lt;&gt;"",$H40&lt;=EOMONTH(T$12,0),$I40&gt;=T$12),"DEV",""))))</f>
      </c>
      <c r="U40" s="158" t="str">
        <f>IF($AI40="","",IF(AND($AN40&lt;&gt;"",$AN40&lt;=EOMONTH(U$12,0),$AO40&gt;=U$12),IF(AND(INDEX('Roadmap Calc (Don’t Touch)'!$AA$2:$AX$151,$AI40,COLUMN()-COLUMN($J$16)+1)&gt;0,OR($D40="03. UX Discovery",$D40="04. UX Design")),IF(AND($H40&lt;&gt;"",$H40&lt;=EOMONTH(U$12,0),$I40&gt;=U$12),"ALL","PD+UX"),IF(AND($H40&lt;&gt;"",$H40&lt;=EOMONTH(U$12,0),$I40&gt;=U$12),"PD+DEV","PD")),IF(AND(INDEX('Roadmap Calc (Don’t Touch)'!$AA$2:$AX$151,$AI40,COLUMN()-COLUMN($J$16)+1)&gt;0,OR($D40="03. UX Discovery",$D40="04. UX Design")),IF(AND($H40&lt;&gt;"",$H40&lt;=EOMONTH(U$12,0),$I40&gt;=U$12),"UX+DEV","UX"),IF(AND($H40&lt;&gt;"",$H40&lt;=EOMONTH(U$12,0),$I40&gt;=U$12),"DEV",""))))</f>
      </c>
      <c r="V40" s="158" t="str">
        <f>IF($AI40="","",IF(AND($AN40&lt;&gt;"",$AN40&lt;=EOMONTH(V$12,0),$AO40&gt;=V$12),IF(AND(INDEX('Roadmap Calc (Don’t Touch)'!$AA$2:$AX$151,$AI40,COLUMN()-COLUMN($J$16)+1)&gt;0,OR($D40="03. UX Discovery",$D40="04. UX Design")),IF(AND($H40&lt;&gt;"",$H40&lt;=EOMONTH(V$12,0),$I40&gt;=V$12),"ALL","PD+UX"),IF(AND($H40&lt;&gt;"",$H40&lt;=EOMONTH(V$12,0),$I40&gt;=V$12),"PD+DEV","PD")),IF(AND(INDEX('Roadmap Calc (Don’t Touch)'!$AA$2:$AX$151,$AI40,COLUMN()-COLUMN($J$16)+1)&gt;0,OR($D40="03. UX Discovery",$D40="04. UX Design")),IF(AND($H40&lt;&gt;"",$H40&lt;=EOMONTH(V$12,0),$I40&gt;=V$12),"UX+DEV","UX"),IF(AND($H40&lt;&gt;"",$H40&lt;=EOMONTH(V$12,0),$I40&gt;=V$12),"DEV",""))))</f>
      </c>
      <c r="W40" s="158" t="str">
        <f>IF($AI40="","",IF(AND($AN40&lt;&gt;"",$AN40&lt;=EOMONTH(W$12,0),$AO40&gt;=W$12),IF(AND(INDEX('Roadmap Calc (Don’t Touch)'!$AA$2:$AX$151,$AI40,COLUMN()-COLUMN($J$16)+1)&gt;0,OR($D40="03. UX Discovery",$D40="04. UX Design")),IF(AND($H40&lt;&gt;"",$H40&lt;=EOMONTH(W$12,0),$I40&gt;=W$12),"ALL","PD+UX"),IF(AND($H40&lt;&gt;"",$H40&lt;=EOMONTH(W$12,0),$I40&gt;=W$12),"PD+DEV","PD")),IF(AND(INDEX('Roadmap Calc (Don’t Touch)'!$AA$2:$AX$151,$AI40,COLUMN()-COLUMN($J$16)+1)&gt;0,OR($D40="03. UX Discovery",$D40="04. UX Design")),IF(AND($H40&lt;&gt;"",$H40&lt;=EOMONTH(W$12,0),$I40&gt;=W$12),"UX+DEV","UX"),IF(AND($H40&lt;&gt;"",$H40&lt;=EOMONTH(W$12,0),$I40&gt;=W$12),"DEV",""))))</f>
      </c>
      <c r="X40" s="158" t="str">
        <f>IF($AI40="","",IF(AND($AN40&lt;&gt;"",$AN40&lt;=EOMONTH(X$12,0),$AO40&gt;=X$12),IF(AND(INDEX('Roadmap Calc (Don’t Touch)'!$AA$2:$AX$151,$AI40,COLUMN()-COLUMN($J$16)+1)&gt;0,OR($D40="03. UX Discovery",$D40="04. UX Design")),IF(AND($H40&lt;&gt;"",$H40&lt;=EOMONTH(X$12,0),$I40&gt;=X$12),"ALL","PD+UX"),IF(AND($H40&lt;&gt;"",$H40&lt;=EOMONTH(X$12,0),$I40&gt;=X$12),"PD+DEV","PD")),IF(AND(INDEX('Roadmap Calc (Don’t Touch)'!$AA$2:$AX$151,$AI40,COLUMN()-COLUMN($J$16)+1)&gt;0,OR($D40="03. UX Discovery",$D40="04. UX Design")),IF(AND($H40&lt;&gt;"",$H40&lt;=EOMONTH(X$12,0),$I40&gt;=X$12),"UX+DEV","UX"),IF(AND($H40&lt;&gt;"",$H40&lt;=EOMONTH(X$12,0),$I40&gt;=X$12),"DEV",""))))</f>
      </c>
      <c r="Y40" s="158" t="str">
        <f>IF($AI40="","",IF(AND($AN40&lt;&gt;"",$AN40&lt;=EOMONTH(Y$12,0),$AO40&gt;=Y$12),IF(AND(INDEX('Roadmap Calc (Don’t Touch)'!$AA$2:$AX$151,$AI40,COLUMN()-COLUMN($J$16)+1)&gt;0,OR($D40="03. UX Discovery",$D40="04. UX Design")),IF(AND($H40&lt;&gt;"",$H40&lt;=EOMONTH(Y$12,0),$I40&gt;=Y$12),"ALL","PD+UX"),IF(AND($H40&lt;&gt;"",$H40&lt;=EOMONTH(Y$12,0),$I40&gt;=Y$12),"PD+DEV","PD")),IF(AND(INDEX('Roadmap Calc (Don’t Touch)'!$AA$2:$AX$151,$AI40,COLUMN()-COLUMN($J$16)+1)&gt;0,OR($D40="03. UX Discovery",$D40="04. UX Design")),IF(AND($H40&lt;&gt;"",$H40&lt;=EOMONTH(Y$12,0),$I40&gt;=Y$12),"UX+DEV","UX"),IF(AND($H40&lt;&gt;"",$H40&lt;=EOMONTH(Y$12,0),$I40&gt;=Y$12),"DEV",""))))</f>
      </c>
      <c r="Z40" s="158" t="str">
        <f>IF($AI40="","",IF(AND($AN40&lt;&gt;"",$AN40&lt;=EOMONTH(Z$12,0),$AO40&gt;=Z$12),IF(AND(INDEX('Roadmap Calc (Don’t Touch)'!$AA$2:$AX$151,$AI40,COLUMN()-COLUMN($J$16)+1)&gt;0,OR($D40="03. UX Discovery",$D40="04. UX Design")),IF(AND($H40&lt;&gt;"",$H40&lt;=EOMONTH(Z$12,0),$I40&gt;=Z$12),"ALL","PD+UX"),IF(AND($H40&lt;&gt;"",$H40&lt;=EOMONTH(Z$12,0),$I40&gt;=Z$12),"PD+DEV","PD")),IF(AND(INDEX('Roadmap Calc (Don’t Touch)'!$AA$2:$AX$151,$AI40,COLUMN()-COLUMN($J$16)+1)&gt;0,OR($D40="03. UX Discovery",$D40="04. UX Design")),IF(AND($H40&lt;&gt;"",$H40&lt;=EOMONTH(Z$12,0),$I40&gt;=Z$12),"UX+DEV","UX"),IF(AND($H40&lt;&gt;"",$H40&lt;=EOMONTH(Z$12,0),$I40&gt;=Z$12),"DEV",""))))</f>
      </c>
      <c r="AA40" s="158" t="str">
        <f>IF($AI40="","",IF(AND($AN40&lt;&gt;"",$AN40&lt;=EOMONTH(AA$12,0),$AO40&gt;=AA$12),IF(AND(INDEX('Roadmap Calc (Don’t Touch)'!$AA$2:$AX$151,$AI40,COLUMN()-COLUMN($J$16)+1)&gt;0,OR($D40="03. UX Discovery",$D40="04. UX Design")),IF(AND($H40&lt;&gt;"",$H40&lt;=EOMONTH(AA$12,0),$I40&gt;=AA$12),"ALL","PD+UX"),IF(AND($H40&lt;&gt;"",$H40&lt;=EOMONTH(AA$12,0),$I40&gt;=AA$12),"PD+DEV","PD")),IF(AND(INDEX('Roadmap Calc (Don’t Touch)'!$AA$2:$AX$151,$AI40,COLUMN()-COLUMN($J$16)+1)&gt;0,OR($D40="03. UX Discovery",$D40="04. UX Design")),IF(AND($H40&lt;&gt;"",$H40&lt;=EOMONTH(AA$12,0),$I40&gt;=AA$12),"UX+DEV","UX"),IF(AND($H40&lt;&gt;"",$H40&lt;=EOMONTH(AA$12,0),$I40&gt;=AA$12),"DEV",""))))</f>
      </c>
      <c r="AB40" s="158" t="str">
        <f>IF($AI40="","",IF(AND($AN40&lt;&gt;"",$AN40&lt;=EOMONTH(AB$12,0),$AO40&gt;=AB$12),IF(AND(INDEX('Roadmap Calc (Don’t Touch)'!$AA$2:$AX$151,$AI40,COLUMN()-COLUMN($J$16)+1)&gt;0,OR($D40="03. UX Discovery",$D40="04. UX Design")),IF(AND($H40&lt;&gt;"",$H40&lt;=EOMONTH(AB$12,0),$I40&gt;=AB$12),"ALL","PD+UX"),IF(AND($H40&lt;&gt;"",$H40&lt;=EOMONTH(AB$12,0),$I40&gt;=AB$12),"PD+DEV","PD")),IF(AND(INDEX('Roadmap Calc (Don’t Touch)'!$AA$2:$AX$151,$AI40,COLUMN()-COLUMN($J$16)+1)&gt;0,OR($D40="03. UX Discovery",$D40="04. UX Design")),IF(AND($H40&lt;&gt;"",$H40&lt;=EOMONTH(AB$12,0),$I40&gt;=AB$12),"UX+DEV","UX"),IF(AND($H40&lt;&gt;"",$H40&lt;=EOMONTH(AB$12,0),$I40&gt;=AB$12),"DEV",""))))</f>
      </c>
      <c r="AC40" s="158" t="str">
        <f>IF($AI40="","",IF(AND($AN40&lt;&gt;"",$AN40&lt;=EOMONTH(AC$12,0),$AO40&gt;=AC$12),IF(AND(INDEX('Roadmap Calc (Don’t Touch)'!$AA$2:$AX$151,$AI40,COLUMN()-COLUMN($J$16)+1)&gt;0,OR($D40="03. UX Discovery",$D40="04. UX Design")),IF(AND($H40&lt;&gt;"",$H40&lt;=EOMONTH(AC$12,0),$I40&gt;=AC$12),"ALL","PD+UX"),IF(AND($H40&lt;&gt;"",$H40&lt;=EOMONTH(AC$12,0),$I40&gt;=AC$12),"PD+DEV","PD")),IF(AND(INDEX('Roadmap Calc (Don’t Touch)'!$AA$2:$AX$151,$AI40,COLUMN()-COLUMN($J$16)+1)&gt;0,OR($D40="03. UX Discovery",$D40="04. UX Design")),IF(AND($H40&lt;&gt;"",$H40&lt;=EOMONTH(AC$12,0),$I40&gt;=AC$12),"UX+DEV","UX"),IF(AND($H40&lt;&gt;"",$H40&lt;=EOMONTH(AC$12,0),$I40&gt;=AC$12),"DEV",""))))</f>
      </c>
      <c r="AD40" s="158" t="str">
        <f>IF($AI40="","",IF(AND($AN40&lt;&gt;"",$AN40&lt;=EOMONTH(AD$12,0),$AO40&gt;=AD$12),IF(AND(INDEX('Roadmap Calc (Don’t Touch)'!$AA$2:$AX$151,$AI40,COLUMN()-COLUMN($J$16)+1)&gt;0,OR($D40="03. UX Discovery",$D40="04. UX Design")),IF(AND($H40&lt;&gt;"",$H40&lt;=EOMONTH(AD$12,0),$I40&gt;=AD$12),"ALL","PD+UX"),IF(AND($H40&lt;&gt;"",$H40&lt;=EOMONTH(AD$12,0),$I40&gt;=AD$12),"PD+DEV","PD")),IF(AND(INDEX('Roadmap Calc (Don’t Touch)'!$AA$2:$AX$151,$AI40,COLUMN()-COLUMN($J$16)+1)&gt;0,OR($D40="03. UX Discovery",$D40="04. UX Design")),IF(AND($H40&lt;&gt;"",$H40&lt;=EOMONTH(AD$12,0),$I40&gt;=AD$12),"UX+DEV","UX"),IF(AND($H40&lt;&gt;"",$H40&lt;=EOMONTH(AD$12,0),$I40&gt;=AD$12),"DEV",""))))</f>
      </c>
      <c r="AE40" s="158" t="str">
        <f>IF($AI40="","",IF(AND($AN40&lt;&gt;"",$AN40&lt;=EOMONTH(AE$12,0),$AO40&gt;=AE$12),IF(AND(INDEX('Roadmap Calc (Don’t Touch)'!$AA$2:$AX$151,$AI40,COLUMN()-COLUMN($J$16)+1)&gt;0,OR($D40="03. UX Discovery",$D40="04. UX Design")),IF(AND($H40&lt;&gt;"",$H40&lt;=EOMONTH(AE$12,0),$I40&gt;=AE$12),"ALL","PD+UX"),IF(AND($H40&lt;&gt;"",$H40&lt;=EOMONTH(AE$12,0),$I40&gt;=AE$12),"PD+DEV","PD")),IF(AND(INDEX('Roadmap Calc (Don’t Touch)'!$AA$2:$AX$151,$AI40,COLUMN()-COLUMN($J$16)+1)&gt;0,OR($D40="03. UX Discovery",$D40="04. UX Design")),IF(AND($H40&lt;&gt;"",$H40&lt;=EOMONTH(AE$12,0),$I40&gt;=AE$12),"UX+DEV","UX"),IF(AND($H40&lt;&gt;"",$H40&lt;=EOMONTH(AE$12,0),$I40&gt;=AE$12),"DEV",""))))</f>
      </c>
      <c r="AF40" s="158" t="str">
        <f>IF($AI40="","",IF(AND($AN40&lt;&gt;"",$AN40&lt;=EOMONTH(AF$12,0),$AO40&gt;=AF$12),IF(AND(INDEX('Roadmap Calc (Don’t Touch)'!$AA$2:$AX$151,$AI40,COLUMN()-COLUMN($J$16)+1)&gt;0,OR($D40="03. UX Discovery",$D40="04. UX Design")),IF(AND($H40&lt;&gt;"",$H40&lt;=EOMONTH(AF$12,0),$I40&gt;=AF$12),"ALL","PD+UX"),IF(AND($H40&lt;&gt;"",$H40&lt;=EOMONTH(AF$12,0),$I40&gt;=AF$12),"PD+DEV","PD")),IF(AND(INDEX('Roadmap Calc (Don’t Touch)'!$AA$2:$AX$151,$AI40,COLUMN()-COLUMN($J$16)+1)&gt;0,OR($D40="03. UX Discovery",$D40="04. UX Design")),IF(AND($H40&lt;&gt;"",$H40&lt;=EOMONTH(AF$12,0),$I40&gt;=AF$12),"UX+DEV","UX"),IF(AND($H40&lt;&gt;"",$H40&lt;=EOMONTH(AF$12,0),$I40&gt;=AF$12),"DEV",""))))</f>
      </c>
      <c r="AG40" s="158" t="str">
        <f>IF($AI40="","",IF(AND($AN40&lt;&gt;"",$AN40&lt;=EOMONTH(AG$12,0),$AO40&gt;=AG$12),IF(AND(INDEX('Roadmap Calc (Don’t Touch)'!$AA$2:$AX$151,$AI40,COLUMN()-COLUMN($J$16)+1)&gt;0,OR($D40="03. UX Discovery",$D40="04. UX Design")),IF(AND($H40&lt;&gt;"",$H40&lt;=EOMONTH(AG$12,0),$I40&gt;=AG$12),"ALL","PD+UX"),IF(AND($H40&lt;&gt;"",$H40&lt;=EOMONTH(AG$12,0),$I40&gt;=AG$12),"PD+DEV","PD")),IF(AND(INDEX('Roadmap Calc (Don’t Touch)'!$AA$2:$AX$151,$AI40,COLUMN()-COLUMN($J$16)+1)&gt;0,OR($D40="03. UX Discovery",$D40="04. UX Design")),IF(AND($H40&lt;&gt;"",$H40&lt;=EOMONTH(AG$12,0),$I40&gt;=AG$12),"UX+DEV","UX"),IF(AND($H40&lt;&gt;"",$H40&lt;=EOMONTH(AG$12,0),$I40&gt;=AG$12),"DEV",""))))</f>
      </c>
      <c r="AH40" s="145" t="str">
        <f>IF($AI40="","",INDEX('Roadmap Calc (Don’t Touch)'!$D$2:$D$151,$AI40))</f>
        <v>Improve Buy Used Customer Experience</v>
      </c>
      <c r="AI40" s="145">
        <f>IFERROR(MATCH(25,'Roadmap Calc (Don’t Touch)'!$O$2:$O$151,0),"")</f>
        <v>46</v>
      </c>
      <c r="AJ40" s="145"/>
      <c r="AK40" s="145"/>
      <c r="AL40" s="145"/>
      <c r="AM40" s="145"/>
      <c r="AN40">
        <f>IF($AI40="","",IF(ISNUMBER(INDEX('Roadmap Calc (Don’t Touch)'!$BB$2:$BB$151,$AI40)),INDEX('Roadmap Calc (Don’t Touch)'!$BB$2:$BB$151,$AI40),""))</f>
      </c>
      <c r="AO40">
        <f>IF($AI40="","",IF(ISNUMBER(INDEX('Roadmap Calc (Don’t Touch)'!$BC$2:$BC$151,$AI40)),INDEX('Roadmap Calc (Don’t Touch)'!$BC$2:$BC$151,$AI40),""))</f>
      </c>
    </row>
    <row r="41" spans="1:41" ht="20" customHeight="1" x14ac:dyDescent="0.25">
      <c r="A41" s="198" t="str">
        <f>IF($AI41="","",IF($AH41=$AH40,"",IF(INDEX('Roadmap Calc (Don’t Touch)'!$U$2:$U$151,$AI41)=0,$AH41,HYPERLINK("#'Control (Don’t Touch)'!E"&amp;INDEX('Roadmap Calc (Don’t Touch)'!$U$2:$U$151,$AI41),$AH41))))</f>
        <v/>
      </c>
      <c r="B41" s="159" t="str">
        <f>IF($AI41="","",IF(INDEX('Roadmap Calc (Don’t Touch)'!$K$2:$K$151,$AI41)="",INDEX('Roadmap Calc (Don’t Touch)'!$B$2:$B$151,$AI41),HYPERLINK("https://jira.bnh.com/browse/"&amp;INDEX('Roadmap Calc (Don’t Touch)'!$K$2:$K$151,$AI41),INDEX('Roadmap Calc (Don’t Touch)'!$B$2:$B$151,$AI41))))</f>
        <v/>
      </c>
      <c r="C41" s="159" t="str">
        <f>IF($AI41="","",IF(INDEX('Roadmap Calc (Don’t Touch)'!$E$2:$E$151,$AI41)="","",HYPERLINK("https://jira.bnh.com/browse/"&amp;INDEX('Roadmap Calc (Don’t Touch)'!$E$2:$E$151,$AI41),INDEX('Roadmap Calc (Don’t Touch)'!$E$2:$E$151,$AI41))))</f>
        <v/>
      </c>
      <c r="D41" s="161" t="str">
        <f>IF($AI41="","",INDEX('Roadmap Calc (Don’t Touch)'!$F$2:$F$151,$AI41))</f>
        <v/>
      </c>
      <c r="E41" s="155" t="str">
        <f>IF($AI41="","",IF(ISNUMBER(INDEX('Roadmap Calc (Don’t Touch)'!$G$2:$G$151,$AI41)),INDEX('Roadmap Calc (Don’t Touch)'!$G$2:$G$151,$AI41),""))</f>
        <v/>
      </c>
      <c r="F41" s="155" t="str">
        <f>IF($AI41="","",IF(ISNUMBER(INDEX('Roadmap Calc (Don’t Touch)'!$H$2:$H$151,$AI41)),INDEX('Roadmap Calc (Don’t Touch)'!$H$2:$H$151,$AI41),""))</f>
        <v/>
      </c>
      <c r="G41" s="156" t="str">
        <f>IF($AI41="","",INDEX('Roadmap Calc (Don’t Touch)'!$T$2:$T$151,$AI41))</f>
        <v/>
      </c>
      <c r="H41" s="157" t="str">
        <f>IF($AI41="","",IF(ISNUMBER(INDEX('Roadmap Calc (Don’t Touch)'!$I$2:$I$151,$AI41)),INDEX('Roadmap Calc (Don’t Touch)'!$I$2:$I$151,$AI41),""))</f>
        <v/>
      </c>
      <c r="I41" s="157" t="str">
        <f>IF($AI41="","",IF(ISNUMBER(INDEX('Roadmap Calc (Don’t Touch)'!$J$2:$J$151,$AI41)),INDEX('Roadmap Calc (Don’t Touch)'!$J$2:$J$151,$AI41),""))</f>
        <v/>
      </c>
      <c r="J41" s="158" t="str">
        <f>IF($AI41="","",IF(AND($AN41&lt;&gt;"",$AN41&lt;=EOMONTH(J$12,0),$AO41&gt;=J$12),IF(AND(INDEX('Roadmap Calc (Don’t Touch)'!$AA$2:$AX$151,$AI41,COLUMN()-COLUMN($J$16)+1)&gt;0,OR($D41="03. UX Discovery",$D41="04. UX Design")),IF(AND($H41&lt;&gt;"",$H41&lt;=EOMONTH(J$12,0),$I41&gt;=J$12),"ALL","PD+UX"),IF(AND($H41&lt;&gt;"",$H41&lt;=EOMONTH(J$12,0),$I41&gt;=J$12),"PD+DEV","PD")),IF(AND(INDEX('Roadmap Calc (Don’t Touch)'!$AA$2:$AX$151,$AI41,COLUMN()-COLUMN($J$16)+1)&gt;0,OR($D41="03. UX Discovery",$D41="04. UX Design")),IF(AND($H41&lt;&gt;"",$H41&lt;=EOMONTH(J$12,0),$I41&gt;=J$12),"UX+DEV","UX"),IF(AND($H41&lt;&gt;"",$H41&lt;=EOMONTH(J$12,0),$I41&gt;=J$12),"DEV",""))))</f>
      </c>
      <c r="K41" s="158" t="str">
        <f>IF($AI41="","",IF(AND($AN41&lt;&gt;"",$AN41&lt;=EOMONTH(K$12,0),$AO41&gt;=K$12),IF(AND(INDEX('Roadmap Calc (Don’t Touch)'!$AA$2:$AX$151,$AI41,COLUMN()-COLUMN($J$16)+1)&gt;0,OR($D41="03. UX Discovery",$D41="04. UX Design")),IF(AND($H41&lt;&gt;"",$H41&lt;=EOMONTH(K$12,0),$I41&gt;=K$12),"ALL","PD+UX"),IF(AND($H41&lt;&gt;"",$H41&lt;=EOMONTH(K$12,0),$I41&gt;=K$12),"PD+DEV","PD")),IF(AND(INDEX('Roadmap Calc (Don’t Touch)'!$AA$2:$AX$151,$AI41,COLUMN()-COLUMN($J$16)+1)&gt;0,OR($D41="03. UX Discovery",$D41="04. UX Design")),IF(AND($H41&lt;&gt;"",$H41&lt;=EOMONTH(K$12,0),$I41&gt;=K$12),"UX+DEV","UX"),IF(AND($H41&lt;&gt;"",$H41&lt;=EOMONTH(K$12,0),$I41&gt;=K$12),"DEV",""))))</f>
      </c>
      <c r="L41" s="158" t="str">
        <f>IF($AI41="","",IF(AND($AN41&lt;&gt;"",$AN41&lt;=EOMONTH(L$12,0),$AO41&gt;=L$12),IF(AND(INDEX('Roadmap Calc (Don’t Touch)'!$AA$2:$AX$151,$AI41,COLUMN()-COLUMN($J$16)+1)&gt;0,OR($D41="03. UX Discovery",$D41="04. UX Design")),IF(AND($H41&lt;&gt;"",$H41&lt;=EOMONTH(L$12,0),$I41&gt;=L$12),"ALL","PD+UX"),IF(AND($H41&lt;&gt;"",$H41&lt;=EOMONTH(L$12,0),$I41&gt;=L$12),"PD+DEV","PD")),IF(AND(INDEX('Roadmap Calc (Don’t Touch)'!$AA$2:$AX$151,$AI41,COLUMN()-COLUMN($J$16)+1)&gt;0,OR($D41="03. UX Discovery",$D41="04. UX Design")),IF(AND($H41&lt;&gt;"",$H41&lt;=EOMONTH(L$12,0),$I41&gt;=L$12),"UX+DEV","UX"),IF(AND($H41&lt;&gt;"",$H41&lt;=EOMONTH(L$12,0),$I41&gt;=L$12),"DEV",""))))</f>
      </c>
      <c r="M41" s="158" t="str">
        <f>IF($AI41="","",IF(AND($AN41&lt;&gt;"",$AN41&lt;=EOMONTH(M$12,0),$AO41&gt;=M$12),IF(AND(INDEX('Roadmap Calc (Don’t Touch)'!$AA$2:$AX$151,$AI41,COLUMN()-COLUMN($J$16)+1)&gt;0,OR($D41="03. UX Discovery",$D41="04. UX Design")),IF(AND($H41&lt;&gt;"",$H41&lt;=EOMONTH(M$12,0),$I41&gt;=M$12),"ALL","PD+UX"),IF(AND($H41&lt;&gt;"",$H41&lt;=EOMONTH(M$12,0),$I41&gt;=M$12),"PD+DEV","PD")),IF(AND(INDEX('Roadmap Calc (Don’t Touch)'!$AA$2:$AX$151,$AI41,COLUMN()-COLUMN($J$16)+1)&gt;0,OR($D41="03. UX Discovery",$D41="04. UX Design")),IF(AND($H41&lt;&gt;"",$H41&lt;=EOMONTH(M$12,0),$I41&gt;=M$12),"UX+DEV","UX"),IF(AND($H41&lt;&gt;"",$H41&lt;=EOMONTH(M$12,0),$I41&gt;=M$12),"DEV",""))))</f>
      </c>
      <c r="N41" s="158" t="str">
        <f>IF($AI41="","",IF(AND($AN41&lt;&gt;"",$AN41&lt;=EOMONTH(N$12,0),$AO41&gt;=N$12),IF(AND(INDEX('Roadmap Calc (Don’t Touch)'!$AA$2:$AX$151,$AI41,COLUMN()-COLUMN($J$16)+1)&gt;0,OR($D41="03. UX Discovery",$D41="04. UX Design")),IF(AND($H41&lt;&gt;"",$H41&lt;=EOMONTH(N$12,0),$I41&gt;=N$12),"ALL","PD+UX"),IF(AND($H41&lt;&gt;"",$H41&lt;=EOMONTH(N$12,0),$I41&gt;=N$12),"PD+DEV","PD")),IF(AND(INDEX('Roadmap Calc (Don’t Touch)'!$AA$2:$AX$151,$AI41,COLUMN()-COLUMN($J$16)+1)&gt;0,OR($D41="03. UX Discovery",$D41="04. UX Design")),IF(AND($H41&lt;&gt;"",$H41&lt;=EOMONTH(N$12,0),$I41&gt;=N$12),"UX+DEV","UX"),IF(AND($H41&lt;&gt;"",$H41&lt;=EOMONTH(N$12,0),$I41&gt;=N$12),"DEV",""))))</f>
      </c>
      <c r="O41" s="158" t="str">
        <f>IF($AI41="","",IF(AND($AN41&lt;&gt;"",$AN41&lt;=EOMONTH(O$12,0),$AO41&gt;=O$12),IF(AND(INDEX('Roadmap Calc (Don’t Touch)'!$AA$2:$AX$151,$AI41,COLUMN()-COLUMN($J$16)+1)&gt;0,OR($D41="03. UX Discovery",$D41="04. UX Design")),IF(AND($H41&lt;&gt;"",$H41&lt;=EOMONTH(O$12,0),$I41&gt;=O$12),"ALL","PD+UX"),IF(AND($H41&lt;&gt;"",$H41&lt;=EOMONTH(O$12,0),$I41&gt;=O$12),"PD+DEV","PD")),IF(AND(INDEX('Roadmap Calc (Don’t Touch)'!$AA$2:$AX$151,$AI41,COLUMN()-COLUMN($J$16)+1)&gt;0,OR($D41="03. UX Discovery",$D41="04. UX Design")),IF(AND($H41&lt;&gt;"",$H41&lt;=EOMONTH(O$12,0),$I41&gt;=O$12),"UX+DEV","UX"),IF(AND($H41&lt;&gt;"",$H41&lt;=EOMONTH(O$12,0),$I41&gt;=O$12),"DEV",""))))</f>
      </c>
      <c r="P41" s="158" t="str">
        <f>IF($AI41="","",IF(AND($AN41&lt;&gt;"",$AN41&lt;=EOMONTH(P$12,0),$AO41&gt;=P$12),IF(AND(INDEX('Roadmap Calc (Don’t Touch)'!$AA$2:$AX$151,$AI41,COLUMN()-COLUMN($J$16)+1)&gt;0,OR($D41="03. UX Discovery",$D41="04. UX Design")),IF(AND($H41&lt;&gt;"",$H41&lt;=EOMONTH(P$12,0),$I41&gt;=P$12),"ALL","PD+UX"),IF(AND($H41&lt;&gt;"",$H41&lt;=EOMONTH(P$12,0),$I41&gt;=P$12),"PD+DEV","PD")),IF(AND(INDEX('Roadmap Calc (Don’t Touch)'!$AA$2:$AX$151,$AI41,COLUMN()-COLUMN($J$16)+1)&gt;0,OR($D41="03. UX Discovery",$D41="04. UX Design")),IF(AND($H41&lt;&gt;"",$H41&lt;=EOMONTH(P$12,0),$I41&gt;=P$12),"UX+DEV","UX"),IF(AND($H41&lt;&gt;"",$H41&lt;=EOMONTH(P$12,0),$I41&gt;=P$12),"DEV",""))))</f>
      </c>
      <c r="Q41" s="158" t="str">
        <f>IF($AI41="","",IF(AND($AN41&lt;&gt;"",$AN41&lt;=EOMONTH(Q$12,0),$AO41&gt;=Q$12),IF(AND(INDEX('Roadmap Calc (Don’t Touch)'!$AA$2:$AX$151,$AI41,COLUMN()-COLUMN($J$16)+1)&gt;0,OR($D41="03. UX Discovery",$D41="04. UX Design")),IF(AND($H41&lt;&gt;"",$H41&lt;=EOMONTH(Q$12,0),$I41&gt;=Q$12),"ALL","PD+UX"),IF(AND($H41&lt;&gt;"",$H41&lt;=EOMONTH(Q$12,0),$I41&gt;=Q$12),"PD+DEV","PD")),IF(AND(INDEX('Roadmap Calc (Don’t Touch)'!$AA$2:$AX$151,$AI41,COLUMN()-COLUMN($J$16)+1)&gt;0,OR($D41="03. UX Discovery",$D41="04. UX Design")),IF(AND($H41&lt;&gt;"",$H41&lt;=EOMONTH(Q$12,0),$I41&gt;=Q$12),"UX+DEV","UX"),IF(AND($H41&lt;&gt;"",$H41&lt;=EOMONTH(Q$12,0),$I41&gt;=Q$12),"DEV",""))))</f>
      </c>
      <c r="R41" s="158" t="str">
        <f>IF($AI41="","",IF(AND($AN41&lt;&gt;"",$AN41&lt;=EOMONTH(R$12,0),$AO41&gt;=R$12),IF(AND(INDEX('Roadmap Calc (Don’t Touch)'!$AA$2:$AX$151,$AI41,COLUMN()-COLUMN($J$16)+1)&gt;0,OR($D41="03. UX Discovery",$D41="04. UX Design")),IF(AND($H41&lt;&gt;"",$H41&lt;=EOMONTH(R$12,0),$I41&gt;=R$12),"ALL","PD+UX"),IF(AND($H41&lt;&gt;"",$H41&lt;=EOMONTH(R$12,0),$I41&gt;=R$12),"PD+DEV","PD")),IF(AND(INDEX('Roadmap Calc (Don’t Touch)'!$AA$2:$AX$151,$AI41,COLUMN()-COLUMN($J$16)+1)&gt;0,OR($D41="03. UX Discovery",$D41="04. UX Design")),IF(AND($H41&lt;&gt;"",$H41&lt;=EOMONTH(R$12,0),$I41&gt;=R$12),"UX+DEV","UX"),IF(AND($H41&lt;&gt;"",$H41&lt;=EOMONTH(R$12,0),$I41&gt;=R$12),"DEV",""))))</f>
      </c>
      <c r="S41" s="158" t="str">
        <f>IF($AI41="","",IF(AND($AN41&lt;&gt;"",$AN41&lt;=EOMONTH(S$12,0),$AO41&gt;=S$12),IF(AND(INDEX('Roadmap Calc (Don’t Touch)'!$AA$2:$AX$151,$AI41,COLUMN()-COLUMN($J$16)+1)&gt;0,OR($D41="03. UX Discovery",$D41="04. UX Design")),IF(AND($H41&lt;&gt;"",$H41&lt;=EOMONTH(S$12,0),$I41&gt;=S$12),"ALL","PD+UX"),IF(AND($H41&lt;&gt;"",$H41&lt;=EOMONTH(S$12,0),$I41&gt;=S$12),"PD+DEV","PD")),IF(AND(INDEX('Roadmap Calc (Don’t Touch)'!$AA$2:$AX$151,$AI41,COLUMN()-COLUMN($J$16)+1)&gt;0,OR($D41="03. UX Discovery",$D41="04. UX Design")),IF(AND($H41&lt;&gt;"",$H41&lt;=EOMONTH(S$12,0),$I41&gt;=S$12),"UX+DEV","UX"),IF(AND($H41&lt;&gt;"",$H41&lt;=EOMONTH(S$12,0),$I41&gt;=S$12),"DEV",""))))</f>
      </c>
      <c r="T41" s="158" t="str">
        <f>IF($AI41="","",IF(AND($AN41&lt;&gt;"",$AN41&lt;=EOMONTH(T$12,0),$AO41&gt;=T$12),IF(AND(INDEX('Roadmap Calc (Don’t Touch)'!$AA$2:$AX$151,$AI41,COLUMN()-COLUMN($J$16)+1)&gt;0,OR($D41="03. UX Discovery",$D41="04. UX Design")),IF(AND($H41&lt;&gt;"",$H41&lt;=EOMONTH(T$12,0),$I41&gt;=T$12),"ALL","PD+UX"),IF(AND($H41&lt;&gt;"",$H41&lt;=EOMONTH(T$12,0),$I41&gt;=T$12),"PD+DEV","PD")),IF(AND(INDEX('Roadmap Calc (Don’t Touch)'!$AA$2:$AX$151,$AI41,COLUMN()-COLUMN($J$16)+1)&gt;0,OR($D41="03. UX Discovery",$D41="04. UX Design")),IF(AND($H41&lt;&gt;"",$H41&lt;=EOMONTH(T$12,0),$I41&gt;=T$12),"UX+DEV","UX"),IF(AND($H41&lt;&gt;"",$H41&lt;=EOMONTH(T$12,0),$I41&gt;=T$12),"DEV",""))))</f>
      </c>
      <c r="U41" s="158" t="str">
        <f>IF($AI41="","",IF(AND($AN41&lt;&gt;"",$AN41&lt;=EOMONTH(U$12,0),$AO41&gt;=U$12),IF(AND(INDEX('Roadmap Calc (Don’t Touch)'!$AA$2:$AX$151,$AI41,COLUMN()-COLUMN($J$16)+1)&gt;0,OR($D41="03. UX Discovery",$D41="04. UX Design")),IF(AND($H41&lt;&gt;"",$H41&lt;=EOMONTH(U$12,0),$I41&gt;=U$12),"ALL","PD+UX"),IF(AND($H41&lt;&gt;"",$H41&lt;=EOMONTH(U$12,0),$I41&gt;=U$12),"PD+DEV","PD")),IF(AND(INDEX('Roadmap Calc (Don’t Touch)'!$AA$2:$AX$151,$AI41,COLUMN()-COLUMN($J$16)+1)&gt;0,OR($D41="03. UX Discovery",$D41="04. UX Design")),IF(AND($H41&lt;&gt;"",$H41&lt;=EOMONTH(U$12,0),$I41&gt;=U$12),"UX+DEV","UX"),IF(AND($H41&lt;&gt;"",$H41&lt;=EOMONTH(U$12,0),$I41&gt;=U$12),"DEV",""))))</f>
      </c>
      <c r="V41" s="158" t="str">
        <f>IF($AI41="","",IF(AND($AN41&lt;&gt;"",$AN41&lt;=EOMONTH(V$12,0),$AO41&gt;=V$12),IF(AND(INDEX('Roadmap Calc (Don’t Touch)'!$AA$2:$AX$151,$AI41,COLUMN()-COLUMN($J$16)+1)&gt;0,OR($D41="03. UX Discovery",$D41="04. UX Design")),IF(AND($H41&lt;&gt;"",$H41&lt;=EOMONTH(V$12,0),$I41&gt;=V$12),"ALL","PD+UX"),IF(AND($H41&lt;&gt;"",$H41&lt;=EOMONTH(V$12,0),$I41&gt;=V$12),"PD+DEV","PD")),IF(AND(INDEX('Roadmap Calc (Don’t Touch)'!$AA$2:$AX$151,$AI41,COLUMN()-COLUMN($J$16)+1)&gt;0,OR($D41="03. UX Discovery",$D41="04. UX Design")),IF(AND($H41&lt;&gt;"",$H41&lt;=EOMONTH(V$12,0),$I41&gt;=V$12),"UX+DEV","UX"),IF(AND($H41&lt;&gt;"",$H41&lt;=EOMONTH(V$12,0),$I41&gt;=V$12),"DEV",""))))</f>
      </c>
      <c r="W41" s="158" t="str">
        <f>IF($AI41="","",IF(AND($AN41&lt;&gt;"",$AN41&lt;=EOMONTH(W$12,0),$AO41&gt;=W$12),IF(AND(INDEX('Roadmap Calc (Don’t Touch)'!$AA$2:$AX$151,$AI41,COLUMN()-COLUMN($J$16)+1)&gt;0,OR($D41="03. UX Discovery",$D41="04. UX Design")),IF(AND($H41&lt;&gt;"",$H41&lt;=EOMONTH(W$12,0),$I41&gt;=W$12),"ALL","PD+UX"),IF(AND($H41&lt;&gt;"",$H41&lt;=EOMONTH(W$12,0),$I41&gt;=W$12),"PD+DEV","PD")),IF(AND(INDEX('Roadmap Calc (Don’t Touch)'!$AA$2:$AX$151,$AI41,COLUMN()-COLUMN($J$16)+1)&gt;0,OR($D41="03. UX Discovery",$D41="04. UX Design")),IF(AND($H41&lt;&gt;"",$H41&lt;=EOMONTH(W$12,0),$I41&gt;=W$12),"UX+DEV","UX"),IF(AND($H41&lt;&gt;"",$H41&lt;=EOMONTH(W$12,0),$I41&gt;=W$12),"DEV",""))))</f>
      </c>
      <c r="X41" s="158" t="str">
        <f>IF($AI41="","",IF(AND($AN41&lt;&gt;"",$AN41&lt;=EOMONTH(X$12,0),$AO41&gt;=X$12),IF(AND(INDEX('Roadmap Calc (Don’t Touch)'!$AA$2:$AX$151,$AI41,COLUMN()-COLUMN($J$16)+1)&gt;0,OR($D41="03. UX Discovery",$D41="04. UX Design")),IF(AND($H41&lt;&gt;"",$H41&lt;=EOMONTH(X$12,0),$I41&gt;=X$12),"ALL","PD+UX"),IF(AND($H41&lt;&gt;"",$H41&lt;=EOMONTH(X$12,0),$I41&gt;=X$12),"PD+DEV","PD")),IF(AND(INDEX('Roadmap Calc (Don’t Touch)'!$AA$2:$AX$151,$AI41,COLUMN()-COLUMN($J$16)+1)&gt;0,OR($D41="03. UX Discovery",$D41="04. UX Design")),IF(AND($H41&lt;&gt;"",$H41&lt;=EOMONTH(X$12,0),$I41&gt;=X$12),"UX+DEV","UX"),IF(AND($H41&lt;&gt;"",$H41&lt;=EOMONTH(X$12,0),$I41&gt;=X$12),"DEV",""))))</f>
      </c>
      <c r="Y41" s="158" t="str">
        <f>IF($AI41="","",IF(AND($AN41&lt;&gt;"",$AN41&lt;=EOMONTH(Y$12,0),$AO41&gt;=Y$12),IF(AND(INDEX('Roadmap Calc (Don’t Touch)'!$AA$2:$AX$151,$AI41,COLUMN()-COLUMN($J$16)+1)&gt;0,OR($D41="03. UX Discovery",$D41="04. UX Design")),IF(AND($H41&lt;&gt;"",$H41&lt;=EOMONTH(Y$12,0),$I41&gt;=Y$12),"ALL","PD+UX"),IF(AND($H41&lt;&gt;"",$H41&lt;=EOMONTH(Y$12,0),$I41&gt;=Y$12),"PD+DEV","PD")),IF(AND(INDEX('Roadmap Calc (Don’t Touch)'!$AA$2:$AX$151,$AI41,COLUMN()-COLUMN($J$16)+1)&gt;0,OR($D41="03. UX Discovery",$D41="04. UX Design")),IF(AND($H41&lt;&gt;"",$H41&lt;=EOMONTH(Y$12,0),$I41&gt;=Y$12),"UX+DEV","UX"),IF(AND($H41&lt;&gt;"",$H41&lt;=EOMONTH(Y$12,0),$I41&gt;=Y$12),"DEV",""))))</f>
      </c>
      <c r="Z41" s="158" t="str">
        <f>IF($AI41="","",IF(AND($AN41&lt;&gt;"",$AN41&lt;=EOMONTH(Z$12,0),$AO41&gt;=Z$12),IF(AND(INDEX('Roadmap Calc (Don’t Touch)'!$AA$2:$AX$151,$AI41,COLUMN()-COLUMN($J$16)+1)&gt;0,OR($D41="03. UX Discovery",$D41="04. UX Design")),IF(AND($H41&lt;&gt;"",$H41&lt;=EOMONTH(Z$12,0),$I41&gt;=Z$12),"ALL","PD+UX"),IF(AND($H41&lt;&gt;"",$H41&lt;=EOMONTH(Z$12,0),$I41&gt;=Z$12),"PD+DEV","PD")),IF(AND(INDEX('Roadmap Calc (Don’t Touch)'!$AA$2:$AX$151,$AI41,COLUMN()-COLUMN($J$16)+1)&gt;0,OR($D41="03. UX Discovery",$D41="04. UX Design")),IF(AND($H41&lt;&gt;"",$H41&lt;=EOMONTH(Z$12,0),$I41&gt;=Z$12),"UX+DEV","UX"),IF(AND($H41&lt;&gt;"",$H41&lt;=EOMONTH(Z$12,0),$I41&gt;=Z$12),"DEV",""))))</f>
      </c>
      <c r="AA41" s="158" t="str">
        <f>IF($AI41="","",IF(AND($AN41&lt;&gt;"",$AN41&lt;=EOMONTH(AA$12,0),$AO41&gt;=AA$12),IF(AND(INDEX('Roadmap Calc (Don’t Touch)'!$AA$2:$AX$151,$AI41,COLUMN()-COLUMN($J$16)+1)&gt;0,OR($D41="03. UX Discovery",$D41="04. UX Design")),IF(AND($H41&lt;&gt;"",$H41&lt;=EOMONTH(AA$12,0),$I41&gt;=AA$12),"ALL","PD+UX"),IF(AND($H41&lt;&gt;"",$H41&lt;=EOMONTH(AA$12,0),$I41&gt;=AA$12),"PD+DEV","PD")),IF(AND(INDEX('Roadmap Calc (Don’t Touch)'!$AA$2:$AX$151,$AI41,COLUMN()-COLUMN($J$16)+1)&gt;0,OR($D41="03. UX Discovery",$D41="04. UX Design")),IF(AND($H41&lt;&gt;"",$H41&lt;=EOMONTH(AA$12,0),$I41&gt;=AA$12),"UX+DEV","UX"),IF(AND($H41&lt;&gt;"",$H41&lt;=EOMONTH(AA$12,0),$I41&gt;=AA$12),"DEV",""))))</f>
      </c>
      <c r="AB41" s="158" t="str">
        <f>IF($AI41="","",IF(AND($AN41&lt;&gt;"",$AN41&lt;=EOMONTH(AB$12,0),$AO41&gt;=AB$12),IF(AND(INDEX('Roadmap Calc (Don’t Touch)'!$AA$2:$AX$151,$AI41,COLUMN()-COLUMN($J$16)+1)&gt;0,OR($D41="03. UX Discovery",$D41="04. UX Design")),IF(AND($H41&lt;&gt;"",$H41&lt;=EOMONTH(AB$12,0),$I41&gt;=AB$12),"ALL","PD+UX"),IF(AND($H41&lt;&gt;"",$H41&lt;=EOMONTH(AB$12,0),$I41&gt;=AB$12),"PD+DEV","PD")),IF(AND(INDEX('Roadmap Calc (Don’t Touch)'!$AA$2:$AX$151,$AI41,COLUMN()-COLUMN($J$16)+1)&gt;0,OR($D41="03. UX Discovery",$D41="04. UX Design")),IF(AND($H41&lt;&gt;"",$H41&lt;=EOMONTH(AB$12,0),$I41&gt;=AB$12),"UX+DEV","UX"),IF(AND($H41&lt;&gt;"",$H41&lt;=EOMONTH(AB$12,0),$I41&gt;=AB$12),"DEV",""))))</f>
      </c>
      <c r="AC41" s="158" t="str">
        <f>IF($AI41="","",IF(AND($AN41&lt;&gt;"",$AN41&lt;=EOMONTH(AC$12,0),$AO41&gt;=AC$12),IF(AND(INDEX('Roadmap Calc (Don’t Touch)'!$AA$2:$AX$151,$AI41,COLUMN()-COLUMN($J$16)+1)&gt;0,OR($D41="03. UX Discovery",$D41="04. UX Design")),IF(AND($H41&lt;&gt;"",$H41&lt;=EOMONTH(AC$12,0),$I41&gt;=AC$12),"ALL","PD+UX"),IF(AND($H41&lt;&gt;"",$H41&lt;=EOMONTH(AC$12,0),$I41&gt;=AC$12),"PD+DEV","PD")),IF(AND(INDEX('Roadmap Calc (Don’t Touch)'!$AA$2:$AX$151,$AI41,COLUMN()-COLUMN($J$16)+1)&gt;0,OR($D41="03. UX Discovery",$D41="04. UX Design")),IF(AND($H41&lt;&gt;"",$H41&lt;=EOMONTH(AC$12,0),$I41&gt;=AC$12),"UX+DEV","UX"),IF(AND($H41&lt;&gt;"",$H41&lt;=EOMONTH(AC$12,0),$I41&gt;=AC$12),"DEV",""))))</f>
      </c>
      <c r="AD41" s="158" t="str">
        <f>IF($AI41="","",IF(AND($AN41&lt;&gt;"",$AN41&lt;=EOMONTH(AD$12,0),$AO41&gt;=AD$12),IF(AND(INDEX('Roadmap Calc (Don’t Touch)'!$AA$2:$AX$151,$AI41,COLUMN()-COLUMN($J$16)+1)&gt;0,OR($D41="03. UX Discovery",$D41="04. UX Design")),IF(AND($H41&lt;&gt;"",$H41&lt;=EOMONTH(AD$12,0),$I41&gt;=AD$12),"ALL","PD+UX"),IF(AND($H41&lt;&gt;"",$H41&lt;=EOMONTH(AD$12,0),$I41&gt;=AD$12),"PD+DEV","PD")),IF(AND(INDEX('Roadmap Calc (Don’t Touch)'!$AA$2:$AX$151,$AI41,COLUMN()-COLUMN($J$16)+1)&gt;0,OR($D41="03. UX Discovery",$D41="04. UX Design")),IF(AND($H41&lt;&gt;"",$H41&lt;=EOMONTH(AD$12,0),$I41&gt;=AD$12),"UX+DEV","UX"),IF(AND($H41&lt;&gt;"",$H41&lt;=EOMONTH(AD$12,0),$I41&gt;=AD$12),"DEV",""))))</f>
      </c>
      <c r="AE41" s="158" t="str">
        <f>IF($AI41="","",IF(AND($AN41&lt;&gt;"",$AN41&lt;=EOMONTH(AE$12,0),$AO41&gt;=AE$12),IF(AND(INDEX('Roadmap Calc (Don’t Touch)'!$AA$2:$AX$151,$AI41,COLUMN()-COLUMN($J$16)+1)&gt;0,OR($D41="03. UX Discovery",$D41="04. UX Design")),IF(AND($H41&lt;&gt;"",$H41&lt;=EOMONTH(AE$12,0),$I41&gt;=AE$12),"ALL","PD+UX"),IF(AND($H41&lt;&gt;"",$H41&lt;=EOMONTH(AE$12,0),$I41&gt;=AE$12),"PD+DEV","PD")),IF(AND(INDEX('Roadmap Calc (Don’t Touch)'!$AA$2:$AX$151,$AI41,COLUMN()-COLUMN($J$16)+1)&gt;0,OR($D41="03. UX Discovery",$D41="04. UX Design")),IF(AND($H41&lt;&gt;"",$H41&lt;=EOMONTH(AE$12,0),$I41&gt;=AE$12),"UX+DEV","UX"),IF(AND($H41&lt;&gt;"",$H41&lt;=EOMONTH(AE$12,0),$I41&gt;=AE$12),"DEV",""))))</f>
      </c>
      <c r="AF41" s="158" t="str">
        <f>IF($AI41="","",IF(AND($AN41&lt;&gt;"",$AN41&lt;=EOMONTH(AF$12,0),$AO41&gt;=AF$12),IF(AND(INDEX('Roadmap Calc (Don’t Touch)'!$AA$2:$AX$151,$AI41,COLUMN()-COLUMN($J$16)+1)&gt;0,OR($D41="03. UX Discovery",$D41="04. UX Design")),IF(AND($H41&lt;&gt;"",$H41&lt;=EOMONTH(AF$12,0),$I41&gt;=AF$12),"ALL","PD+UX"),IF(AND($H41&lt;&gt;"",$H41&lt;=EOMONTH(AF$12,0),$I41&gt;=AF$12),"PD+DEV","PD")),IF(AND(INDEX('Roadmap Calc (Don’t Touch)'!$AA$2:$AX$151,$AI41,COLUMN()-COLUMN($J$16)+1)&gt;0,OR($D41="03. UX Discovery",$D41="04. UX Design")),IF(AND($H41&lt;&gt;"",$H41&lt;=EOMONTH(AF$12,0),$I41&gt;=AF$12),"UX+DEV","UX"),IF(AND($H41&lt;&gt;"",$H41&lt;=EOMONTH(AF$12,0),$I41&gt;=AF$12),"DEV",""))))</f>
      </c>
      <c r="AG41" s="158" t="str">
        <f>IF($AI41="","",IF(AND($AN41&lt;&gt;"",$AN41&lt;=EOMONTH(AG$12,0),$AO41&gt;=AG$12),IF(AND(INDEX('Roadmap Calc (Don’t Touch)'!$AA$2:$AX$151,$AI41,COLUMN()-COLUMN($J$16)+1)&gt;0,OR($D41="03. UX Discovery",$D41="04. UX Design")),IF(AND($H41&lt;&gt;"",$H41&lt;=EOMONTH(AG$12,0),$I41&gt;=AG$12),"ALL","PD+UX"),IF(AND($H41&lt;&gt;"",$H41&lt;=EOMONTH(AG$12,0),$I41&gt;=AG$12),"PD+DEV","PD")),IF(AND(INDEX('Roadmap Calc (Don’t Touch)'!$AA$2:$AX$151,$AI41,COLUMN()-COLUMN($J$16)+1)&gt;0,OR($D41="03. UX Discovery",$D41="04. UX Design")),IF(AND($H41&lt;&gt;"",$H41&lt;=EOMONTH(AG$12,0),$I41&gt;=AG$12),"UX+DEV","UX"),IF(AND($H41&lt;&gt;"",$H41&lt;=EOMONTH(AG$12,0),$I41&gt;=AG$12),"DEV",""))))</f>
      </c>
      <c r="AH41" s="145" t="str">
        <f>IF($AI41="","",INDEX('Roadmap Calc (Don’t Touch)'!$D$2:$D$151,$AI41))</f>
        <v/>
      </c>
      <c r="AI41" s="145" t="str">
        <f>IFERROR(MATCH(26,'Roadmap Calc (Don’t Touch)'!$O$2:$O$151,0),"")</f>
        <v/>
      </c>
      <c r="AJ41" s="145"/>
      <c r="AK41" s="145"/>
      <c r="AL41" s="145"/>
      <c r="AM41" s="145"/>
      <c r="AN41">
        <f>IF($AI41="","",IF(ISNUMBER(INDEX('Roadmap Calc (Don’t Touch)'!$BB$2:$BB$151,$AI41)),INDEX('Roadmap Calc (Don’t Touch)'!$BB$2:$BB$151,$AI41),""))</f>
      </c>
      <c r="AO41">
        <f>IF($AI41="","",IF(ISNUMBER(INDEX('Roadmap Calc (Don’t Touch)'!$BC$2:$BC$151,$AI41)),INDEX('Roadmap Calc (Don’t Touch)'!$BC$2:$BC$151,$AI41),""))</f>
      </c>
    </row>
    <row r="42" spans="1:41" ht="20" customHeight="1" x14ac:dyDescent="0.25">
      <c r="A42" s="199" t="str">
        <f>IF($AI42="","",IF($AH42=$AH41,"",IF(INDEX('Roadmap Calc (Don’t Touch)'!$U$2:$U$151,$AI42)=0,$AH42,HYPERLINK("#'Control (Don’t Touch)'!E"&amp;INDEX('Roadmap Calc (Don’t Touch)'!$U$2:$U$151,$AI42),$AH42))))</f>
        <v/>
      </c>
      <c r="B42" s="159" t="str">
        <f>IF($AI42="","",IF(INDEX('Roadmap Calc (Don’t Touch)'!$K$2:$K$151,$AI42)="",INDEX('Roadmap Calc (Don’t Touch)'!$B$2:$B$151,$AI42),HYPERLINK("https://jira.bnh.com/browse/"&amp;INDEX('Roadmap Calc (Don’t Touch)'!$K$2:$K$151,$AI42),INDEX('Roadmap Calc (Don’t Touch)'!$B$2:$B$151,$AI42))))</f>
        <v/>
      </c>
      <c r="C42" s="159" t="str">
        <f>IF($AI42="","",IF(INDEX('Roadmap Calc (Don’t Touch)'!$E$2:$E$151,$AI42)="","",HYPERLINK("https://jira.bnh.com/browse/"&amp;INDEX('Roadmap Calc (Don’t Touch)'!$E$2:$E$151,$AI42),INDEX('Roadmap Calc (Don’t Touch)'!$E$2:$E$151,$AI42))))</f>
        <v/>
      </c>
      <c r="D42" s="161" t="str">
        <f>IF($AI42="","",INDEX('Roadmap Calc (Don’t Touch)'!$F$2:$F$151,$AI42))</f>
        <v/>
      </c>
      <c r="E42" s="155" t="str">
        <f>IF($AI42="","",IF(ISNUMBER(INDEX('Roadmap Calc (Don’t Touch)'!$G$2:$G$151,$AI42)),INDEX('Roadmap Calc (Don’t Touch)'!$G$2:$G$151,$AI42),""))</f>
        <v/>
      </c>
      <c r="F42" s="155" t="str">
        <f>IF($AI42="","",IF(ISNUMBER(INDEX('Roadmap Calc (Don’t Touch)'!$H$2:$H$151,$AI42)),INDEX('Roadmap Calc (Don’t Touch)'!$H$2:$H$151,$AI42),""))</f>
        <v/>
      </c>
      <c r="G42" s="156" t="str">
        <f>IF($AI42="","",INDEX('Roadmap Calc (Don’t Touch)'!$T$2:$T$151,$AI42))</f>
        <v/>
      </c>
      <c r="H42" s="157" t="str">
        <f>IF($AI42="","",IF(ISNUMBER(INDEX('Roadmap Calc (Don’t Touch)'!$I$2:$I$151,$AI42)),INDEX('Roadmap Calc (Don’t Touch)'!$I$2:$I$151,$AI42),""))</f>
        <v/>
      </c>
      <c r="I42" s="157" t="str">
        <f>IF($AI42="","",IF(ISNUMBER(INDEX('Roadmap Calc (Don’t Touch)'!$J$2:$J$151,$AI42)),INDEX('Roadmap Calc (Don’t Touch)'!$J$2:$J$151,$AI42),""))</f>
        <v/>
      </c>
      <c r="J42" s="158" t="str">
        <f>IF($AI42="","",IF(AND($AN42&lt;&gt;"",$AN42&lt;=EOMONTH(J$12,0),$AO42&gt;=J$12),IF(AND(INDEX('Roadmap Calc (Don’t Touch)'!$AA$2:$AX$151,$AI42,COLUMN()-COLUMN($J$16)+1)&gt;0,OR($D42="03. UX Discovery",$D42="04. UX Design")),IF(AND($H42&lt;&gt;"",$H42&lt;=EOMONTH(J$12,0),$I42&gt;=J$12),"ALL","PD+UX"),IF(AND($H42&lt;&gt;"",$H42&lt;=EOMONTH(J$12,0),$I42&gt;=J$12),"PD+DEV","PD")),IF(AND(INDEX('Roadmap Calc (Don’t Touch)'!$AA$2:$AX$151,$AI42,COLUMN()-COLUMN($J$16)+1)&gt;0,OR($D42="03. UX Discovery",$D42="04. UX Design")),IF(AND($H42&lt;&gt;"",$H42&lt;=EOMONTH(J$12,0),$I42&gt;=J$12),"UX+DEV","UX"),IF(AND($H42&lt;&gt;"",$H42&lt;=EOMONTH(J$12,0),$I42&gt;=J$12),"DEV",""))))</f>
      </c>
      <c r="K42" s="158" t="str">
        <f>IF($AI42="","",IF(AND($AN42&lt;&gt;"",$AN42&lt;=EOMONTH(K$12,0),$AO42&gt;=K$12),IF(AND(INDEX('Roadmap Calc (Don’t Touch)'!$AA$2:$AX$151,$AI42,COLUMN()-COLUMN($J$16)+1)&gt;0,OR($D42="03. UX Discovery",$D42="04. UX Design")),IF(AND($H42&lt;&gt;"",$H42&lt;=EOMONTH(K$12,0),$I42&gt;=K$12),"ALL","PD+UX"),IF(AND($H42&lt;&gt;"",$H42&lt;=EOMONTH(K$12,0),$I42&gt;=K$12),"PD+DEV","PD")),IF(AND(INDEX('Roadmap Calc (Don’t Touch)'!$AA$2:$AX$151,$AI42,COLUMN()-COLUMN($J$16)+1)&gt;0,OR($D42="03. UX Discovery",$D42="04. UX Design")),IF(AND($H42&lt;&gt;"",$H42&lt;=EOMONTH(K$12,0),$I42&gt;=K$12),"UX+DEV","UX"),IF(AND($H42&lt;&gt;"",$H42&lt;=EOMONTH(K$12,0),$I42&gt;=K$12),"DEV",""))))</f>
      </c>
      <c r="L42" s="158" t="str">
        <f>IF($AI42="","",IF(AND($AN42&lt;&gt;"",$AN42&lt;=EOMONTH(L$12,0),$AO42&gt;=L$12),IF(AND(INDEX('Roadmap Calc (Don’t Touch)'!$AA$2:$AX$151,$AI42,COLUMN()-COLUMN($J$16)+1)&gt;0,OR($D42="03. UX Discovery",$D42="04. UX Design")),IF(AND($H42&lt;&gt;"",$H42&lt;=EOMONTH(L$12,0),$I42&gt;=L$12),"ALL","PD+UX"),IF(AND($H42&lt;&gt;"",$H42&lt;=EOMONTH(L$12,0),$I42&gt;=L$12),"PD+DEV","PD")),IF(AND(INDEX('Roadmap Calc (Don’t Touch)'!$AA$2:$AX$151,$AI42,COLUMN()-COLUMN($J$16)+1)&gt;0,OR($D42="03. UX Discovery",$D42="04. UX Design")),IF(AND($H42&lt;&gt;"",$H42&lt;=EOMONTH(L$12,0),$I42&gt;=L$12),"UX+DEV","UX"),IF(AND($H42&lt;&gt;"",$H42&lt;=EOMONTH(L$12,0),$I42&gt;=L$12),"DEV",""))))</f>
      </c>
      <c r="M42" s="158" t="str">
        <f>IF($AI42="","",IF(AND($AN42&lt;&gt;"",$AN42&lt;=EOMONTH(M$12,0),$AO42&gt;=M$12),IF(AND(INDEX('Roadmap Calc (Don’t Touch)'!$AA$2:$AX$151,$AI42,COLUMN()-COLUMN($J$16)+1)&gt;0,OR($D42="03. UX Discovery",$D42="04. UX Design")),IF(AND($H42&lt;&gt;"",$H42&lt;=EOMONTH(M$12,0),$I42&gt;=M$12),"ALL","PD+UX"),IF(AND($H42&lt;&gt;"",$H42&lt;=EOMONTH(M$12,0),$I42&gt;=M$12),"PD+DEV","PD")),IF(AND(INDEX('Roadmap Calc (Don’t Touch)'!$AA$2:$AX$151,$AI42,COLUMN()-COLUMN($J$16)+1)&gt;0,OR($D42="03. UX Discovery",$D42="04. UX Design")),IF(AND($H42&lt;&gt;"",$H42&lt;=EOMONTH(M$12,0),$I42&gt;=M$12),"UX+DEV","UX"),IF(AND($H42&lt;&gt;"",$H42&lt;=EOMONTH(M$12,0),$I42&gt;=M$12),"DEV",""))))</f>
      </c>
      <c r="N42" s="158" t="str">
        <f>IF($AI42="","",IF(AND($AN42&lt;&gt;"",$AN42&lt;=EOMONTH(N$12,0),$AO42&gt;=N$12),IF(AND(INDEX('Roadmap Calc (Don’t Touch)'!$AA$2:$AX$151,$AI42,COLUMN()-COLUMN($J$16)+1)&gt;0,OR($D42="03. UX Discovery",$D42="04. UX Design")),IF(AND($H42&lt;&gt;"",$H42&lt;=EOMONTH(N$12,0),$I42&gt;=N$12),"ALL","PD+UX"),IF(AND($H42&lt;&gt;"",$H42&lt;=EOMONTH(N$12,0),$I42&gt;=N$12),"PD+DEV","PD")),IF(AND(INDEX('Roadmap Calc (Don’t Touch)'!$AA$2:$AX$151,$AI42,COLUMN()-COLUMN($J$16)+1)&gt;0,OR($D42="03. UX Discovery",$D42="04. UX Design")),IF(AND($H42&lt;&gt;"",$H42&lt;=EOMONTH(N$12,0),$I42&gt;=N$12),"UX+DEV","UX"),IF(AND($H42&lt;&gt;"",$H42&lt;=EOMONTH(N$12,0),$I42&gt;=N$12),"DEV",""))))</f>
      </c>
      <c r="O42" s="158" t="str">
        <f>IF($AI42="","",IF(AND($AN42&lt;&gt;"",$AN42&lt;=EOMONTH(O$12,0),$AO42&gt;=O$12),IF(AND(INDEX('Roadmap Calc (Don’t Touch)'!$AA$2:$AX$151,$AI42,COLUMN()-COLUMN($J$16)+1)&gt;0,OR($D42="03. UX Discovery",$D42="04. UX Design")),IF(AND($H42&lt;&gt;"",$H42&lt;=EOMONTH(O$12,0),$I42&gt;=O$12),"ALL","PD+UX"),IF(AND($H42&lt;&gt;"",$H42&lt;=EOMONTH(O$12,0),$I42&gt;=O$12),"PD+DEV","PD")),IF(AND(INDEX('Roadmap Calc (Don’t Touch)'!$AA$2:$AX$151,$AI42,COLUMN()-COLUMN($J$16)+1)&gt;0,OR($D42="03. UX Discovery",$D42="04. UX Design")),IF(AND($H42&lt;&gt;"",$H42&lt;=EOMONTH(O$12,0),$I42&gt;=O$12),"UX+DEV","UX"),IF(AND($H42&lt;&gt;"",$H42&lt;=EOMONTH(O$12,0),$I42&gt;=O$12),"DEV",""))))</f>
      </c>
      <c r="P42" s="158" t="str">
        <f>IF($AI42="","",IF(AND($AN42&lt;&gt;"",$AN42&lt;=EOMONTH(P$12,0),$AO42&gt;=P$12),IF(AND(INDEX('Roadmap Calc (Don’t Touch)'!$AA$2:$AX$151,$AI42,COLUMN()-COLUMN($J$16)+1)&gt;0,OR($D42="03. UX Discovery",$D42="04. UX Design")),IF(AND($H42&lt;&gt;"",$H42&lt;=EOMONTH(P$12,0),$I42&gt;=P$12),"ALL","PD+UX"),IF(AND($H42&lt;&gt;"",$H42&lt;=EOMONTH(P$12,0),$I42&gt;=P$12),"PD+DEV","PD")),IF(AND(INDEX('Roadmap Calc (Don’t Touch)'!$AA$2:$AX$151,$AI42,COLUMN()-COLUMN($J$16)+1)&gt;0,OR($D42="03. UX Discovery",$D42="04. UX Design")),IF(AND($H42&lt;&gt;"",$H42&lt;=EOMONTH(P$12,0),$I42&gt;=P$12),"UX+DEV","UX"),IF(AND($H42&lt;&gt;"",$H42&lt;=EOMONTH(P$12,0),$I42&gt;=P$12),"DEV",""))))</f>
      </c>
      <c r="Q42" s="158" t="str">
        <f>IF($AI42="","",IF(AND($AN42&lt;&gt;"",$AN42&lt;=EOMONTH(Q$12,0),$AO42&gt;=Q$12),IF(AND(INDEX('Roadmap Calc (Don’t Touch)'!$AA$2:$AX$151,$AI42,COLUMN()-COLUMN($J$16)+1)&gt;0,OR($D42="03. UX Discovery",$D42="04. UX Design")),IF(AND($H42&lt;&gt;"",$H42&lt;=EOMONTH(Q$12,0),$I42&gt;=Q$12),"ALL","PD+UX"),IF(AND($H42&lt;&gt;"",$H42&lt;=EOMONTH(Q$12,0),$I42&gt;=Q$12),"PD+DEV","PD")),IF(AND(INDEX('Roadmap Calc (Don’t Touch)'!$AA$2:$AX$151,$AI42,COLUMN()-COLUMN($J$16)+1)&gt;0,OR($D42="03. UX Discovery",$D42="04. UX Design")),IF(AND($H42&lt;&gt;"",$H42&lt;=EOMONTH(Q$12,0),$I42&gt;=Q$12),"UX+DEV","UX"),IF(AND($H42&lt;&gt;"",$H42&lt;=EOMONTH(Q$12,0),$I42&gt;=Q$12),"DEV",""))))</f>
      </c>
      <c r="R42" s="158" t="str">
        <f>IF($AI42="","",IF(AND($AN42&lt;&gt;"",$AN42&lt;=EOMONTH(R$12,0),$AO42&gt;=R$12),IF(AND(INDEX('Roadmap Calc (Don’t Touch)'!$AA$2:$AX$151,$AI42,COLUMN()-COLUMN($J$16)+1)&gt;0,OR($D42="03. UX Discovery",$D42="04. UX Design")),IF(AND($H42&lt;&gt;"",$H42&lt;=EOMONTH(R$12,0),$I42&gt;=R$12),"ALL","PD+UX"),IF(AND($H42&lt;&gt;"",$H42&lt;=EOMONTH(R$12,0),$I42&gt;=R$12),"PD+DEV","PD")),IF(AND(INDEX('Roadmap Calc (Don’t Touch)'!$AA$2:$AX$151,$AI42,COLUMN()-COLUMN($J$16)+1)&gt;0,OR($D42="03. UX Discovery",$D42="04. UX Design")),IF(AND($H42&lt;&gt;"",$H42&lt;=EOMONTH(R$12,0),$I42&gt;=R$12),"UX+DEV","UX"),IF(AND($H42&lt;&gt;"",$H42&lt;=EOMONTH(R$12,0),$I42&gt;=R$12),"DEV",""))))</f>
      </c>
      <c r="S42" s="158" t="str">
        <f>IF($AI42="","",IF(AND($AN42&lt;&gt;"",$AN42&lt;=EOMONTH(S$12,0),$AO42&gt;=S$12),IF(AND(INDEX('Roadmap Calc (Don’t Touch)'!$AA$2:$AX$151,$AI42,COLUMN()-COLUMN($J$16)+1)&gt;0,OR($D42="03. UX Discovery",$D42="04. UX Design")),IF(AND($H42&lt;&gt;"",$H42&lt;=EOMONTH(S$12,0),$I42&gt;=S$12),"ALL","PD+UX"),IF(AND($H42&lt;&gt;"",$H42&lt;=EOMONTH(S$12,0),$I42&gt;=S$12),"PD+DEV","PD")),IF(AND(INDEX('Roadmap Calc (Don’t Touch)'!$AA$2:$AX$151,$AI42,COLUMN()-COLUMN($J$16)+1)&gt;0,OR($D42="03. UX Discovery",$D42="04. UX Design")),IF(AND($H42&lt;&gt;"",$H42&lt;=EOMONTH(S$12,0),$I42&gt;=S$12),"UX+DEV","UX"),IF(AND($H42&lt;&gt;"",$H42&lt;=EOMONTH(S$12,0),$I42&gt;=S$12),"DEV",""))))</f>
      </c>
      <c r="T42" s="158" t="str">
        <f>IF($AI42="","",IF(AND($AN42&lt;&gt;"",$AN42&lt;=EOMONTH(T$12,0),$AO42&gt;=T$12),IF(AND(INDEX('Roadmap Calc (Don’t Touch)'!$AA$2:$AX$151,$AI42,COLUMN()-COLUMN($J$16)+1)&gt;0,OR($D42="03. UX Discovery",$D42="04. UX Design")),IF(AND($H42&lt;&gt;"",$H42&lt;=EOMONTH(T$12,0),$I42&gt;=T$12),"ALL","PD+UX"),IF(AND($H42&lt;&gt;"",$H42&lt;=EOMONTH(T$12,0),$I42&gt;=T$12),"PD+DEV","PD")),IF(AND(INDEX('Roadmap Calc (Don’t Touch)'!$AA$2:$AX$151,$AI42,COLUMN()-COLUMN($J$16)+1)&gt;0,OR($D42="03. UX Discovery",$D42="04. UX Design")),IF(AND($H42&lt;&gt;"",$H42&lt;=EOMONTH(T$12,0),$I42&gt;=T$12),"UX+DEV","UX"),IF(AND($H42&lt;&gt;"",$H42&lt;=EOMONTH(T$12,0),$I42&gt;=T$12),"DEV",""))))</f>
      </c>
      <c r="U42" s="158" t="str">
        <f>IF($AI42="","",IF(AND($AN42&lt;&gt;"",$AN42&lt;=EOMONTH(U$12,0),$AO42&gt;=U$12),IF(AND(INDEX('Roadmap Calc (Don’t Touch)'!$AA$2:$AX$151,$AI42,COLUMN()-COLUMN($J$16)+1)&gt;0,OR($D42="03. UX Discovery",$D42="04. UX Design")),IF(AND($H42&lt;&gt;"",$H42&lt;=EOMONTH(U$12,0),$I42&gt;=U$12),"ALL","PD+UX"),IF(AND($H42&lt;&gt;"",$H42&lt;=EOMONTH(U$12,0),$I42&gt;=U$12),"PD+DEV","PD")),IF(AND(INDEX('Roadmap Calc (Don’t Touch)'!$AA$2:$AX$151,$AI42,COLUMN()-COLUMN($J$16)+1)&gt;0,OR($D42="03. UX Discovery",$D42="04. UX Design")),IF(AND($H42&lt;&gt;"",$H42&lt;=EOMONTH(U$12,0),$I42&gt;=U$12),"UX+DEV","UX"),IF(AND($H42&lt;&gt;"",$H42&lt;=EOMONTH(U$12,0),$I42&gt;=U$12),"DEV",""))))</f>
      </c>
      <c r="V42" s="158" t="str">
        <f>IF($AI42="","",IF(AND($AN42&lt;&gt;"",$AN42&lt;=EOMONTH(V$12,0),$AO42&gt;=V$12),IF(AND(INDEX('Roadmap Calc (Don’t Touch)'!$AA$2:$AX$151,$AI42,COLUMN()-COLUMN($J$16)+1)&gt;0,OR($D42="03. UX Discovery",$D42="04. UX Design")),IF(AND($H42&lt;&gt;"",$H42&lt;=EOMONTH(V$12,0),$I42&gt;=V$12),"ALL","PD+UX"),IF(AND($H42&lt;&gt;"",$H42&lt;=EOMONTH(V$12,0),$I42&gt;=V$12),"PD+DEV","PD")),IF(AND(INDEX('Roadmap Calc (Don’t Touch)'!$AA$2:$AX$151,$AI42,COLUMN()-COLUMN($J$16)+1)&gt;0,OR($D42="03. UX Discovery",$D42="04. UX Design")),IF(AND($H42&lt;&gt;"",$H42&lt;=EOMONTH(V$12,0),$I42&gt;=V$12),"UX+DEV","UX"),IF(AND($H42&lt;&gt;"",$H42&lt;=EOMONTH(V$12,0),$I42&gt;=V$12),"DEV",""))))</f>
      </c>
      <c r="W42" s="158" t="str">
        <f>IF($AI42="","",IF(AND($AN42&lt;&gt;"",$AN42&lt;=EOMONTH(W$12,0),$AO42&gt;=W$12),IF(AND(INDEX('Roadmap Calc (Don’t Touch)'!$AA$2:$AX$151,$AI42,COLUMN()-COLUMN($J$16)+1)&gt;0,OR($D42="03. UX Discovery",$D42="04. UX Design")),IF(AND($H42&lt;&gt;"",$H42&lt;=EOMONTH(W$12,0),$I42&gt;=W$12),"ALL","PD+UX"),IF(AND($H42&lt;&gt;"",$H42&lt;=EOMONTH(W$12,0),$I42&gt;=W$12),"PD+DEV","PD")),IF(AND(INDEX('Roadmap Calc (Don’t Touch)'!$AA$2:$AX$151,$AI42,COLUMN()-COLUMN($J$16)+1)&gt;0,OR($D42="03. UX Discovery",$D42="04. UX Design")),IF(AND($H42&lt;&gt;"",$H42&lt;=EOMONTH(W$12,0),$I42&gt;=W$12),"UX+DEV","UX"),IF(AND($H42&lt;&gt;"",$H42&lt;=EOMONTH(W$12,0),$I42&gt;=W$12),"DEV",""))))</f>
      </c>
      <c r="X42" s="158" t="str">
        <f>IF($AI42="","",IF(AND($AN42&lt;&gt;"",$AN42&lt;=EOMONTH(X$12,0),$AO42&gt;=X$12),IF(AND(INDEX('Roadmap Calc (Don’t Touch)'!$AA$2:$AX$151,$AI42,COLUMN()-COLUMN($J$16)+1)&gt;0,OR($D42="03. UX Discovery",$D42="04. UX Design")),IF(AND($H42&lt;&gt;"",$H42&lt;=EOMONTH(X$12,0),$I42&gt;=X$12),"ALL","PD+UX"),IF(AND($H42&lt;&gt;"",$H42&lt;=EOMONTH(X$12,0),$I42&gt;=X$12),"PD+DEV","PD")),IF(AND(INDEX('Roadmap Calc (Don’t Touch)'!$AA$2:$AX$151,$AI42,COLUMN()-COLUMN($J$16)+1)&gt;0,OR($D42="03. UX Discovery",$D42="04. UX Design")),IF(AND($H42&lt;&gt;"",$H42&lt;=EOMONTH(X$12,0),$I42&gt;=X$12),"UX+DEV","UX"),IF(AND($H42&lt;&gt;"",$H42&lt;=EOMONTH(X$12,0),$I42&gt;=X$12),"DEV",""))))</f>
      </c>
      <c r="Y42" s="158" t="str">
        <f>IF($AI42="","",IF(AND($AN42&lt;&gt;"",$AN42&lt;=EOMONTH(Y$12,0),$AO42&gt;=Y$12),IF(AND(INDEX('Roadmap Calc (Don’t Touch)'!$AA$2:$AX$151,$AI42,COLUMN()-COLUMN($J$16)+1)&gt;0,OR($D42="03. UX Discovery",$D42="04. UX Design")),IF(AND($H42&lt;&gt;"",$H42&lt;=EOMONTH(Y$12,0),$I42&gt;=Y$12),"ALL","PD+UX"),IF(AND($H42&lt;&gt;"",$H42&lt;=EOMONTH(Y$12,0),$I42&gt;=Y$12),"PD+DEV","PD")),IF(AND(INDEX('Roadmap Calc (Don’t Touch)'!$AA$2:$AX$151,$AI42,COLUMN()-COLUMN($J$16)+1)&gt;0,OR($D42="03. UX Discovery",$D42="04. UX Design")),IF(AND($H42&lt;&gt;"",$H42&lt;=EOMONTH(Y$12,0),$I42&gt;=Y$12),"UX+DEV","UX"),IF(AND($H42&lt;&gt;"",$H42&lt;=EOMONTH(Y$12,0),$I42&gt;=Y$12),"DEV",""))))</f>
      </c>
      <c r="Z42" s="158" t="str">
        <f>IF($AI42="","",IF(AND($AN42&lt;&gt;"",$AN42&lt;=EOMONTH(Z$12,0),$AO42&gt;=Z$12),IF(AND(INDEX('Roadmap Calc (Don’t Touch)'!$AA$2:$AX$151,$AI42,COLUMN()-COLUMN($J$16)+1)&gt;0,OR($D42="03. UX Discovery",$D42="04. UX Design")),IF(AND($H42&lt;&gt;"",$H42&lt;=EOMONTH(Z$12,0),$I42&gt;=Z$12),"ALL","PD+UX"),IF(AND($H42&lt;&gt;"",$H42&lt;=EOMONTH(Z$12,0),$I42&gt;=Z$12),"PD+DEV","PD")),IF(AND(INDEX('Roadmap Calc (Don’t Touch)'!$AA$2:$AX$151,$AI42,COLUMN()-COLUMN($J$16)+1)&gt;0,OR($D42="03. UX Discovery",$D42="04. UX Design")),IF(AND($H42&lt;&gt;"",$H42&lt;=EOMONTH(Z$12,0),$I42&gt;=Z$12),"UX+DEV","UX"),IF(AND($H42&lt;&gt;"",$H42&lt;=EOMONTH(Z$12,0),$I42&gt;=Z$12),"DEV",""))))</f>
      </c>
      <c r="AA42" s="158" t="str">
        <f>IF($AI42="","",IF(AND($AN42&lt;&gt;"",$AN42&lt;=EOMONTH(AA$12,0),$AO42&gt;=AA$12),IF(AND(INDEX('Roadmap Calc (Don’t Touch)'!$AA$2:$AX$151,$AI42,COLUMN()-COLUMN($J$16)+1)&gt;0,OR($D42="03. UX Discovery",$D42="04. UX Design")),IF(AND($H42&lt;&gt;"",$H42&lt;=EOMONTH(AA$12,0),$I42&gt;=AA$12),"ALL","PD+UX"),IF(AND($H42&lt;&gt;"",$H42&lt;=EOMONTH(AA$12,0),$I42&gt;=AA$12),"PD+DEV","PD")),IF(AND(INDEX('Roadmap Calc (Don’t Touch)'!$AA$2:$AX$151,$AI42,COLUMN()-COLUMN($J$16)+1)&gt;0,OR($D42="03. UX Discovery",$D42="04. UX Design")),IF(AND($H42&lt;&gt;"",$H42&lt;=EOMONTH(AA$12,0),$I42&gt;=AA$12),"UX+DEV","UX"),IF(AND($H42&lt;&gt;"",$H42&lt;=EOMONTH(AA$12,0),$I42&gt;=AA$12),"DEV",""))))</f>
      </c>
      <c r="AB42" s="158" t="str">
        <f>IF($AI42="","",IF(AND($AN42&lt;&gt;"",$AN42&lt;=EOMONTH(AB$12,0),$AO42&gt;=AB$12),IF(AND(INDEX('Roadmap Calc (Don’t Touch)'!$AA$2:$AX$151,$AI42,COLUMN()-COLUMN($J$16)+1)&gt;0,OR($D42="03. UX Discovery",$D42="04. UX Design")),IF(AND($H42&lt;&gt;"",$H42&lt;=EOMONTH(AB$12,0),$I42&gt;=AB$12),"ALL","PD+UX"),IF(AND($H42&lt;&gt;"",$H42&lt;=EOMONTH(AB$12,0),$I42&gt;=AB$12),"PD+DEV","PD")),IF(AND(INDEX('Roadmap Calc (Don’t Touch)'!$AA$2:$AX$151,$AI42,COLUMN()-COLUMN($J$16)+1)&gt;0,OR($D42="03. UX Discovery",$D42="04. UX Design")),IF(AND($H42&lt;&gt;"",$H42&lt;=EOMONTH(AB$12,0),$I42&gt;=AB$12),"UX+DEV","UX"),IF(AND($H42&lt;&gt;"",$H42&lt;=EOMONTH(AB$12,0),$I42&gt;=AB$12),"DEV",""))))</f>
      </c>
      <c r="AC42" s="158" t="str">
        <f>IF($AI42="","",IF(AND($AN42&lt;&gt;"",$AN42&lt;=EOMONTH(AC$12,0),$AO42&gt;=AC$12),IF(AND(INDEX('Roadmap Calc (Don’t Touch)'!$AA$2:$AX$151,$AI42,COLUMN()-COLUMN($J$16)+1)&gt;0,OR($D42="03. UX Discovery",$D42="04. UX Design")),IF(AND($H42&lt;&gt;"",$H42&lt;=EOMONTH(AC$12,0),$I42&gt;=AC$12),"ALL","PD+UX"),IF(AND($H42&lt;&gt;"",$H42&lt;=EOMONTH(AC$12,0),$I42&gt;=AC$12),"PD+DEV","PD")),IF(AND(INDEX('Roadmap Calc (Don’t Touch)'!$AA$2:$AX$151,$AI42,COLUMN()-COLUMN($J$16)+1)&gt;0,OR($D42="03. UX Discovery",$D42="04. UX Design")),IF(AND($H42&lt;&gt;"",$H42&lt;=EOMONTH(AC$12,0),$I42&gt;=AC$12),"UX+DEV","UX"),IF(AND($H42&lt;&gt;"",$H42&lt;=EOMONTH(AC$12,0),$I42&gt;=AC$12),"DEV",""))))</f>
      </c>
      <c r="AD42" s="158" t="str">
        <f>IF($AI42="","",IF(AND($AN42&lt;&gt;"",$AN42&lt;=EOMONTH(AD$12,0),$AO42&gt;=AD$12),IF(AND(INDEX('Roadmap Calc (Don’t Touch)'!$AA$2:$AX$151,$AI42,COLUMN()-COLUMN($J$16)+1)&gt;0,OR($D42="03. UX Discovery",$D42="04. UX Design")),IF(AND($H42&lt;&gt;"",$H42&lt;=EOMONTH(AD$12,0),$I42&gt;=AD$12),"ALL","PD+UX"),IF(AND($H42&lt;&gt;"",$H42&lt;=EOMONTH(AD$12,0),$I42&gt;=AD$12),"PD+DEV","PD")),IF(AND(INDEX('Roadmap Calc (Don’t Touch)'!$AA$2:$AX$151,$AI42,COLUMN()-COLUMN($J$16)+1)&gt;0,OR($D42="03. UX Discovery",$D42="04. UX Design")),IF(AND($H42&lt;&gt;"",$H42&lt;=EOMONTH(AD$12,0),$I42&gt;=AD$12),"UX+DEV","UX"),IF(AND($H42&lt;&gt;"",$H42&lt;=EOMONTH(AD$12,0),$I42&gt;=AD$12),"DEV",""))))</f>
      </c>
      <c r="AE42" s="158" t="str">
        <f>IF($AI42="","",IF(AND($AN42&lt;&gt;"",$AN42&lt;=EOMONTH(AE$12,0),$AO42&gt;=AE$12),IF(AND(INDEX('Roadmap Calc (Don’t Touch)'!$AA$2:$AX$151,$AI42,COLUMN()-COLUMN($J$16)+1)&gt;0,OR($D42="03. UX Discovery",$D42="04. UX Design")),IF(AND($H42&lt;&gt;"",$H42&lt;=EOMONTH(AE$12,0),$I42&gt;=AE$12),"ALL","PD+UX"),IF(AND($H42&lt;&gt;"",$H42&lt;=EOMONTH(AE$12,0),$I42&gt;=AE$12),"PD+DEV","PD")),IF(AND(INDEX('Roadmap Calc (Don’t Touch)'!$AA$2:$AX$151,$AI42,COLUMN()-COLUMN($J$16)+1)&gt;0,OR($D42="03. UX Discovery",$D42="04. UX Design")),IF(AND($H42&lt;&gt;"",$H42&lt;=EOMONTH(AE$12,0),$I42&gt;=AE$12),"UX+DEV","UX"),IF(AND($H42&lt;&gt;"",$H42&lt;=EOMONTH(AE$12,0),$I42&gt;=AE$12),"DEV",""))))</f>
      </c>
      <c r="AF42" s="158" t="str">
        <f>IF($AI42="","",IF(AND($AN42&lt;&gt;"",$AN42&lt;=EOMONTH(AF$12,0),$AO42&gt;=AF$12),IF(AND(INDEX('Roadmap Calc (Don’t Touch)'!$AA$2:$AX$151,$AI42,COLUMN()-COLUMN($J$16)+1)&gt;0,OR($D42="03. UX Discovery",$D42="04. UX Design")),IF(AND($H42&lt;&gt;"",$H42&lt;=EOMONTH(AF$12,0),$I42&gt;=AF$12),"ALL","PD+UX"),IF(AND($H42&lt;&gt;"",$H42&lt;=EOMONTH(AF$12,0),$I42&gt;=AF$12),"PD+DEV","PD")),IF(AND(INDEX('Roadmap Calc (Don’t Touch)'!$AA$2:$AX$151,$AI42,COLUMN()-COLUMN($J$16)+1)&gt;0,OR($D42="03. UX Discovery",$D42="04. UX Design")),IF(AND($H42&lt;&gt;"",$H42&lt;=EOMONTH(AF$12,0),$I42&gt;=AF$12),"UX+DEV","UX"),IF(AND($H42&lt;&gt;"",$H42&lt;=EOMONTH(AF$12,0),$I42&gt;=AF$12),"DEV",""))))</f>
      </c>
      <c r="AG42" s="158" t="str">
        <f>IF($AI42="","",IF(AND($AN42&lt;&gt;"",$AN42&lt;=EOMONTH(AG$12,0),$AO42&gt;=AG$12),IF(AND(INDEX('Roadmap Calc (Don’t Touch)'!$AA$2:$AX$151,$AI42,COLUMN()-COLUMN($J$16)+1)&gt;0,OR($D42="03. UX Discovery",$D42="04. UX Design")),IF(AND($H42&lt;&gt;"",$H42&lt;=EOMONTH(AG$12,0),$I42&gt;=AG$12),"ALL","PD+UX"),IF(AND($H42&lt;&gt;"",$H42&lt;=EOMONTH(AG$12,0),$I42&gt;=AG$12),"PD+DEV","PD")),IF(AND(INDEX('Roadmap Calc (Don’t Touch)'!$AA$2:$AX$151,$AI42,COLUMN()-COLUMN($J$16)+1)&gt;0,OR($D42="03. UX Discovery",$D42="04. UX Design")),IF(AND($H42&lt;&gt;"",$H42&lt;=EOMONTH(AG$12,0),$I42&gt;=AG$12),"UX+DEV","UX"),IF(AND($H42&lt;&gt;"",$H42&lt;=EOMONTH(AG$12,0),$I42&gt;=AG$12),"DEV",""))))</f>
      </c>
      <c r="AH42" s="145" t="str">
        <f>IF($AI42="","",INDEX('Roadmap Calc (Don’t Touch)'!$D$2:$D$151,$AI42))</f>
        <v/>
      </c>
      <c r="AI42" s="145" t="str">
        <f>IFERROR(MATCH(27,'Roadmap Calc (Don’t Touch)'!$O$2:$O$151,0),"")</f>
        <v/>
      </c>
      <c r="AJ42" s="145"/>
      <c r="AK42" s="145"/>
      <c r="AL42" s="145"/>
      <c r="AM42" s="145"/>
      <c r="AN42">
        <f>IF($AI42="","",IF(ISNUMBER(INDEX('Roadmap Calc (Don’t Touch)'!$BB$2:$BB$151,$AI42)),INDEX('Roadmap Calc (Don’t Touch)'!$BB$2:$BB$151,$AI42),""))</f>
      </c>
      <c r="AO42">
        <f>IF($AI42="","",IF(ISNUMBER(INDEX('Roadmap Calc (Don’t Touch)'!$BC$2:$BC$151,$AI42)),INDEX('Roadmap Calc (Don’t Touch)'!$BC$2:$BC$151,$AI42),""))</f>
      </c>
    </row>
    <row r="43" spans="1:41" ht="20" customHeight="1" x14ac:dyDescent="0.25">
      <c r="A43" s="199" t="str">
        <f>IF($AI43="","",IF($AH43=$AH42,"",IF(INDEX('Roadmap Calc (Don’t Touch)'!$U$2:$U$151,$AI43)=0,$AH43,HYPERLINK("#'Control (Don’t Touch)'!E"&amp;INDEX('Roadmap Calc (Don’t Touch)'!$U$2:$U$151,$AI43),$AH43))))</f>
        <v/>
      </c>
      <c r="B43" s="159" t="str">
        <f>IF($AI43="","",IF(INDEX('Roadmap Calc (Don’t Touch)'!$K$2:$K$151,$AI43)="",INDEX('Roadmap Calc (Don’t Touch)'!$B$2:$B$151,$AI43),HYPERLINK("https://jira.bnh.com/browse/"&amp;INDEX('Roadmap Calc (Don’t Touch)'!$K$2:$K$151,$AI43),INDEX('Roadmap Calc (Don’t Touch)'!$B$2:$B$151,$AI43))))</f>
        <v/>
      </c>
      <c r="C43" s="159" t="str">
        <f>IF($AI43="","",IF(INDEX('Roadmap Calc (Don’t Touch)'!$E$2:$E$151,$AI43)="","",HYPERLINK("https://jira.bnh.com/browse/"&amp;INDEX('Roadmap Calc (Don’t Touch)'!$E$2:$E$151,$AI43),INDEX('Roadmap Calc (Don’t Touch)'!$E$2:$E$151,$AI43))))</f>
        <v/>
      </c>
      <c r="D43" s="161" t="str">
        <f>IF($AI43="","",INDEX('Roadmap Calc (Don’t Touch)'!$F$2:$F$151,$AI43))</f>
        <v/>
      </c>
      <c r="E43" s="155" t="str">
        <f>IF($AI43="","",IF(ISNUMBER(INDEX('Roadmap Calc (Don’t Touch)'!$G$2:$G$151,$AI43)),INDEX('Roadmap Calc (Don’t Touch)'!$G$2:$G$151,$AI43),""))</f>
        <v/>
      </c>
      <c r="F43" s="155" t="str">
        <f>IF($AI43="","",IF(ISNUMBER(INDEX('Roadmap Calc (Don’t Touch)'!$H$2:$H$151,$AI43)),INDEX('Roadmap Calc (Don’t Touch)'!$H$2:$H$151,$AI43),""))</f>
        <v/>
      </c>
      <c r="G43" s="156" t="str">
        <f>IF($AI43="","",INDEX('Roadmap Calc (Don’t Touch)'!$T$2:$T$151,$AI43))</f>
        <v/>
      </c>
      <c r="H43" s="157" t="str">
        <f>IF($AI43="","",IF(ISNUMBER(INDEX('Roadmap Calc (Don’t Touch)'!$I$2:$I$151,$AI43)),INDEX('Roadmap Calc (Don’t Touch)'!$I$2:$I$151,$AI43),""))</f>
        <v/>
      </c>
      <c r="I43" s="157" t="str">
        <f>IF($AI43="","",IF(ISNUMBER(INDEX('Roadmap Calc (Don’t Touch)'!$J$2:$J$151,$AI43)),INDEX('Roadmap Calc (Don’t Touch)'!$J$2:$J$151,$AI43),""))</f>
        <v/>
      </c>
      <c r="J43" s="158" t="str">
        <f>IF($AI43="","",IF(AND($AN43&lt;&gt;"",$AN43&lt;=EOMONTH(J$12,0),$AO43&gt;=J$12),IF(AND(INDEX('Roadmap Calc (Don’t Touch)'!$AA$2:$AX$151,$AI43,COLUMN()-COLUMN($J$16)+1)&gt;0,OR($D43="03. UX Discovery",$D43="04. UX Design")),IF(AND($H43&lt;&gt;"",$H43&lt;=EOMONTH(J$12,0),$I43&gt;=J$12),"ALL","PD+UX"),IF(AND($H43&lt;&gt;"",$H43&lt;=EOMONTH(J$12,0),$I43&gt;=J$12),"PD+DEV","PD")),IF(AND(INDEX('Roadmap Calc (Don’t Touch)'!$AA$2:$AX$151,$AI43,COLUMN()-COLUMN($J$16)+1)&gt;0,OR($D43="03. UX Discovery",$D43="04. UX Design")),IF(AND($H43&lt;&gt;"",$H43&lt;=EOMONTH(J$12,0),$I43&gt;=J$12),"UX+DEV","UX"),IF(AND($H43&lt;&gt;"",$H43&lt;=EOMONTH(J$12,0),$I43&gt;=J$12),"DEV",""))))</f>
      </c>
      <c r="K43" s="158" t="str">
        <f>IF($AI43="","",IF(AND($AN43&lt;&gt;"",$AN43&lt;=EOMONTH(K$12,0),$AO43&gt;=K$12),IF(AND(INDEX('Roadmap Calc (Don’t Touch)'!$AA$2:$AX$151,$AI43,COLUMN()-COLUMN($J$16)+1)&gt;0,OR($D43="03. UX Discovery",$D43="04. UX Design")),IF(AND($H43&lt;&gt;"",$H43&lt;=EOMONTH(K$12,0),$I43&gt;=K$12),"ALL","PD+UX"),IF(AND($H43&lt;&gt;"",$H43&lt;=EOMONTH(K$12,0),$I43&gt;=K$12),"PD+DEV","PD")),IF(AND(INDEX('Roadmap Calc (Don’t Touch)'!$AA$2:$AX$151,$AI43,COLUMN()-COLUMN($J$16)+1)&gt;0,OR($D43="03. UX Discovery",$D43="04. UX Design")),IF(AND($H43&lt;&gt;"",$H43&lt;=EOMONTH(K$12,0),$I43&gt;=K$12),"UX+DEV","UX"),IF(AND($H43&lt;&gt;"",$H43&lt;=EOMONTH(K$12,0),$I43&gt;=K$12),"DEV",""))))</f>
      </c>
      <c r="L43" s="158" t="str">
        <f>IF($AI43="","",IF(AND($AN43&lt;&gt;"",$AN43&lt;=EOMONTH(L$12,0),$AO43&gt;=L$12),IF(AND(INDEX('Roadmap Calc (Don’t Touch)'!$AA$2:$AX$151,$AI43,COLUMN()-COLUMN($J$16)+1)&gt;0,OR($D43="03. UX Discovery",$D43="04. UX Design")),IF(AND($H43&lt;&gt;"",$H43&lt;=EOMONTH(L$12,0),$I43&gt;=L$12),"ALL","PD+UX"),IF(AND($H43&lt;&gt;"",$H43&lt;=EOMONTH(L$12,0),$I43&gt;=L$12),"PD+DEV","PD")),IF(AND(INDEX('Roadmap Calc (Don’t Touch)'!$AA$2:$AX$151,$AI43,COLUMN()-COLUMN($J$16)+1)&gt;0,OR($D43="03. UX Discovery",$D43="04. UX Design")),IF(AND($H43&lt;&gt;"",$H43&lt;=EOMONTH(L$12,0),$I43&gt;=L$12),"UX+DEV","UX"),IF(AND($H43&lt;&gt;"",$H43&lt;=EOMONTH(L$12,0),$I43&gt;=L$12),"DEV",""))))</f>
      </c>
      <c r="M43" s="158" t="str">
        <f>IF($AI43="","",IF(AND($AN43&lt;&gt;"",$AN43&lt;=EOMONTH(M$12,0),$AO43&gt;=M$12),IF(AND(INDEX('Roadmap Calc (Don’t Touch)'!$AA$2:$AX$151,$AI43,COLUMN()-COLUMN($J$16)+1)&gt;0,OR($D43="03. UX Discovery",$D43="04. UX Design")),IF(AND($H43&lt;&gt;"",$H43&lt;=EOMONTH(M$12,0),$I43&gt;=M$12),"ALL","PD+UX"),IF(AND($H43&lt;&gt;"",$H43&lt;=EOMONTH(M$12,0),$I43&gt;=M$12),"PD+DEV","PD")),IF(AND(INDEX('Roadmap Calc (Don’t Touch)'!$AA$2:$AX$151,$AI43,COLUMN()-COLUMN($J$16)+1)&gt;0,OR($D43="03. UX Discovery",$D43="04. UX Design")),IF(AND($H43&lt;&gt;"",$H43&lt;=EOMONTH(M$12,0),$I43&gt;=M$12),"UX+DEV","UX"),IF(AND($H43&lt;&gt;"",$H43&lt;=EOMONTH(M$12,0),$I43&gt;=M$12),"DEV",""))))</f>
      </c>
      <c r="N43" s="158" t="str">
        <f>IF($AI43="","",IF(AND($AN43&lt;&gt;"",$AN43&lt;=EOMONTH(N$12,0),$AO43&gt;=N$12),IF(AND(INDEX('Roadmap Calc (Don’t Touch)'!$AA$2:$AX$151,$AI43,COLUMN()-COLUMN($J$16)+1)&gt;0,OR($D43="03. UX Discovery",$D43="04. UX Design")),IF(AND($H43&lt;&gt;"",$H43&lt;=EOMONTH(N$12,0),$I43&gt;=N$12),"ALL","PD+UX"),IF(AND($H43&lt;&gt;"",$H43&lt;=EOMONTH(N$12,0),$I43&gt;=N$12),"PD+DEV","PD")),IF(AND(INDEX('Roadmap Calc (Don’t Touch)'!$AA$2:$AX$151,$AI43,COLUMN()-COLUMN($J$16)+1)&gt;0,OR($D43="03. UX Discovery",$D43="04. UX Design")),IF(AND($H43&lt;&gt;"",$H43&lt;=EOMONTH(N$12,0),$I43&gt;=N$12),"UX+DEV","UX"),IF(AND($H43&lt;&gt;"",$H43&lt;=EOMONTH(N$12,0),$I43&gt;=N$12),"DEV",""))))</f>
      </c>
      <c r="O43" s="158" t="str">
        <f>IF($AI43="","",IF(AND($AN43&lt;&gt;"",$AN43&lt;=EOMONTH(O$12,0),$AO43&gt;=O$12),IF(AND(INDEX('Roadmap Calc (Don’t Touch)'!$AA$2:$AX$151,$AI43,COLUMN()-COLUMN($J$16)+1)&gt;0,OR($D43="03. UX Discovery",$D43="04. UX Design")),IF(AND($H43&lt;&gt;"",$H43&lt;=EOMONTH(O$12,0),$I43&gt;=O$12),"ALL","PD+UX"),IF(AND($H43&lt;&gt;"",$H43&lt;=EOMONTH(O$12,0),$I43&gt;=O$12),"PD+DEV","PD")),IF(AND(INDEX('Roadmap Calc (Don’t Touch)'!$AA$2:$AX$151,$AI43,COLUMN()-COLUMN($J$16)+1)&gt;0,OR($D43="03. UX Discovery",$D43="04. UX Design")),IF(AND($H43&lt;&gt;"",$H43&lt;=EOMONTH(O$12,0),$I43&gt;=O$12),"UX+DEV","UX"),IF(AND($H43&lt;&gt;"",$H43&lt;=EOMONTH(O$12,0),$I43&gt;=O$12),"DEV",""))))</f>
      </c>
      <c r="P43" s="158" t="str">
        <f>IF($AI43="","",IF(AND($AN43&lt;&gt;"",$AN43&lt;=EOMONTH(P$12,0),$AO43&gt;=P$12),IF(AND(INDEX('Roadmap Calc (Don’t Touch)'!$AA$2:$AX$151,$AI43,COLUMN()-COLUMN($J$16)+1)&gt;0,OR($D43="03. UX Discovery",$D43="04. UX Design")),IF(AND($H43&lt;&gt;"",$H43&lt;=EOMONTH(P$12,0),$I43&gt;=P$12),"ALL","PD+UX"),IF(AND($H43&lt;&gt;"",$H43&lt;=EOMONTH(P$12,0),$I43&gt;=P$12),"PD+DEV","PD")),IF(AND(INDEX('Roadmap Calc (Don’t Touch)'!$AA$2:$AX$151,$AI43,COLUMN()-COLUMN($J$16)+1)&gt;0,OR($D43="03. UX Discovery",$D43="04. UX Design")),IF(AND($H43&lt;&gt;"",$H43&lt;=EOMONTH(P$12,0),$I43&gt;=P$12),"UX+DEV","UX"),IF(AND($H43&lt;&gt;"",$H43&lt;=EOMONTH(P$12,0),$I43&gt;=P$12),"DEV",""))))</f>
      </c>
      <c r="Q43" s="158" t="str">
        <f>IF($AI43="","",IF(AND($AN43&lt;&gt;"",$AN43&lt;=EOMONTH(Q$12,0),$AO43&gt;=Q$12),IF(AND(INDEX('Roadmap Calc (Don’t Touch)'!$AA$2:$AX$151,$AI43,COLUMN()-COLUMN($J$16)+1)&gt;0,OR($D43="03. UX Discovery",$D43="04. UX Design")),IF(AND($H43&lt;&gt;"",$H43&lt;=EOMONTH(Q$12,0),$I43&gt;=Q$12),"ALL","PD+UX"),IF(AND($H43&lt;&gt;"",$H43&lt;=EOMONTH(Q$12,0),$I43&gt;=Q$12),"PD+DEV","PD")),IF(AND(INDEX('Roadmap Calc (Don’t Touch)'!$AA$2:$AX$151,$AI43,COLUMN()-COLUMN($J$16)+1)&gt;0,OR($D43="03. UX Discovery",$D43="04. UX Design")),IF(AND($H43&lt;&gt;"",$H43&lt;=EOMONTH(Q$12,0),$I43&gt;=Q$12),"UX+DEV","UX"),IF(AND($H43&lt;&gt;"",$H43&lt;=EOMONTH(Q$12,0),$I43&gt;=Q$12),"DEV",""))))</f>
      </c>
      <c r="R43" s="158" t="str">
        <f>IF($AI43="","",IF(AND($AN43&lt;&gt;"",$AN43&lt;=EOMONTH(R$12,0),$AO43&gt;=R$12),IF(AND(INDEX('Roadmap Calc (Don’t Touch)'!$AA$2:$AX$151,$AI43,COLUMN()-COLUMN($J$16)+1)&gt;0,OR($D43="03. UX Discovery",$D43="04. UX Design")),IF(AND($H43&lt;&gt;"",$H43&lt;=EOMONTH(R$12,0),$I43&gt;=R$12),"ALL","PD+UX"),IF(AND($H43&lt;&gt;"",$H43&lt;=EOMONTH(R$12,0),$I43&gt;=R$12),"PD+DEV","PD")),IF(AND(INDEX('Roadmap Calc (Don’t Touch)'!$AA$2:$AX$151,$AI43,COLUMN()-COLUMN($J$16)+1)&gt;0,OR($D43="03. UX Discovery",$D43="04. UX Design")),IF(AND($H43&lt;&gt;"",$H43&lt;=EOMONTH(R$12,0),$I43&gt;=R$12),"UX+DEV","UX"),IF(AND($H43&lt;&gt;"",$H43&lt;=EOMONTH(R$12,0),$I43&gt;=R$12),"DEV",""))))</f>
      </c>
      <c r="S43" s="158" t="str">
        <f>IF($AI43="","",IF(AND($AN43&lt;&gt;"",$AN43&lt;=EOMONTH(S$12,0),$AO43&gt;=S$12),IF(AND(INDEX('Roadmap Calc (Don’t Touch)'!$AA$2:$AX$151,$AI43,COLUMN()-COLUMN($J$16)+1)&gt;0,OR($D43="03. UX Discovery",$D43="04. UX Design")),IF(AND($H43&lt;&gt;"",$H43&lt;=EOMONTH(S$12,0),$I43&gt;=S$12),"ALL","PD+UX"),IF(AND($H43&lt;&gt;"",$H43&lt;=EOMONTH(S$12,0),$I43&gt;=S$12),"PD+DEV","PD")),IF(AND(INDEX('Roadmap Calc (Don’t Touch)'!$AA$2:$AX$151,$AI43,COLUMN()-COLUMN($J$16)+1)&gt;0,OR($D43="03. UX Discovery",$D43="04. UX Design")),IF(AND($H43&lt;&gt;"",$H43&lt;=EOMONTH(S$12,0),$I43&gt;=S$12),"UX+DEV","UX"),IF(AND($H43&lt;&gt;"",$H43&lt;=EOMONTH(S$12,0),$I43&gt;=S$12),"DEV",""))))</f>
      </c>
      <c r="T43" s="158" t="str">
        <f>IF($AI43="","",IF(AND($AN43&lt;&gt;"",$AN43&lt;=EOMONTH(T$12,0),$AO43&gt;=T$12),IF(AND(INDEX('Roadmap Calc (Don’t Touch)'!$AA$2:$AX$151,$AI43,COLUMN()-COLUMN($J$16)+1)&gt;0,OR($D43="03. UX Discovery",$D43="04. UX Design")),IF(AND($H43&lt;&gt;"",$H43&lt;=EOMONTH(T$12,0),$I43&gt;=T$12),"ALL","PD+UX"),IF(AND($H43&lt;&gt;"",$H43&lt;=EOMONTH(T$12,0),$I43&gt;=T$12),"PD+DEV","PD")),IF(AND(INDEX('Roadmap Calc (Don’t Touch)'!$AA$2:$AX$151,$AI43,COLUMN()-COLUMN($J$16)+1)&gt;0,OR($D43="03. UX Discovery",$D43="04. UX Design")),IF(AND($H43&lt;&gt;"",$H43&lt;=EOMONTH(T$12,0),$I43&gt;=T$12),"UX+DEV","UX"),IF(AND($H43&lt;&gt;"",$H43&lt;=EOMONTH(T$12,0),$I43&gt;=T$12),"DEV",""))))</f>
      </c>
      <c r="U43" s="158" t="str">
        <f>IF($AI43="","",IF(AND($AN43&lt;&gt;"",$AN43&lt;=EOMONTH(U$12,0),$AO43&gt;=U$12),IF(AND(INDEX('Roadmap Calc (Don’t Touch)'!$AA$2:$AX$151,$AI43,COLUMN()-COLUMN($J$16)+1)&gt;0,OR($D43="03. UX Discovery",$D43="04. UX Design")),IF(AND($H43&lt;&gt;"",$H43&lt;=EOMONTH(U$12,0),$I43&gt;=U$12),"ALL","PD+UX"),IF(AND($H43&lt;&gt;"",$H43&lt;=EOMONTH(U$12,0),$I43&gt;=U$12),"PD+DEV","PD")),IF(AND(INDEX('Roadmap Calc (Don’t Touch)'!$AA$2:$AX$151,$AI43,COLUMN()-COLUMN($J$16)+1)&gt;0,OR($D43="03. UX Discovery",$D43="04. UX Design")),IF(AND($H43&lt;&gt;"",$H43&lt;=EOMONTH(U$12,0),$I43&gt;=U$12),"UX+DEV","UX"),IF(AND($H43&lt;&gt;"",$H43&lt;=EOMONTH(U$12,0),$I43&gt;=U$12),"DEV",""))))</f>
      </c>
      <c r="V43" s="158" t="str">
        <f>IF($AI43="","",IF(AND($AN43&lt;&gt;"",$AN43&lt;=EOMONTH(V$12,0),$AO43&gt;=V$12),IF(AND(INDEX('Roadmap Calc (Don’t Touch)'!$AA$2:$AX$151,$AI43,COLUMN()-COLUMN($J$16)+1)&gt;0,OR($D43="03. UX Discovery",$D43="04. UX Design")),IF(AND($H43&lt;&gt;"",$H43&lt;=EOMONTH(V$12,0),$I43&gt;=V$12),"ALL","PD+UX"),IF(AND($H43&lt;&gt;"",$H43&lt;=EOMONTH(V$12,0),$I43&gt;=V$12),"PD+DEV","PD")),IF(AND(INDEX('Roadmap Calc (Don’t Touch)'!$AA$2:$AX$151,$AI43,COLUMN()-COLUMN($J$16)+1)&gt;0,OR($D43="03. UX Discovery",$D43="04. UX Design")),IF(AND($H43&lt;&gt;"",$H43&lt;=EOMONTH(V$12,0),$I43&gt;=V$12),"UX+DEV","UX"),IF(AND($H43&lt;&gt;"",$H43&lt;=EOMONTH(V$12,0),$I43&gt;=V$12),"DEV",""))))</f>
      </c>
      <c r="W43" s="158" t="str">
        <f>IF($AI43="","",IF(AND($AN43&lt;&gt;"",$AN43&lt;=EOMONTH(W$12,0),$AO43&gt;=W$12),IF(AND(INDEX('Roadmap Calc (Don’t Touch)'!$AA$2:$AX$151,$AI43,COLUMN()-COLUMN($J$16)+1)&gt;0,OR($D43="03. UX Discovery",$D43="04. UX Design")),IF(AND($H43&lt;&gt;"",$H43&lt;=EOMONTH(W$12,0),$I43&gt;=W$12),"ALL","PD+UX"),IF(AND($H43&lt;&gt;"",$H43&lt;=EOMONTH(W$12,0),$I43&gt;=W$12),"PD+DEV","PD")),IF(AND(INDEX('Roadmap Calc (Don’t Touch)'!$AA$2:$AX$151,$AI43,COLUMN()-COLUMN($J$16)+1)&gt;0,OR($D43="03. UX Discovery",$D43="04. UX Design")),IF(AND($H43&lt;&gt;"",$H43&lt;=EOMONTH(W$12,0),$I43&gt;=W$12),"UX+DEV","UX"),IF(AND($H43&lt;&gt;"",$H43&lt;=EOMONTH(W$12,0),$I43&gt;=W$12),"DEV",""))))</f>
      </c>
      <c r="X43" s="158" t="str">
        <f>IF($AI43="","",IF(AND($AN43&lt;&gt;"",$AN43&lt;=EOMONTH(X$12,0),$AO43&gt;=X$12),IF(AND(INDEX('Roadmap Calc (Don’t Touch)'!$AA$2:$AX$151,$AI43,COLUMN()-COLUMN($J$16)+1)&gt;0,OR($D43="03. UX Discovery",$D43="04. UX Design")),IF(AND($H43&lt;&gt;"",$H43&lt;=EOMONTH(X$12,0),$I43&gt;=X$12),"ALL","PD+UX"),IF(AND($H43&lt;&gt;"",$H43&lt;=EOMONTH(X$12,0),$I43&gt;=X$12),"PD+DEV","PD")),IF(AND(INDEX('Roadmap Calc (Don’t Touch)'!$AA$2:$AX$151,$AI43,COLUMN()-COLUMN($J$16)+1)&gt;0,OR($D43="03. UX Discovery",$D43="04. UX Design")),IF(AND($H43&lt;&gt;"",$H43&lt;=EOMONTH(X$12,0),$I43&gt;=X$12),"UX+DEV","UX"),IF(AND($H43&lt;&gt;"",$H43&lt;=EOMONTH(X$12,0),$I43&gt;=X$12),"DEV",""))))</f>
      </c>
      <c r="Y43" s="158" t="str">
        <f>IF($AI43="","",IF(AND($AN43&lt;&gt;"",$AN43&lt;=EOMONTH(Y$12,0),$AO43&gt;=Y$12),IF(AND(INDEX('Roadmap Calc (Don’t Touch)'!$AA$2:$AX$151,$AI43,COLUMN()-COLUMN($J$16)+1)&gt;0,OR($D43="03. UX Discovery",$D43="04. UX Design")),IF(AND($H43&lt;&gt;"",$H43&lt;=EOMONTH(Y$12,0),$I43&gt;=Y$12),"ALL","PD+UX"),IF(AND($H43&lt;&gt;"",$H43&lt;=EOMONTH(Y$12,0),$I43&gt;=Y$12),"PD+DEV","PD")),IF(AND(INDEX('Roadmap Calc (Don’t Touch)'!$AA$2:$AX$151,$AI43,COLUMN()-COLUMN($J$16)+1)&gt;0,OR($D43="03. UX Discovery",$D43="04. UX Design")),IF(AND($H43&lt;&gt;"",$H43&lt;=EOMONTH(Y$12,0),$I43&gt;=Y$12),"UX+DEV","UX"),IF(AND($H43&lt;&gt;"",$H43&lt;=EOMONTH(Y$12,0),$I43&gt;=Y$12),"DEV",""))))</f>
      </c>
      <c r="Z43" s="158" t="str">
        <f>IF($AI43="","",IF(AND($AN43&lt;&gt;"",$AN43&lt;=EOMONTH(Z$12,0),$AO43&gt;=Z$12),IF(AND(INDEX('Roadmap Calc (Don’t Touch)'!$AA$2:$AX$151,$AI43,COLUMN()-COLUMN($J$16)+1)&gt;0,OR($D43="03. UX Discovery",$D43="04. UX Design")),IF(AND($H43&lt;&gt;"",$H43&lt;=EOMONTH(Z$12,0),$I43&gt;=Z$12),"ALL","PD+UX"),IF(AND($H43&lt;&gt;"",$H43&lt;=EOMONTH(Z$12,0),$I43&gt;=Z$12),"PD+DEV","PD")),IF(AND(INDEX('Roadmap Calc (Don’t Touch)'!$AA$2:$AX$151,$AI43,COLUMN()-COLUMN($J$16)+1)&gt;0,OR($D43="03. UX Discovery",$D43="04. UX Design")),IF(AND($H43&lt;&gt;"",$H43&lt;=EOMONTH(Z$12,0),$I43&gt;=Z$12),"UX+DEV","UX"),IF(AND($H43&lt;&gt;"",$H43&lt;=EOMONTH(Z$12,0),$I43&gt;=Z$12),"DEV",""))))</f>
      </c>
      <c r="AA43" s="158" t="str">
        <f>IF($AI43="","",IF(AND($AN43&lt;&gt;"",$AN43&lt;=EOMONTH(AA$12,0),$AO43&gt;=AA$12),IF(AND(INDEX('Roadmap Calc (Don’t Touch)'!$AA$2:$AX$151,$AI43,COLUMN()-COLUMN($J$16)+1)&gt;0,OR($D43="03. UX Discovery",$D43="04. UX Design")),IF(AND($H43&lt;&gt;"",$H43&lt;=EOMONTH(AA$12,0),$I43&gt;=AA$12),"ALL","PD+UX"),IF(AND($H43&lt;&gt;"",$H43&lt;=EOMONTH(AA$12,0),$I43&gt;=AA$12),"PD+DEV","PD")),IF(AND(INDEX('Roadmap Calc (Don’t Touch)'!$AA$2:$AX$151,$AI43,COLUMN()-COLUMN($J$16)+1)&gt;0,OR($D43="03. UX Discovery",$D43="04. UX Design")),IF(AND($H43&lt;&gt;"",$H43&lt;=EOMONTH(AA$12,0),$I43&gt;=AA$12),"UX+DEV","UX"),IF(AND($H43&lt;&gt;"",$H43&lt;=EOMONTH(AA$12,0),$I43&gt;=AA$12),"DEV",""))))</f>
      </c>
      <c r="AB43" s="158" t="str">
        <f>IF($AI43="","",IF(AND($AN43&lt;&gt;"",$AN43&lt;=EOMONTH(AB$12,0),$AO43&gt;=AB$12),IF(AND(INDEX('Roadmap Calc (Don’t Touch)'!$AA$2:$AX$151,$AI43,COLUMN()-COLUMN($J$16)+1)&gt;0,OR($D43="03. UX Discovery",$D43="04. UX Design")),IF(AND($H43&lt;&gt;"",$H43&lt;=EOMONTH(AB$12,0),$I43&gt;=AB$12),"ALL","PD+UX"),IF(AND($H43&lt;&gt;"",$H43&lt;=EOMONTH(AB$12,0),$I43&gt;=AB$12),"PD+DEV","PD")),IF(AND(INDEX('Roadmap Calc (Don’t Touch)'!$AA$2:$AX$151,$AI43,COLUMN()-COLUMN($J$16)+1)&gt;0,OR($D43="03. UX Discovery",$D43="04. UX Design")),IF(AND($H43&lt;&gt;"",$H43&lt;=EOMONTH(AB$12,0),$I43&gt;=AB$12),"UX+DEV","UX"),IF(AND($H43&lt;&gt;"",$H43&lt;=EOMONTH(AB$12,0),$I43&gt;=AB$12),"DEV",""))))</f>
      </c>
      <c r="AC43" s="158" t="str">
        <f>IF($AI43="","",IF(AND($AN43&lt;&gt;"",$AN43&lt;=EOMONTH(AC$12,0),$AO43&gt;=AC$12),IF(AND(INDEX('Roadmap Calc (Don’t Touch)'!$AA$2:$AX$151,$AI43,COLUMN()-COLUMN($J$16)+1)&gt;0,OR($D43="03. UX Discovery",$D43="04. UX Design")),IF(AND($H43&lt;&gt;"",$H43&lt;=EOMONTH(AC$12,0),$I43&gt;=AC$12),"ALL","PD+UX"),IF(AND($H43&lt;&gt;"",$H43&lt;=EOMONTH(AC$12,0),$I43&gt;=AC$12),"PD+DEV","PD")),IF(AND(INDEX('Roadmap Calc (Don’t Touch)'!$AA$2:$AX$151,$AI43,COLUMN()-COLUMN($J$16)+1)&gt;0,OR($D43="03. UX Discovery",$D43="04. UX Design")),IF(AND($H43&lt;&gt;"",$H43&lt;=EOMONTH(AC$12,0),$I43&gt;=AC$12),"UX+DEV","UX"),IF(AND($H43&lt;&gt;"",$H43&lt;=EOMONTH(AC$12,0),$I43&gt;=AC$12),"DEV",""))))</f>
      </c>
      <c r="AD43" s="158" t="str">
        <f>IF($AI43="","",IF(AND($AN43&lt;&gt;"",$AN43&lt;=EOMONTH(AD$12,0),$AO43&gt;=AD$12),IF(AND(INDEX('Roadmap Calc (Don’t Touch)'!$AA$2:$AX$151,$AI43,COLUMN()-COLUMN($J$16)+1)&gt;0,OR($D43="03. UX Discovery",$D43="04. UX Design")),IF(AND($H43&lt;&gt;"",$H43&lt;=EOMONTH(AD$12,0),$I43&gt;=AD$12),"ALL","PD+UX"),IF(AND($H43&lt;&gt;"",$H43&lt;=EOMONTH(AD$12,0),$I43&gt;=AD$12),"PD+DEV","PD")),IF(AND(INDEX('Roadmap Calc (Don’t Touch)'!$AA$2:$AX$151,$AI43,COLUMN()-COLUMN($J$16)+1)&gt;0,OR($D43="03. UX Discovery",$D43="04. UX Design")),IF(AND($H43&lt;&gt;"",$H43&lt;=EOMONTH(AD$12,0),$I43&gt;=AD$12),"UX+DEV","UX"),IF(AND($H43&lt;&gt;"",$H43&lt;=EOMONTH(AD$12,0),$I43&gt;=AD$12),"DEV",""))))</f>
      </c>
      <c r="AE43" s="158" t="str">
        <f>IF($AI43="","",IF(AND($AN43&lt;&gt;"",$AN43&lt;=EOMONTH(AE$12,0),$AO43&gt;=AE$12),IF(AND(INDEX('Roadmap Calc (Don’t Touch)'!$AA$2:$AX$151,$AI43,COLUMN()-COLUMN($J$16)+1)&gt;0,OR($D43="03. UX Discovery",$D43="04. UX Design")),IF(AND($H43&lt;&gt;"",$H43&lt;=EOMONTH(AE$12,0),$I43&gt;=AE$12),"ALL","PD+UX"),IF(AND($H43&lt;&gt;"",$H43&lt;=EOMONTH(AE$12,0),$I43&gt;=AE$12),"PD+DEV","PD")),IF(AND(INDEX('Roadmap Calc (Don’t Touch)'!$AA$2:$AX$151,$AI43,COLUMN()-COLUMN($J$16)+1)&gt;0,OR($D43="03. UX Discovery",$D43="04. UX Design")),IF(AND($H43&lt;&gt;"",$H43&lt;=EOMONTH(AE$12,0),$I43&gt;=AE$12),"UX+DEV","UX"),IF(AND($H43&lt;&gt;"",$H43&lt;=EOMONTH(AE$12,0),$I43&gt;=AE$12),"DEV",""))))</f>
      </c>
      <c r="AF43" s="158" t="str">
        <f>IF($AI43="","",IF(AND($AN43&lt;&gt;"",$AN43&lt;=EOMONTH(AF$12,0),$AO43&gt;=AF$12),IF(AND(INDEX('Roadmap Calc (Don’t Touch)'!$AA$2:$AX$151,$AI43,COLUMN()-COLUMN($J$16)+1)&gt;0,OR($D43="03. UX Discovery",$D43="04. UX Design")),IF(AND($H43&lt;&gt;"",$H43&lt;=EOMONTH(AF$12,0),$I43&gt;=AF$12),"ALL","PD+UX"),IF(AND($H43&lt;&gt;"",$H43&lt;=EOMONTH(AF$12,0),$I43&gt;=AF$12),"PD+DEV","PD")),IF(AND(INDEX('Roadmap Calc (Don’t Touch)'!$AA$2:$AX$151,$AI43,COLUMN()-COLUMN($J$16)+1)&gt;0,OR($D43="03. UX Discovery",$D43="04. UX Design")),IF(AND($H43&lt;&gt;"",$H43&lt;=EOMONTH(AF$12,0),$I43&gt;=AF$12),"UX+DEV","UX"),IF(AND($H43&lt;&gt;"",$H43&lt;=EOMONTH(AF$12,0),$I43&gt;=AF$12),"DEV",""))))</f>
      </c>
      <c r="AG43" s="158" t="str">
        <f>IF($AI43="","",IF(AND($AN43&lt;&gt;"",$AN43&lt;=EOMONTH(AG$12,0),$AO43&gt;=AG$12),IF(AND(INDEX('Roadmap Calc (Don’t Touch)'!$AA$2:$AX$151,$AI43,COLUMN()-COLUMN($J$16)+1)&gt;0,OR($D43="03. UX Discovery",$D43="04. UX Design")),IF(AND($H43&lt;&gt;"",$H43&lt;=EOMONTH(AG$12,0),$I43&gt;=AG$12),"ALL","PD+UX"),IF(AND($H43&lt;&gt;"",$H43&lt;=EOMONTH(AG$12,0),$I43&gt;=AG$12),"PD+DEV","PD")),IF(AND(INDEX('Roadmap Calc (Don’t Touch)'!$AA$2:$AX$151,$AI43,COLUMN()-COLUMN($J$16)+1)&gt;0,OR($D43="03. UX Discovery",$D43="04. UX Design")),IF(AND($H43&lt;&gt;"",$H43&lt;=EOMONTH(AG$12,0),$I43&gt;=AG$12),"UX+DEV","UX"),IF(AND($H43&lt;&gt;"",$H43&lt;=EOMONTH(AG$12,0),$I43&gt;=AG$12),"DEV",""))))</f>
      </c>
      <c r="AH43" s="145" t="str">
        <f>IF($AI43="","",INDEX('Roadmap Calc (Don’t Touch)'!$D$2:$D$151,$AI43))</f>
        <v/>
      </c>
      <c r="AI43" s="145" t="str">
        <f>IFERROR(MATCH(28,'Roadmap Calc (Don’t Touch)'!$O$2:$O$151,0),"")</f>
        <v/>
      </c>
      <c r="AJ43" s="145"/>
      <c r="AK43" s="145"/>
      <c r="AL43" s="145"/>
      <c r="AM43" s="145"/>
      <c r="AN43">
        <f>IF($AI43="","",IF(ISNUMBER(INDEX('Roadmap Calc (Don’t Touch)'!$BB$2:$BB$151,$AI43)),INDEX('Roadmap Calc (Don’t Touch)'!$BB$2:$BB$151,$AI43),""))</f>
      </c>
      <c r="AO43">
        <f>IF($AI43="","",IF(ISNUMBER(INDEX('Roadmap Calc (Don’t Touch)'!$BC$2:$BC$151,$AI43)),INDEX('Roadmap Calc (Don’t Touch)'!$BC$2:$BC$151,$AI43),""))</f>
      </c>
    </row>
    <row r="44" spans="1:41" ht="20" customHeight="1" x14ac:dyDescent="0.25">
      <c r="A44" s="199" t="str">
        <f>IF($AI44="","",IF($AH44=$AH43,"",IF(INDEX('Roadmap Calc (Don’t Touch)'!$U$2:$U$151,$AI44)=0,$AH44,HYPERLINK("#'Control (Don’t Touch)'!E"&amp;INDEX('Roadmap Calc (Don’t Touch)'!$U$2:$U$151,$AI44),$AH44))))</f>
        <v/>
      </c>
      <c r="B44" s="159" t="str">
        <f>IF($AI44="","",IF(INDEX('Roadmap Calc (Don’t Touch)'!$K$2:$K$151,$AI44)="",INDEX('Roadmap Calc (Don’t Touch)'!$B$2:$B$151,$AI44),HYPERLINK("https://jira.bnh.com/browse/"&amp;INDEX('Roadmap Calc (Don’t Touch)'!$K$2:$K$151,$AI44),INDEX('Roadmap Calc (Don’t Touch)'!$B$2:$B$151,$AI44))))</f>
        <v/>
      </c>
      <c r="C44" s="159" t="str">
        <f>IF($AI44="","",IF(INDEX('Roadmap Calc (Don’t Touch)'!$E$2:$E$151,$AI44)="","",HYPERLINK("https://jira.bnh.com/browse/"&amp;INDEX('Roadmap Calc (Don’t Touch)'!$E$2:$E$151,$AI44),INDEX('Roadmap Calc (Don’t Touch)'!$E$2:$E$151,$AI44))))</f>
        <v/>
      </c>
      <c r="D44" s="161" t="str">
        <f>IF($AI44="","",INDEX('Roadmap Calc (Don’t Touch)'!$F$2:$F$151,$AI44))</f>
        <v/>
      </c>
      <c r="E44" s="155" t="str">
        <f>IF($AI44="","",IF(ISNUMBER(INDEX('Roadmap Calc (Don’t Touch)'!$G$2:$G$151,$AI44)),INDEX('Roadmap Calc (Don’t Touch)'!$G$2:$G$151,$AI44),""))</f>
        <v/>
      </c>
      <c r="F44" s="155" t="str">
        <f>IF($AI44="","",IF(ISNUMBER(INDEX('Roadmap Calc (Don’t Touch)'!$H$2:$H$151,$AI44)),INDEX('Roadmap Calc (Don’t Touch)'!$H$2:$H$151,$AI44),""))</f>
        <v/>
      </c>
      <c r="G44" s="156" t="str">
        <f>IF($AI44="","",INDEX('Roadmap Calc (Don’t Touch)'!$T$2:$T$151,$AI44))</f>
        <v/>
      </c>
      <c r="H44" s="157" t="str">
        <f>IF($AI44="","",IF(ISNUMBER(INDEX('Roadmap Calc (Don’t Touch)'!$I$2:$I$151,$AI44)),INDEX('Roadmap Calc (Don’t Touch)'!$I$2:$I$151,$AI44),""))</f>
        <v/>
      </c>
      <c r="I44" s="157" t="str">
        <f>IF($AI44="","",IF(ISNUMBER(INDEX('Roadmap Calc (Don’t Touch)'!$J$2:$J$151,$AI44)),INDEX('Roadmap Calc (Don’t Touch)'!$J$2:$J$151,$AI44),""))</f>
        <v/>
      </c>
      <c r="J44" s="158" t="str">
        <f>IF($AI44="","",IF(AND($AN44&lt;&gt;"",$AN44&lt;=EOMONTH(J$12,0),$AO44&gt;=J$12),IF(AND(INDEX('Roadmap Calc (Don’t Touch)'!$AA$2:$AX$151,$AI44,COLUMN()-COLUMN($J$16)+1)&gt;0,OR($D44="03. UX Discovery",$D44="04. UX Design")),IF(AND($H44&lt;&gt;"",$H44&lt;=EOMONTH(J$12,0),$I44&gt;=J$12),"ALL","PD+UX"),IF(AND($H44&lt;&gt;"",$H44&lt;=EOMONTH(J$12,0),$I44&gt;=J$12),"PD+DEV","PD")),IF(AND(INDEX('Roadmap Calc (Don’t Touch)'!$AA$2:$AX$151,$AI44,COLUMN()-COLUMN($J$16)+1)&gt;0,OR($D44="03. UX Discovery",$D44="04. UX Design")),IF(AND($H44&lt;&gt;"",$H44&lt;=EOMONTH(J$12,0),$I44&gt;=J$12),"UX+DEV","UX"),IF(AND($H44&lt;&gt;"",$H44&lt;=EOMONTH(J$12,0),$I44&gt;=J$12),"DEV",""))))</f>
      </c>
      <c r="K44" s="158" t="str">
        <f>IF($AI44="","",IF(AND($AN44&lt;&gt;"",$AN44&lt;=EOMONTH(K$12,0),$AO44&gt;=K$12),IF(AND(INDEX('Roadmap Calc (Don’t Touch)'!$AA$2:$AX$151,$AI44,COLUMN()-COLUMN($J$16)+1)&gt;0,OR($D44="03. UX Discovery",$D44="04. UX Design")),IF(AND($H44&lt;&gt;"",$H44&lt;=EOMONTH(K$12,0),$I44&gt;=K$12),"ALL","PD+UX"),IF(AND($H44&lt;&gt;"",$H44&lt;=EOMONTH(K$12,0),$I44&gt;=K$12),"PD+DEV","PD")),IF(AND(INDEX('Roadmap Calc (Don’t Touch)'!$AA$2:$AX$151,$AI44,COLUMN()-COLUMN($J$16)+1)&gt;0,OR($D44="03. UX Discovery",$D44="04. UX Design")),IF(AND($H44&lt;&gt;"",$H44&lt;=EOMONTH(K$12,0),$I44&gt;=K$12),"UX+DEV","UX"),IF(AND($H44&lt;&gt;"",$H44&lt;=EOMONTH(K$12,0),$I44&gt;=K$12),"DEV",""))))</f>
      </c>
      <c r="L44" s="158" t="str">
        <f>IF($AI44="","",IF(AND($AN44&lt;&gt;"",$AN44&lt;=EOMONTH(L$12,0),$AO44&gt;=L$12),IF(AND(INDEX('Roadmap Calc (Don’t Touch)'!$AA$2:$AX$151,$AI44,COLUMN()-COLUMN($J$16)+1)&gt;0,OR($D44="03. UX Discovery",$D44="04. UX Design")),IF(AND($H44&lt;&gt;"",$H44&lt;=EOMONTH(L$12,0),$I44&gt;=L$12),"ALL","PD+UX"),IF(AND($H44&lt;&gt;"",$H44&lt;=EOMONTH(L$12,0),$I44&gt;=L$12),"PD+DEV","PD")),IF(AND(INDEX('Roadmap Calc (Don’t Touch)'!$AA$2:$AX$151,$AI44,COLUMN()-COLUMN($J$16)+1)&gt;0,OR($D44="03. UX Discovery",$D44="04. UX Design")),IF(AND($H44&lt;&gt;"",$H44&lt;=EOMONTH(L$12,0),$I44&gt;=L$12),"UX+DEV","UX"),IF(AND($H44&lt;&gt;"",$H44&lt;=EOMONTH(L$12,0),$I44&gt;=L$12),"DEV",""))))</f>
      </c>
      <c r="M44" s="158" t="str">
        <f>IF($AI44="","",IF(AND($AN44&lt;&gt;"",$AN44&lt;=EOMONTH(M$12,0),$AO44&gt;=M$12),IF(AND(INDEX('Roadmap Calc (Don’t Touch)'!$AA$2:$AX$151,$AI44,COLUMN()-COLUMN($J$16)+1)&gt;0,OR($D44="03. UX Discovery",$D44="04. UX Design")),IF(AND($H44&lt;&gt;"",$H44&lt;=EOMONTH(M$12,0),$I44&gt;=M$12),"ALL","PD+UX"),IF(AND($H44&lt;&gt;"",$H44&lt;=EOMONTH(M$12,0),$I44&gt;=M$12),"PD+DEV","PD")),IF(AND(INDEX('Roadmap Calc (Don’t Touch)'!$AA$2:$AX$151,$AI44,COLUMN()-COLUMN($J$16)+1)&gt;0,OR($D44="03. UX Discovery",$D44="04. UX Design")),IF(AND($H44&lt;&gt;"",$H44&lt;=EOMONTH(M$12,0),$I44&gt;=M$12),"UX+DEV","UX"),IF(AND($H44&lt;&gt;"",$H44&lt;=EOMONTH(M$12,0),$I44&gt;=M$12),"DEV",""))))</f>
      </c>
      <c r="N44" s="158" t="str">
        <f>IF($AI44="","",IF(AND($AN44&lt;&gt;"",$AN44&lt;=EOMONTH(N$12,0),$AO44&gt;=N$12),IF(AND(INDEX('Roadmap Calc (Don’t Touch)'!$AA$2:$AX$151,$AI44,COLUMN()-COLUMN($J$16)+1)&gt;0,OR($D44="03. UX Discovery",$D44="04. UX Design")),IF(AND($H44&lt;&gt;"",$H44&lt;=EOMONTH(N$12,0),$I44&gt;=N$12),"ALL","PD+UX"),IF(AND($H44&lt;&gt;"",$H44&lt;=EOMONTH(N$12,0),$I44&gt;=N$12),"PD+DEV","PD")),IF(AND(INDEX('Roadmap Calc (Don’t Touch)'!$AA$2:$AX$151,$AI44,COLUMN()-COLUMN($J$16)+1)&gt;0,OR($D44="03. UX Discovery",$D44="04. UX Design")),IF(AND($H44&lt;&gt;"",$H44&lt;=EOMONTH(N$12,0),$I44&gt;=N$12),"UX+DEV","UX"),IF(AND($H44&lt;&gt;"",$H44&lt;=EOMONTH(N$12,0),$I44&gt;=N$12),"DEV",""))))</f>
      </c>
      <c r="O44" s="158" t="str">
        <f>IF($AI44="","",IF(AND($AN44&lt;&gt;"",$AN44&lt;=EOMONTH(O$12,0),$AO44&gt;=O$12),IF(AND(INDEX('Roadmap Calc (Don’t Touch)'!$AA$2:$AX$151,$AI44,COLUMN()-COLUMN($J$16)+1)&gt;0,OR($D44="03. UX Discovery",$D44="04. UX Design")),IF(AND($H44&lt;&gt;"",$H44&lt;=EOMONTH(O$12,0),$I44&gt;=O$12),"ALL","PD+UX"),IF(AND($H44&lt;&gt;"",$H44&lt;=EOMONTH(O$12,0),$I44&gt;=O$12),"PD+DEV","PD")),IF(AND(INDEX('Roadmap Calc (Don’t Touch)'!$AA$2:$AX$151,$AI44,COLUMN()-COLUMN($J$16)+1)&gt;0,OR($D44="03. UX Discovery",$D44="04. UX Design")),IF(AND($H44&lt;&gt;"",$H44&lt;=EOMONTH(O$12,0),$I44&gt;=O$12),"UX+DEV","UX"),IF(AND($H44&lt;&gt;"",$H44&lt;=EOMONTH(O$12,0),$I44&gt;=O$12),"DEV",""))))</f>
      </c>
      <c r="P44" s="158" t="str">
        <f>IF($AI44="","",IF(AND($AN44&lt;&gt;"",$AN44&lt;=EOMONTH(P$12,0),$AO44&gt;=P$12),IF(AND(INDEX('Roadmap Calc (Don’t Touch)'!$AA$2:$AX$151,$AI44,COLUMN()-COLUMN($J$16)+1)&gt;0,OR($D44="03. UX Discovery",$D44="04. UX Design")),IF(AND($H44&lt;&gt;"",$H44&lt;=EOMONTH(P$12,0),$I44&gt;=P$12),"ALL","PD+UX"),IF(AND($H44&lt;&gt;"",$H44&lt;=EOMONTH(P$12,0),$I44&gt;=P$12),"PD+DEV","PD")),IF(AND(INDEX('Roadmap Calc (Don’t Touch)'!$AA$2:$AX$151,$AI44,COLUMN()-COLUMN($J$16)+1)&gt;0,OR($D44="03. UX Discovery",$D44="04. UX Design")),IF(AND($H44&lt;&gt;"",$H44&lt;=EOMONTH(P$12,0),$I44&gt;=P$12),"UX+DEV","UX"),IF(AND($H44&lt;&gt;"",$H44&lt;=EOMONTH(P$12,0),$I44&gt;=P$12),"DEV",""))))</f>
      </c>
      <c r="Q44" s="158" t="str">
        <f>IF($AI44="","",IF(AND($AN44&lt;&gt;"",$AN44&lt;=EOMONTH(Q$12,0),$AO44&gt;=Q$12),IF(AND(INDEX('Roadmap Calc (Don’t Touch)'!$AA$2:$AX$151,$AI44,COLUMN()-COLUMN($J$16)+1)&gt;0,OR($D44="03. UX Discovery",$D44="04. UX Design")),IF(AND($H44&lt;&gt;"",$H44&lt;=EOMONTH(Q$12,0),$I44&gt;=Q$12),"ALL","PD+UX"),IF(AND($H44&lt;&gt;"",$H44&lt;=EOMONTH(Q$12,0),$I44&gt;=Q$12),"PD+DEV","PD")),IF(AND(INDEX('Roadmap Calc (Don’t Touch)'!$AA$2:$AX$151,$AI44,COLUMN()-COLUMN($J$16)+1)&gt;0,OR($D44="03. UX Discovery",$D44="04. UX Design")),IF(AND($H44&lt;&gt;"",$H44&lt;=EOMONTH(Q$12,0),$I44&gt;=Q$12),"UX+DEV","UX"),IF(AND($H44&lt;&gt;"",$H44&lt;=EOMONTH(Q$12,0),$I44&gt;=Q$12),"DEV",""))))</f>
      </c>
      <c r="R44" s="158" t="str">
        <f>IF($AI44="","",IF(AND($AN44&lt;&gt;"",$AN44&lt;=EOMONTH(R$12,0),$AO44&gt;=R$12),IF(AND(INDEX('Roadmap Calc (Don’t Touch)'!$AA$2:$AX$151,$AI44,COLUMN()-COLUMN($J$16)+1)&gt;0,OR($D44="03. UX Discovery",$D44="04. UX Design")),IF(AND($H44&lt;&gt;"",$H44&lt;=EOMONTH(R$12,0),$I44&gt;=R$12),"ALL","PD+UX"),IF(AND($H44&lt;&gt;"",$H44&lt;=EOMONTH(R$12,0),$I44&gt;=R$12),"PD+DEV","PD")),IF(AND(INDEX('Roadmap Calc (Don’t Touch)'!$AA$2:$AX$151,$AI44,COLUMN()-COLUMN($J$16)+1)&gt;0,OR($D44="03. UX Discovery",$D44="04. UX Design")),IF(AND($H44&lt;&gt;"",$H44&lt;=EOMONTH(R$12,0),$I44&gt;=R$12),"UX+DEV","UX"),IF(AND($H44&lt;&gt;"",$H44&lt;=EOMONTH(R$12,0),$I44&gt;=R$12),"DEV",""))))</f>
      </c>
      <c r="S44" s="158" t="str">
        <f>IF($AI44="","",IF(AND($AN44&lt;&gt;"",$AN44&lt;=EOMONTH(S$12,0),$AO44&gt;=S$12),IF(AND(INDEX('Roadmap Calc (Don’t Touch)'!$AA$2:$AX$151,$AI44,COLUMN()-COLUMN($J$16)+1)&gt;0,OR($D44="03. UX Discovery",$D44="04. UX Design")),IF(AND($H44&lt;&gt;"",$H44&lt;=EOMONTH(S$12,0),$I44&gt;=S$12),"ALL","PD+UX"),IF(AND($H44&lt;&gt;"",$H44&lt;=EOMONTH(S$12,0),$I44&gt;=S$12),"PD+DEV","PD")),IF(AND(INDEX('Roadmap Calc (Don’t Touch)'!$AA$2:$AX$151,$AI44,COLUMN()-COLUMN($J$16)+1)&gt;0,OR($D44="03. UX Discovery",$D44="04. UX Design")),IF(AND($H44&lt;&gt;"",$H44&lt;=EOMONTH(S$12,0),$I44&gt;=S$12),"UX+DEV","UX"),IF(AND($H44&lt;&gt;"",$H44&lt;=EOMONTH(S$12,0),$I44&gt;=S$12),"DEV",""))))</f>
      </c>
      <c r="T44" s="158" t="str">
        <f>IF($AI44="","",IF(AND($AN44&lt;&gt;"",$AN44&lt;=EOMONTH(T$12,0),$AO44&gt;=T$12),IF(AND(INDEX('Roadmap Calc (Don’t Touch)'!$AA$2:$AX$151,$AI44,COLUMN()-COLUMN($J$16)+1)&gt;0,OR($D44="03. UX Discovery",$D44="04. UX Design")),IF(AND($H44&lt;&gt;"",$H44&lt;=EOMONTH(T$12,0),$I44&gt;=T$12),"ALL","PD+UX"),IF(AND($H44&lt;&gt;"",$H44&lt;=EOMONTH(T$12,0),$I44&gt;=T$12),"PD+DEV","PD")),IF(AND(INDEX('Roadmap Calc (Don’t Touch)'!$AA$2:$AX$151,$AI44,COLUMN()-COLUMN($J$16)+1)&gt;0,OR($D44="03. UX Discovery",$D44="04. UX Design")),IF(AND($H44&lt;&gt;"",$H44&lt;=EOMONTH(T$12,0),$I44&gt;=T$12),"UX+DEV","UX"),IF(AND($H44&lt;&gt;"",$H44&lt;=EOMONTH(T$12,0),$I44&gt;=T$12),"DEV",""))))</f>
      </c>
      <c r="U44" s="158" t="str">
        <f>IF($AI44="","",IF(AND($AN44&lt;&gt;"",$AN44&lt;=EOMONTH(U$12,0),$AO44&gt;=U$12),IF(AND(INDEX('Roadmap Calc (Don’t Touch)'!$AA$2:$AX$151,$AI44,COLUMN()-COLUMN($J$16)+1)&gt;0,OR($D44="03. UX Discovery",$D44="04. UX Design")),IF(AND($H44&lt;&gt;"",$H44&lt;=EOMONTH(U$12,0),$I44&gt;=U$12),"ALL","PD+UX"),IF(AND($H44&lt;&gt;"",$H44&lt;=EOMONTH(U$12,0),$I44&gt;=U$12),"PD+DEV","PD")),IF(AND(INDEX('Roadmap Calc (Don’t Touch)'!$AA$2:$AX$151,$AI44,COLUMN()-COLUMN($J$16)+1)&gt;0,OR($D44="03. UX Discovery",$D44="04. UX Design")),IF(AND($H44&lt;&gt;"",$H44&lt;=EOMONTH(U$12,0),$I44&gt;=U$12),"UX+DEV","UX"),IF(AND($H44&lt;&gt;"",$H44&lt;=EOMONTH(U$12,0),$I44&gt;=U$12),"DEV",""))))</f>
      </c>
      <c r="V44" s="158" t="str">
        <f>IF($AI44="","",IF(AND($AN44&lt;&gt;"",$AN44&lt;=EOMONTH(V$12,0),$AO44&gt;=V$12),IF(AND(INDEX('Roadmap Calc (Don’t Touch)'!$AA$2:$AX$151,$AI44,COLUMN()-COLUMN($J$16)+1)&gt;0,OR($D44="03. UX Discovery",$D44="04. UX Design")),IF(AND($H44&lt;&gt;"",$H44&lt;=EOMONTH(V$12,0),$I44&gt;=V$12),"ALL","PD+UX"),IF(AND($H44&lt;&gt;"",$H44&lt;=EOMONTH(V$12,0),$I44&gt;=V$12),"PD+DEV","PD")),IF(AND(INDEX('Roadmap Calc (Don’t Touch)'!$AA$2:$AX$151,$AI44,COLUMN()-COLUMN($J$16)+1)&gt;0,OR($D44="03. UX Discovery",$D44="04. UX Design")),IF(AND($H44&lt;&gt;"",$H44&lt;=EOMONTH(V$12,0),$I44&gt;=V$12),"UX+DEV","UX"),IF(AND($H44&lt;&gt;"",$H44&lt;=EOMONTH(V$12,0),$I44&gt;=V$12),"DEV",""))))</f>
      </c>
      <c r="W44" s="158" t="str">
        <f>IF($AI44="","",IF(AND($AN44&lt;&gt;"",$AN44&lt;=EOMONTH(W$12,0),$AO44&gt;=W$12),IF(AND(INDEX('Roadmap Calc (Don’t Touch)'!$AA$2:$AX$151,$AI44,COLUMN()-COLUMN($J$16)+1)&gt;0,OR($D44="03. UX Discovery",$D44="04. UX Design")),IF(AND($H44&lt;&gt;"",$H44&lt;=EOMONTH(W$12,0),$I44&gt;=W$12),"ALL","PD+UX"),IF(AND($H44&lt;&gt;"",$H44&lt;=EOMONTH(W$12,0),$I44&gt;=W$12),"PD+DEV","PD")),IF(AND(INDEX('Roadmap Calc (Don’t Touch)'!$AA$2:$AX$151,$AI44,COLUMN()-COLUMN($J$16)+1)&gt;0,OR($D44="03. UX Discovery",$D44="04. UX Design")),IF(AND($H44&lt;&gt;"",$H44&lt;=EOMONTH(W$12,0),$I44&gt;=W$12),"UX+DEV","UX"),IF(AND($H44&lt;&gt;"",$H44&lt;=EOMONTH(W$12,0),$I44&gt;=W$12),"DEV",""))))</f>
      </c>
      <c r="X44" s="158" t="str">
        <f>IF($AI44="","",IF(AND($AN44&lt;&gt;"",$AN44&lt;=EOMONTH(X$12,0),$AO44&gt;=X$12),IF(AND(INDEX('Roadmap Calc (Don’t Touch)'!$AA$2:$AX$151,$AI44,COLUMN()-COLUMN($J$16)+1)&gt;0,OR($D44="03. UX Discovery",$D44="04. UX Design")),IF(AND($H44&lt;&gt;"",$H44&lt;=EOMONTH(X$12,0),$I44&gt;=X$12),"ALL","PD+UX"),IF(AND($H44&lt;&gt;"",$H44&lt;=EOMONTH(X$12,0),$I44&gt;=X$12),"PD+DEV","PD")),IF(AND(INDEX('Roadmap Calc (Don’t Touch)'!$AA$2:$AX$151,$AI44,COLUMN()-COLUMN($J$16)+1)&gt;0,OR($D44="03. UX Discovery",$D44="04. UX Design")),IF(AND($H44&lt;&gt;"",$H44&lt;=EOMONTH(X$12,0),$I44&gt;=X$12),"UX+DEV","UX"),IF(AND($H44&lt;&gt;"",$H44&lt;=EOMONTH(X$12,0),$I44&gt;=X$12),"DEV",""))))</f>
      </c>
      <c r="Y44" s="158" t="str">
        <f>IF($AI44="","",IF(AND($AN44&lt;&gt;"",$AN44&lt;=EOMONTH(Y$12,0),$AO44&gt;=Y$12),IF(AND(INDEX('Roadmap Calc (Don’t Touch)'!$AA$2:$AX$151,$AI44,COLUMN()-COLUMN($J$16)+1)&gt;0,OR($D44="03. UX Discovery",$D44="04. UX Design")),IF(AND($H44&lt;&gt;"",$H44&lt;=EOMONTH(Y$12,0),$I44&gt;=Y$12),"ALL","PD+UX"),IF(AND($H44&lt;&gt;"",$H44&lt;=EOMONTH(Y$12,0),$I44&gt;=Y$12),"PD+DEV","PD")),IF(AND(INDEX('Roadmap Calc (Don’t Touch)'!$AA$2:$AX$151,$AI44,COLUMN()-COLUMN($J$16)+1)&gt;0,OR($D44="03. UX Discovery",$D44="04. UX Design")),IF(AND($H44&lt;&gt;"",$H44&lt;=EOMONTH(Y$12,0),$I44&gt;=Y$12),"UX+DEV","UX"),IF(AND($H44&lt;&gt;"",$H44&lt;=EOMONTH(Y$12,0),$I44&gt;=Y$12),"DEV",""))))</f>
      </c>
      <c r="Z44" s="158" t="str">
        <f>IF($AI44="","",IF(AND($AN44&lt;&gt;"",$AN44&lt;=EOMONTH(Z$12,0),$AO44&gt;=Z$12),IF(AND(INDEX('Roadmap Calc (Don’t Touch)'!$AA$2:$AX$151,$AI44,COLUMN()-COLUMN($J$16)+1)&gt;0,OR($D44="03. UX Discovery",$D44="04. UX Design")),IF(AND($H44&lt;&gt;"",$H44&lt;=EOMONTH(Z$12,0),$I44&gt;=Z$12),"ALL","PD+UX"),IF(AND($H44&lt;&gt;"",$H44&lt;=EOMONTH(Z$12,0),$I44&gt;=Z$12),"PD+DEV","PD")),IF(AND(INDEX('Roadmap Calc (Don’t Touch)'!$AA$2:$AX$151,$AI44,COLUMN()-COLUMN($J$16)+1)&gt;0,OR($D44="03. UX Discovery",$D44="04. UX Design")),IF(AND($H44&lt;&gt;"",$H44&lt;=EOMONTH(Z$12,0),$I44&gt;=Z$12),"UX+DEV","UX"),IF(AND($H44&lt;&gt;"",$H44&lt;=EOMONTH(Z$12,0),$I44&gt;=Z$12),"DEV",""))))</f>
      </c>
      <c r="AA44" s="158" t="str">
        <f>IF($AI44="","",IF(AND($AN44&lt;&gt;"",$AN44&lt;=EOMONTH(AA$12,0),$AO44&gt;=AA$12),IF(AND(INDEX('Roadmap Calc (Don’t Touch)'!$AA$2:$AX$151,$AI44,COLUMN()-COLUMN($J$16)+1)&gt;0,OR($D44="03. UX Discovery",$D44="04. UX Design")),IF(AND($H44&lt;&gt;"",$H44&lt;=EOMONTH(AA$12,0),$I44&gt;=AA$12),"ALL","PD+UX"),IF(AND($H44&lt;&gt;"",$H44&lt;=EOMONTH(AA$12,0),$I44&gt;=AA$12),"PD+DEV","PD")),IF(AND(INDEX('Roadmap Calc (Don’t Touch)'!$AA$2:$AX$151,$AI44,COLUMN()-COLUMN($J$16)+1)&gt;0,OR($D44="03. UX Discovery",$D44="04. UX Design")),IF(AND($H44&lt;&gt;"",$H44&lt;=EOMONTH(AA$12,0),$I44&gt;=AA$12),"UX+DEV","UX"),IF(AND($H44&lt;&gt;"",$H44&lt;=EOMONTH(AA$12,0),$I44&gt;=AA$12),"DEV",""))))</f>
      </c>
      <c r="AB44" s="158" t="str">
        <f>IF($AI44="","",IF(AND($AN44&lt;&gt;"",$AN44&lt;=EOMONTH(AB$12,0),$AO44&gt;=AB$12),IF(AND(INDEX('Roadmap Calc (Don’t Touch)'!$AA$2:$AX$151,$AI44,COLUMN()-COLUMN($J$16)+1)&gt;0,OR($D44="03. UX Discovery",$D44="04. UX Design")),IF(AND($H44&lt;&gt;"",$H44&lt;=EOMONTH(AB$12,0),$I44&gt;=AB$12),"ALL","PD+UX"),IF(AND($H44&lt;&gt;"",$H44&lt;=EOMONTH(AB$12,0),$I44&gt;=AB$12),"PD+DEV","PD")),IF(AND(INDEX('Roadmap Calc (Don’t Touch)'!$AA$2:$AX$151,$AI44,COLUMN()-COLUMN($J$16)+1)&gt;0,OR($D44="03. UX Discovery",$D44="04. UX Design")),IF(AND($H44&lt;&gt;"",$H44&lt;=EOMONTH(AB$12,0),$I44&gt;=AB$12),"UX+DEV","UX"),IF(AND($H44&lt;&gt;"",$H44&lt;=EOMONTH(AB$12,0),$I44&gt;=AB$12),"DEV",""))))</f>
      </c>
      <c r="AC44" s="158" t="str">
        <f>IF($AI44="","",IF(AND($AN44&lt;&gt;"",$AN44&lt;=EOMONTH(AC$12,0),$AO44&gt;=AC$12),IF(AND(INDEX('Roadmap Calc (Don’t Touch)'!$AA$2:$AX$151,$AI44,COLUMN()-COLUMN($J$16)+1)&gt;0,OR($D44="03. UX Discovery",$D44="04. UX Design")),IF(AND($H44&lt;&gt;"",$H44&lt;=EOMONTH(AC$12,0),$I44&gt;=AC$12),"ALL","PD+UX"),IF(AND($H44&lt;&gt;"",$H44&lt;=EOMONTH(AC$12,0),$I44&gt;=AC$12),"PD+DEV","PD")),IF(AND(INDEX('Roadmap Calc (Don’t Touch)'!$AA$2:$AX$151,$AI44,COLUMN()-COLUMN($J$16)+1)&gt;0,OR($D44="03. UX Discovery",$D44="04. UX Design")),IF(AND($H44&lt;&gt;"",$H44&lt;=EOMONTH(AC$12,0),$I44&gt;=AC$12),"UX+DEV","UX"),IF(AND($H44&lt;&gt;"",$H44&lt;=EOMONTH(AC$12,0),$I44&gt;=AC$12),"DEV",""))))</f>
      </c>
      <c r="AD44" s="158" t="str">
        <f>IF($AI44="","",IF(AND($AN44&lt;&gt;"",$AN44&lt;=EOMONTH(AD$12,0),$AO44&gt;=AD$12),IF(AND(INDEX('Roadmap Calc (Don’t Touch)'!$AA$2:$AX$151,$AI44,COLUMN()-COLUMN($J$16)+1)&gt;0,OR($D44="03. UX Discovery",$D44="04. UX Design")),IF(AND($H44&lt;&gt;"",$H44&lt;=EOMONTH(AD$12,0),$I44&gt;=AD$12),"ALL","PD+UX"),IF(AND($H44&lt;&gt;"",$H44&lt;=EOMONTH(AD$12,0),$I44&gt;=AD$12),"PD+DEV","PD")),IF(AND(INDEX('Roadmap Calc (Don’t Touch)'!$AA$2:$AX$151,$AI44,COLUMN()-COLUMN($J$16)+1)&gt;0,OR($D44="03. UX Discovery",$D44="04. UX Design")),IF(AND($H44&lt;&gt;"",$H44&lt;=EOMONTH(AD$12,0),$I44&gt;=AD$12),"UX+DEV","UX"),IF(AND($H44&lt;&gt;"",$H44&lt;=EOMONTH(AD$12,0),$I44&gt;=AD$12),"DEV",""))))</f>
      </c>
      <c r="AE44" s="158" t="str">
        <f>IF($AI44="","",IF(AND($AN44&lt;&gt;"",$AN44&lt;=EOMONTH(AE$12,0),$AO44&gt;=AE$12),IF(AND(INDEX('Roadmap Calc (Don’t Touch)'!$AA$2:$AX$151,$AI44,COLUMN()-COLUMN($J$16)+1)&gt;0,OR($D44="03. UX Discovery",$D44="04. UX Design")),IF(AND($H44&lt;&gt;"",$H44&lt;=EOMONTH(AE$12,0),$I44&gt;=AE$12),"ALL","PD+UX"),IF(AND($H44&lt;&gt;"",$H44&lt;=EOMONTH(AE$12,0),$I44&gt;=AE$12),"PD+DEV","PD")),IF(AND(INDEX('Roadmap Calc (Don’t Touch)'!$AA$2:$AX$151,$AI44,COLUMN()-COLUMN($J$16)+1)&gt;0,OR($D44="03. UX Discovery",$D44="04. UX Design")),IF(AND($H44&lt;&gt;"",$H44&lt;=EOMONTH(AE$12,0),$I44&gt;=AE$12),"UX+DEV","UX"),IF(AND($H44&lt;&gt;"",$H44&lt;=EOMONTH(AE$12,0),$I44&gt;=AE$12),"DEV",""))))</f>
      </c>
      <c r="AF44" s="158" t="str">
        <f>IF($AI44="","",IF(AND($AN44&lt;&gt;"",$AN44&lt;=EOMONTH(AF$12,0),$AO44&gt;=AF$12),IF(AND(INDEX('Roadmap Calc (Don’t Touch)'!$AA$2:$AX$151,$AI44,COLUMN()-COLUMN($J$16)+1)&gt;0,OR($D44="03. UX Discovery",$D44="04. UX Design")),IF(AND($H44&lt;&gt;"",$H44&lt;=EOMONTH(AF$12,0),$I44&gt;=AF$12),"ALL","PD+UX"),IF(AND($H44&lt;&gt;"",$H44&lt;=EOMONTH(AF$12,0),$I44&gt;=AF$12),"PD+DEV","PD")),IF(AND(INDEX('Roadmap Calc (Don’t Touch)'!$AA$2:$AX$151,$AI44,COLUMN()-COLUMN($J$16)+1)&gt;0,OR($D44="03. UX Discovery",$D44="04. UX Design")),IF(AND($H44&lt;&gt;"",$H44&lt;=EOMONTH(AF$12,0),$I44&gt;=AF$12),"UX+DEV","UX"),IF(AND($H44&lt;&gt;"",$H44&lt;=EOMONTH(AF$12,0),$I44&gt;=AF$12),"DEV",""))))</f>
      </c>
      <c r="AG44" s="158" t="str">
        <f>IF($AI44="","",IF(AND($AN44&lt;&gt;"",$AN44&lt;=EOMONTH(AG$12,0),$AO44&gt;=AG$12),IF(AND(INDEX('Roadmap Calc (Don’t Touch)'!$AA$2:$AX$151,$AI44,COLUMN()-COLUMN($J$16)+1)&gt;0,OR($D44="03. UX Discovery",$D44="04. UX Design")),IF(AND($H44&lt;&gt;"",$H44&lt;=EOMONTH(AG$12,0),$I44&gt;=AG$12),"ALL","PD+UX"),IF(AND($H44&lt;&gt;"",$H44&lt;=EOMONTH(AG$12,0),$I44&gt;=AG$12),"PD+DEV","PD")),IF(AND(INDEX('Roadmap Calc (Don’t Touch)'!$AA$2:$AX$151,$AI44,COLUMN()-COLUMN($J$16)+1)&gt;0,OR($D44="03. UX Discovery",$D44="04. UX Design")),IF(AND($H44&lt;&gt;"",$H44&lt;=EOMONTH(AG$12,0),$I44&gt;=AG$12),"UX+DEV","UX"),IF(AND($H44&lt;&gt;"",$H44&lt;=EOMONTH(AG$12,0),$I44&gt;=AG$12),"DEV",""))))</f>
      </c>
      <c r="AH44" s="145" t="str">
        <f>IF($AI44="","",INDEX('Roadmap Calc (Don’t Touch)'!$D$2:$D$151,$AI44))</f>
        <v/>
      </c>
      <c r="AI44" s="145" t="str">
        <f>IFERROR(MATCH(29,'Roadmap Calc (Don’t Touch)'!$O$2:$O$151,0),"")</f>
        <v/>
      </c>
      <c r="AJ44" s="145"/>
      <c r="AK44" s="145"/>
      <c r="AL44" s="145"/>
      <c r="AM44" s="145"/>
      <c r="AN44">
        <f>IF($AI44="","",IF(ISNUMBER(INDEX('Roadmap Calc (Don’t Touch)'!$BB$2:$BB$151,$AI44)),INDEX('Roadmap Calc (Don’t Touch)'!$BB$2:$BB$151,$AI44),""))</f>
      </c>
      <c r="AO44">
        <f>IF($AI44="","",IF(ISNUMBER(INDEX('Roadmap Calc (Don’t Touch)'!$BC$2:$BC$151,$AI44)),INDEX('Roadmap Calc (Don’t Touch)'!$BC$2:$BC$151,$AI44),""))</f>
      </c>
    </row>
    <row r="45" spans="1:41" ht="20" customHeight="1" x14ac:dyDescent="0.25">
      <c r="A45" s="199" t="str">
        <f>IF($AI45="","",IF($AH45=$AH44,"",IF(INDEX('Roadmap Calc (Don’t Touch)'!$U$2:$U$151,$AI45)=0,$AH45,HYPERLINK("#'Control (Don’t Touch)'!E"&amp;INDEX('Roadmap Calc (Don’t Touch)'!$U$2:$U$151,$AI45),$AH45))))</f>
        <v/>
      </c>
      <c r="B45" s="159" t="str">
        <f>IF($AI45="","",IF(INDEX('Roadmap Calc (Don’t Touch)'!$K$2:$K$151,$AI45)="",INDEX('Roadmap Calc (Don’t Touch)'!$B$2:$B$151,$AI45),HYPERLINK("https://jira.bnh.com/browse/"&amp;INDEX('Roadmap Calc (Don’t Touch)'!$K$2:$K$151,$AI45),INDEX('Roadmap Calc (Don’t Touch)'!$B$2:$B$151,$AI45))))</f>
        <v/>
      </c>
      <c r="C45" s="159" t="str">
        <f>IF($AI45="","",IF(INDEX('Roadmap Calc (Don’t Touch)'!$E$2:$E$151,$AI45)="","",HYPERLINK("https://jira.bnh.com/browse/"&amp;INDEX('Roadmap Calc (Don’t Touch)'!$E$2:$E$151,$AI45),INDEX('Roadmap Calc (Don’t Touch)'!$E$2:$E$151,$AI45))))</f>
        <v/>
      </c>
      <c r="D45" s="161" t="str">
        <f>IF($AI45="","",INDEX('Roadmap Calc (Don’t Touch)'!$F$2:$F$151,$AI45))</f>
        <v/>
      </c>
      <c r="E45" s="155" t="str">
        <f>IF($AI45="","",IF(ISNUMBER(INDEX('Roadmap Calc (Don’t Touch)'!$G$2:$G$151,$AI45)),INDEX('Roadmap Calc (Don’t Touch)'!$G$2:$G$151,$AI45),""))</f>
        <v/>
      </c>
      <c r="F45" s="155" t="str">
        <f>IF($AI45="","",IF(ISNUMBER(INDEX('Roadmap Calc (Don’t Touch)'!$H$2:$H$151,$AI45)),INDEX('Roadmap Calc (Don’t Touch)'!$H$2:$H$151,$AI45),""))</f>
        <v/>
      </c>
      <c r="G45" s="156" t="str">
        <f>IF($AI45="","",INDEX('Roadmap Calc (Don’t Touch)'!$T$2:$T$151,$AI45))</f>
        <v/>
      </c>
      <c r="H45" s="157" t="str">
        <f>IF($AI45="","",IF(ISNUMBER(INDEX('Roadmap Calc (Don’t Touch)'!$I$2:$I$151,$AI45)),INDEX('Roadmap Calc (Don’t Touch)'!$I$2:$I$151,$AI45),""))</f>
        <v/>
      </c>
      <c r="I45" s="157" t="str">
        <f>IF($AI45="","",IF(ISNUMBER(INDEX('Roadmap Calc (Don’t Touch)'!$J$2:$J$151,$AI45)),INDEX('Roadmap Calc (Don’t Touch)'!$J$2:$J$151,$AI45),""))</f>
        <v/>
      </c>
      <c r="J45" s="158" t="str">
        <f>IF($AI45="","",IF(AND($AN45&lt;&gt;"",$AN45&lt;=EOMONTH(J$12,0),$AO45&gt;=J$12),IF(AND(INDEX('Roadmap Calc (Don’t Touch)'!$AA$2:$AX$151,$AI45,COLUMN()-COLUMN($J$16)+1)&gt;0,OR($D45="03. UX Discovery",$D45="04. UX Design")),IF(AND($H45&lt;&gt;"",$H45&lt;=EOMONTH(J$12,0),$I45&gt;=J$12),"ALL","PD+UX"),IF(AND($H45&lt;&gt;"",$H45&lt;=EOMONTH(J$12,0),$I45&gt;=J$12),"PD+DEV","PD")),IF(AND(INDEX('Roadmap Calc (Don’t Touch)'!$AA$2:$AX$151,$AI45,COLUMN()-COLUMN($J$16)+1)&gt;0,OR($D45="03. UX Discovery",$D45="04. UX Design")),IF(AND($H45&lt;&gt;"",$H45&lt;=EOMONTH(J$12,0),$I45&gt;=J$12),"UX+DEV","UX"),IF(AND($H45&lt;&gt;"",$H45&lt;=EOMONTH(J$12,0),$I45&gt;=J$12),"DEV",""))))</f>
      </c>
      <c r="K45" s="158" t="str">
        <f>IF($AI45="","",IF(AND($AN45&lt;&gt;"",$AN45&lt;=EOMONTH(K$12,0),$AO45&gt;=K$12),IF(AND(INDEX('Roadmap Calc (Don’t Touch)'!$AA$2:$AX$151,$AI45,COLUMN()-COLUMN($J$16)+1)&gt;0,OR($D45="03. UX Discovery",$D45="04. UX Design")),IF(AND($H45&lt;&gt;"",$H45&lt;=EOMONTH(K$12,0),$I45&gt;=K$12),"ALL","PD+UX"),IF(AND($H45&lt;&gt;"",$H45&lt;=EOMONTH(K$12,0),$I45&gt;=K$12),"PD+DEV","PD")),IF(AND(INDEX('Roadmap Calc (Don’t Touch)'!$AA$2:$AX$151,$AI45,COLUMN()-COLUMN($J$16)+1)&gt;0,OR($D45="03. UX Discovery",$D45="04. UX Design")),IF(AND($H45&lt;&gt;"",$H45&lt;=EOMONTH(K$12,0),$I45&gt;=K$12),"UX+DEV","UX"),IF(AND($H45&lt;&gt;"",$H45&lt;=EOMONTH(K$12,0),$I45&gt;=K$12),"DEV",""))))</f>
      </c>
      <c r="L45" s="158" t="str">
        <f>IF($AI45="","",IF(AND($AN45&lt;&gt;"",$AN45&lt;=EOMONTH(L$12,0),$AO45&gt;=L$12),IF(AND(INDEX('Roadmap Calc (Don’t Touch)'!$AA$2:$AX$151,$AI45,COLUMN()-COLUMN($J$16)+1)&gt;0,OR($D45="03. UX Discovery",$D45="04. UX Design")),IF(AND($H45&lt;&gt;"",$H45&lt;=EOMONTH(L$12,0),$I45&gt;=L$12),"ALL","PD+UX"),IF(AND($H45&lt;&gt;"",$H45&lt;=EOMONTH(L$12,0),$I45&gt;=L$12),"PD+DEV","PD")),IF(AND(INDEX('Roadmap Calc (Don’t Touch)'!$AA$2:$AX$151,$AI45,COLUMN()-COLUMN($J$16)+1)&gt;0,OR($D45="03. UX Discovery",$D45="04. UX Design")),IF(AND($H45&lt;&gt;"",$H45&lt;=EOMONTH(L$12,0),$I45&gt;=L$12),"UX+DEV","UX"),IF(AND($H45&lt;&gt;"",$H45&lt;=EOMONTH(L$12,0),$I45&gt;=L$12),"DEV",""))))</f>
      </c>
      <c r="M45" s="158" t="str">
        <f>IF($AI45="","",IF(AND($AN45&lt;&gt;"",$AN45&lt;=EOMONTH(M$12,0),$AO45&gt;=M$12),IF(AND(INDEX('Roadmap Calc (Don’t Touch)'!$AA$2:$AX$151,$AI45,COLUMN()-COLUMN($J$16)+1)&gt;0,OR($D45="03. UX Discovery",$D45="04. UX Design")),IF(AND($H45&lt;&gt;"",$H45&lt;=EOMONTH(M$12,0),$I45&gt;=M$12),"ALL","PD+UX"),IF(AND($H45&lt;&gt;"",$H45&lt;=EOMONTH(M$12,0),$I45&gt;=M$12),"PD+DEV","PD")),IF(AND(INDEX('Roadmap Calc (Don’t Touch)'!$AA$2:$AX$151,$AI45,COLUMN()-COLUMN($J$16)+1)&gt;0,OR($D45="03. UX Discovery",$D45="04. UX Design")),IF(AND($H45&lt;&gt;"",$H45&lt;=EOMONTH(M$12,0),$I45&gt;=M$12),"UX+DEV","UX"),IF(AND($H45&lt;&gt;"",$H45&lt;=EOMONTH(M$12,0),$I45&gt;=M$12),"DEV",""))))</f>
      </c>
      <c r="N45" s="158" t="str">
        <f>IF($AI45="","",IF(AND($AN45&lt;&gt;"",$AN45&lt;=EOMONTH(N$12,0),$AO45&gt;=N$12),IF(AND(INDEX('Roadmap Calc (Don’t Touch)'!$AA$2:$AX$151,$AI45,COLUMN()-COLUMN($J$16)+1)&gt;0,OR($D45="03. UX Discovery",$D45="04. UX Design")),IF(AND($H45&lt;&gt;"",$H45&lt;=EOMONTH(N$12,0),$I45&gt;=N$12),"ALL","PD+UX"),IF(AND($H45&lt;&gt;"",$H45&lt;=EOMONTH(N$12,0),$I45&gt;=N$12),"PD+DEV","PD")),IF(AND(INDEX('Roadmap Calc (Don’t Touch)'!$AA$2:$AX$151,$AI45,COLUMN()-COLUMN($J$16)+1)&gt;0,OR($D45="03. UX Discovery",$D45="04. UX Design")),IF(AND($H45&lt;&gt;"",$H45&lt;=EOMONTH(N$12,0),$I45&gt;=N$12),"UX+DEV","UX"),IF(AND($H45&lt;&gt;"",$H45&lt;=EOMONTH(N$12,0),$I45&gt;=N$12),"DEV",""))))</f>
      </c>
      <c r="O45" s="158" t="str">
        <f>IF($AI45="","",IF(AND($AN45&lt;&gt;"",$AN45&lt;=EOMONTH(O$12,0),$AO45&gt;=O$12),IF(AND(INDEX('Roadmap Calc (Don’t Touch)'!$AA$2:$AX$151,$AI45,COLUMN()-COLUMN($J$16)+1)&gt;0,OR($D45="03. UX Discovery",$D45="04. UX Design")),IF(AND($H45&lt;&gt;"",$H45&lt;=EOMONTH(O$12,0),$I45&gt;=O$12),"ALL","PD+UX"),IF(AND($H45&lt;&gt;"",$H45&lt;=EOMONTH(O$12,0),$I45&gt;=O$12),"PD+DEV","PD")),IF(AND(INDEX('Roadmap Calc (Don’t Touch)'!$AA$2:$AX$151,$AI45,COLUMN()-COLUMN($J$16)+1)&gt;0,OR($D45="03. UX Discovery",$D45="04. UX Design")),IF(AND($H45&lt;&gt;"",$H45&lt;=EOMONTH(O$12,0),$I45&gt;=O$12),"UX+DEV","UX"),IF(AND($H45&lt;&gt;"",$H45&lt;=EOMONTH(O$12,0),$I45&gt;=O$12),"DEV",""))))</f>
      </c>
      <c r="P45" s="158" t="str">
        <f>IF($AI45="","",IF(AND($AN45&lt;&gt;"",$AN45&lt;=EOMONTH(P$12,0),$AO45&gt;=P$12),IF(AND(INDEX('Roadmap Calc (Don’t Touch)'!$AA$2:$AX$151,$AI45,COLUMN()-COLUMN($J$16)+1)&gt;0,OR($D45="03. UX Discovery",$D45="04. UX Design")),IF(AND($H45&lt;&gt;"",$H45&lt;=EOMONTH(P$12,0),$I45&gt;=P$12),"ALL","PD+UX"),IF(AND($H45&lt;&gt;"",$H45&lt;=EOMONTH(P$12,0),$I45&gt;=P$12),"PD+DEV","PD")),IF(AND(INDEX('Roadmap Calc (Don’t Touch)'!$AA$2:$AX$151,$AI45,COLUMN()-COLUMN($J$16)+1)&gt;0,OR($D45="03. UX Discovery",$D45="04. UX Design")),IF(AND($H45&lt;&gt;"",$H45&lt;=EOMONTH(P$12,0),$I45&gt;=P$12),"UX+DEV","UX"),IF(AND($H45&lt;&gt;"",$H45&lt;=EOMONTH(P$12,0),$I45&gt;=P$12),"DEV",""))))</f>
      </c>
      <c r="Q45" s="158" t="str">
        <f>IF($AI45="","",IF(AND($AN45&lt;&gt;"",$AN45&lt;=EOMONTH(Q$12,0),$AO45&gt;=Q$12),IF(AND(INDEX('Roadmap Calc (Don’t Touch)'!$AA$2:$AX$151,$AI45,COLUMN()-COLUMN($J$16)+1)&gt;0,OR($D45="03. UX Discovery",$D45="04. UX Design")),IF(AND($H45&lt;&gt;"",$H45&lt;=EOMONTH(Q$12,0),$I45&gt;=Q$12),"ALL","PD+UX"),IF(AND($H45&lt;&gt;"",$H45&lt;=EOMONTH(Q$12,0),$I45&gt;=Q$12),"PD+DEV","PD")),IF(AND(INDEX('Roadmap Calc (Don’t Touch)'!$AA$2:$AX$151,$AI45,COLUMN()-COLUMN($J$16)+1)&gt;0,OR($D45="03. UX Discovery",$D45="04. UX Design")),IF(AND($H45&lt;&gt;"",$H45&lt;=EOMONTH(Q$12,0),$I45&gt;=Q$12),"UX+DEV","UX"),IF(AND($H45&lt;&gt;"",$H45&lt;=EOMONTH(Q$12,0),$I45&gt;=Q$12),"DEV",""))))</f>
      </c>
      <c r="R45" s="158" t="str">
        <f>IF($AI45="","",IF(AND($AN45&lt;&gt;"",$AN45&lt;=EOMONTH(R$12,0),$AO45&gt;=R$12),IF(AND(INDEX('Roadmap Calc (Don’t Touch)'!$AA$2:$AX$151,$AI45,COLUMN()-COLUMN($J$16)+1)&gt;0,OR($D45="03. UX Discovery",$D45="04. UX Design")),IF(AND($H45&lt;&gt;"",$H45&lt;=EOMONTH(R$12,0),$I45&gt;=R$12),"ALL","PD+UX"),IF(AND($H45&lt;&gt;"",$H45&lt;=EOMONTH(R$12,0),$I45&gt;=R$12),"PD+DEV","PD")),IF(AND(INDEX('Roadmap Calc (Don’t Touch)'!$AA$2:$AX$151,$AI45,COLUMN()-COLUMN($J$16)+1)&gt;0,OR($D45="03. UX Discovery",$D45="04. UX Design")),IF(AND($H45&lt;&gt;"",$H45&lt;=EOMONTH(R$12,0),$I45&gt;=R$12),"UX+DEV","UX"),IF(AND($H45&lt;&gt;"",$H45&lt;=EOMONTH(R$12,0),$I45&gt;=R$12),"DEV",""))))</f>
      </c>
      <c r="S45" s="158" t="str">
        <f>IF($AI45="","",IF(AND($AN45&lt;&gt;"",$AN45&lt;=EOMONTH(S$12,0),$AO45&gt;=S$12),IF(AND(INDEX('Roadmap Calc (Don’t Touch)'!$AA$2:$AX$151,$AI45,COLUMN()-COLUMN($J$16)+1)&gt;0,OR($D45="03. UX Discovery",$D45="04. UX Design")),IF(AND($H45&lt;&gt;"",$H45&lt;=EOMONTH(S$12,0),$I45&gt;=S$12),"ALL","PD+UX"),IF(AND($H45&lt;&gt;"",$H45&lt;=EOMONTH(S$12,0),$I45&gt;=S$12),"PD+DEV","PD")),IF(AND(INDEX('Roadmap Calc (Don’t Touch)'!$AA$2:$AX$151,$AI45,COLUMN()-COLUMN($J$16)+1)&gt;0,OR($D45="03. UX Discovery",$D45="04. UX Design")),IF(AND($H45&lt;&gt;"",$H45&lt;=EOMONTH(S$12,0),$I45&gt;=S$12),"UX+DEV","UX"),IF(AND($H45&lt;&gt;"",$H45&lt;=EOMONTH(S$12,0),$I45&gt;=S$12),"DEV",""))))</f>
      </c>
      <c r="T45" s="158" t="str">
        <f>IF($AI45="","",IF(AND($AN45&lt;&gt;"",$AN45&lt;=EOMONTH(T$12,0),$AO45&gt;=T$12),IF(AND(INDEX('Roadmap Calc (Don’t Touch)'!$AA$2:$AX$151,$AI45,COLUMN()-COLUMN($J$16)+1)&gt;0,OR($D45="03. UX Discovery",$D45="04. UX Design")),IF(AND($H45&lt;&gt;"",$H45&lt;=EOMONTH(T$12,0),$I45&gt;=T$12),"ALL","PD+UX"),IF(AND($H45&lt;&gt;"",$H45&lt;=EOMONTH(T$12,0),$I45&gt;=T$12),"PD+DEV","PD")),IF(AND(INDEX('Roadmap Calc (Don’t Touch)'!$AA$2:$AX$151,$AI45,COLUMN()-COLUMN($J$16)+1)&gt;0,OR($D45="03. UX Discovery",$D45="04. UX Design")),IF(AND($H45&lt;&gt;"",$H45&lt;=EOMONTH(T$12,0),$I45&gt;=T$12),"UX+DEV","UX"),IF(AND($H45&lt;&gt;"",$H45&lt;=EOMONTH(T$12,0),$I45&gt;=T$12),"DEV",""))))</f>
      </c>
      <c r="U45" s="158" t="str">
        <f>IF($AI45="","",IF(AND($AN45&lt;&gt;"",$AN45&lt;=EOMONTH(U$12,0),$AO45&gt;=U$12),IF(AND(INDEX('Roadmap Calc (Don’t Touch)'!$AA$2:$AX$151,$AI45,COLUMN()-COLUMN($J$16)+1)&gt;0,OR($D45="03. UX Discovery",$D45="04. UX Design")),IF(AND($H45&lt;&gt;"",$H45&lt;=EOMONTH(U$12,0),$I45&gt;=U$12),"ALL","PD+UX"),IF(AND($H45&lt;&gt;"",$H45&lt;=EOMONTH(U$12,0),$I45&gt;=U$12),"PD+DEV","PD")),IF(AND(INDEX('Roadmap Calc (Don’t Touch)'!$AA$2:$AX$151,$AI45,COLUMN()-COLUMN($J$16)+1)&gt;0,OR($D45="03. UX Discovery",$D45="04. UX Design")),IF(AND($H45&lt;&gt;"",$H45&lt;=EOMONTH(U$12,0),$I45&gt;=U$12),"UX+DEV","UX"),IF(AND($H45&lt;&gt;"",$H45&lt;=EOMONTH(U$12,0),$I45&gt;=U$12),"DEV",""))))</f>
      </c>
      <c r="V45" s="158" t="str">
        <f>IF($AI45="","",IF(AND($AN45&lt;&gt;"",$AN45&lt;=EOMONTH(V$12,0),$AO45&gt;=V$12),IF(AND(INDEX('Roadmap Calc (Don’t Touch)'!$AA$2:$AX$151,$AI45,COLUMN()-COLUMN($J$16)+1)&gt;0,OR($D45="03. UX Discovery",$D45="04. UX Design")),IF(AND($H45&lt;&gt;"",$H45&lt;=EOMONTH(V$12,0),$I45&gt;=V$12),"ALL","PD+UX"),IF(AND($H45&lt;&gt;"",$H45&lt;=EOMONTH(V$12,0),$I45&gt;=V$12),"PD+DEV","PD")),IF(AND(INDEX('Roadmap Calc (Don’t Touch)'!$AA$2:$AX$151,$AI45,COLUMN()-COLUMN($J$16)+1)&gt;0,OR($D45="03. UX Discovery",$D45="04. UX Design")),IF(AND($H45&lt;&gt;"",$H45&lt;=EOMONTH(V$12,0),$I45&gt;=V$12),"UX+DEV","UX"),IF(AND($H45&lt;&gt;"",$H45&lt;=EOMONTH(V$12,0),$I45&gt;=V$12),"DEV",""))))</f>
      </c>
      <c r="W45" s="158" t="str">
        <f>IF($AI45="","",IF(AND($AN45&lt;&gt;"",$AN45&lt;=EOMONTH(W$12,0),$AO45&gt;=W$12),IF(AND(INDEX('Roadmap Calc (Don’t Touch)'!$AA$2:$AX$151,$AI45,COLUMN()-COLUMN($J$16)+1)&gt;0,OR($D45="03. UX Discovery",$D45="04. UX Design")),IF(AND($H45&lt;&gt;"",$H45&lt;=EOMONTH(W$12,0),$I45&gt;=W$12),"ALL","PD+UX"),IF(AND($H45&lt;&gt;"",$H45&lt;=EOMONTH(W$12,0),$I45&gt;=W$12),"PD+DEV","PD")),IF(AND(INDEX('Roadmap Calc (Don’t Touch)'!$AA$2:$AX$151,$AI45,COLUMN()-COLUMN($J$16)+1)&gt;0,OR($D45="03. UX Discovery",$D45="04. UX Design")),IF(AND($H45&lt;&gt;"",$H45&lt;=EOMONTH(W$12,0),$I45&gt;=W$12),"UX+DEV","UX"),IF(AND($H45&lt;&gt;"",$H45&lt;=EOMONTH(W$12,0),$I45&gt;=W$12),"DEV",""))))</f>
      </c>
      <c r="X45" s="158" t="str">
        <f>IF($AI45="","",IF(AND($AN45&lt;&gt;"",$AN45&lt;=EOMONTH(X$12,0),$AO45&gt;=X$12),IF(AND(INDEX('Roadmap Calc (Don’t Touch)'!$AA$2:$AX$151,$AI45,COLUMN()-COLUMN($J$16)+1)&gt;0,OR($D45="03. UX Discovery",$D45="04. UX Design")),IF(AND($H45&lt;&gt;"",$H45&lt;=EOMONTH(X$12,0),$I45&gt;=X$12),"ALL","PD+UX"),IF(AND($H45&lt;&gt;"",$H45&lt;=EOMONTH(X$12,0),$I45&gt;=X$12),"PD+DEV","PD")),IF(AND(INDEX('Roadmap Calc (Don’t Touch)'!$AA$2:$AX$151,$AI45,COLUMN()-COLUMN($J$16)+1)&gt;0,OR($D45="03. UX Discovery",$D45="04. UX Design")),IF(AND($H45&lt;&gt;"",$H45&lt;=EOMONTH(X$12,0),$I45&gt;=X$12),"UX+DEV","UX"),IF(AND($H45&lt;&gt;"",$H45&lt;=EOMONTH(X$12,0),$I45&gt;=X$12),"DEV",""))))</f>
      </c>
      <c r="Y45" s="158" t="str">
        <f>IF($AI45="","",IF(AND($AN45&lt;&gt;"",$AN45&lt;=EOMONTH(Y$12,0),$AO45&gt;=Y$12),IF(AND(INDEX('Roadmap Calc (Don’t Touch)'!$AA$2:$AX$151,$AI45,COLUMN()-COLUMN($J$16)+1)&gt;0,OR($D45="03. UX Discovery",$D45="04. UX Design")),IF(AND($H45&lt;&gt;"",$H45&lt;=EOMONTH(Y$12,0),$I45&gt;=Y$12),"ALL","PD+UX"),IF(AND($H45&lt;&gt;"",$H45&lt;=EOMONTH(Y$12,0),$I45&gt;=Y$12),"PD+DEV","PD")),IF(AND(INDEX('Roadmap Calc (Don’t Touch)'!$AA$2:$AX$151,$AI45,COLUMN()-COLUMN($J$16)+1)&gt;0,OR($D45="03. UX Discovery",$D45="04. UX Design")),IF(AND($H45&lt;&gt;"",$H45&lt;=EOMONTH(Y$12,0),$I45&gt;=Y$12),"UX+DEV","UX"),IF(AND($H45&lt;&gt;"",$H45&lt;=EOMONTH(Y$12,0),$I45&gt;=Y$12),"DEV",""))))</f>
      </c>
      <c r="Z45" s="158" t="str">
        <f>IF($AI45="","",IF(AND($AN45&lt;&gt;"",$AN45&lt;=EOMONTH(Z$12,0),$AO45&gt;=Z$12),IF(AND(INDEX('Roadmap Calc (Don’t Touch)'!$AA$2:$AX$151,$AI45,COLUMN()-COLUMN($J$16)+1)&gt;0,OR($D45="03. UX Discovery",$D45="04. UX Design")),IF(AND($H45&lt;&gt;"",$H45&lt;=EOMONTH(Z$12,0),$I45&gt;=Z$12),"ALL","PD+UX"),IF(AND($H45&lt;&gt;"",$H45&lt;=EOMONTH(Z$12,0),$I45&gt;=Z$12),"PD+DEV","PD")),IF(AND(INDEX('Roadmap Calc (Don’t Touch)'!$AA$2:$AX$151,$AI45,COLUMN()-COLUMN($J$16)+1)&gt;0,OR($D45="03. UX Discovery",$D45="04. UX Design")),IF(AND($H45&lt;&gt;"",$H45&lt;=EOMONTH(Z$12,0),$I45&gt;=Z$12),"UX+DEV","UX"),IF(AND($H45&lt;&gt;"",$H45&lt;=EOMONTH(Z$12,0),$I45&gt;=Z$12),"DEV",""))))</f>
      </c>
      <c r="AA45" s="158" t="str">
        <f>IF($AI45="","",IF(AND($AN45&lt;&gt;"",$AN45&lt;=EOMONTH(AA$12,0),$AO45&gt;=AA$12),IF(AND(INDEX('Roadmap Calc (Don’t Touch)'!$AA$2:$AX$151,$AI45,COLUMN()-COLUMN($J$16)+1)&gt;0,OR($D45="03. UX Discovery",$D45="04. UX Design")),IF(AND($H45&lt;&gt;"",$H45&lt;=EOMONTH(AA$12,0),$I45&gt;=AA$12),"ALL","PD+UX"),IF(AND($H45&lt;&gt;"",$H45&lt;=EOMONTH(AA$12,0),$I45&gt;=AA$12),"PD+DEV","PD")),IF(AND(INDEX('Roadmap Calc (Don’t Touch)'!$AA$2:$AX$151,$AI45,COLUMN()-COLUMN($J$16)+1)&gt;0,OR($D45="03. UX Discovery",$D45="04. UX Design")),IF(AND($H45&lt;&gt;"",$H45&lt;=EOMONTH(AA$12,0),$I45&gt;=AA$12),"UX+DEV","UX"),IF(AND($H45&lt;&gt;"",$H45&lt;=EOMONTH(AA$12,0),$I45&gt;=AA$12),"DEV",""))))</f>
      </c>
      <c r="AB45" s="158" t="str">
        <f>IF($AI45="","",IF(AND($AN45&lt;&gt;"",$AN45&lt;=EOMONTH(AB$12,0),$AO45&gt;=AB$12),IF(AND(INDEX('Roadmap Calc (Don’t Touch)'!$AA$2:$AX$151,$AI45,COLUMN()-COLUMN($J$16)+1)&gt;0,OR($D45="03. UX Discovery",$D45="04. UX Design")),IF(AND($H45&lt;&gt;"",$H45&lt;=EOMONTH(AB$12,0),$I45&gt;=AB$12),"ALL","PD+UX"),IF(AND($H45&lt;&gt;"",$H45&lt;=EOMONTH(AB$12,0),$I45&gt;=AB$12),"PD+DEV","PD")),IF(AND(INDEX('Roadmap Calc (Don’t Touch)'!$AA$2:$AX$151,$AI45,COLUMN()-COLUMN($J$16)+1)&gt;0,OR($D45="03. UX Discovery",$D45="04. UX Design")),IF(AND($H45&lt;&gt;"",$H45&lt;=EOMONTH(AB$12,0),$I45&gt;=AB$12),"UX+DEV","UX"),IF(AND($H45&lt;&gt;"",$H45&lt;=EOMONTH(AB$12,0),$I45&gt;=AB$12),"DEV",""))))</f>
      </c>
      <c r="AC45" s="158" t="str">
        <f>IF($AI45="","",IF(AND($AN45&lt;&gt;"",$AN45&lt;=EOMONTH(AC$12,0),$AO45&gt;=AC$12),IF(AND(INDEX('Roadmap Calc (Don’t Touch)'!$AA$2:$AX$151,$AI45,COLUMN()-COLUMN($J$16)+1)&gt;0,OR($D45="03. UX Discovery",$D45="04. UX Design")),IF(AND($H45&lt;&gt;"",$H45&lt;=EOMONTH(AC$12,0),$I45&gt;=AC$12),"ALL","PD+UX"),IF(AND($H45&lt;&gt;"",$H45&lt;=EOMONTH(AC$12,0),$I45&gt;=AC$12),"PD+DEV","PD")),IF(AND(INDEX('Roadmap Calc (Don’t Touch)'!$AA$2:$AX$151,$AI45,COLUMN()-COLUMN($J$16)+1)&gt;0,OR($D45="03. UX Discovery",$D45="04. UX Design")),IF(AND($H45&lt;&gt;"",$H45&lt;=EOMONTH(AC$12,0),$I45&gt;=AC$12),"UX+DEV","UX"),IF(AND($H45&lt;&gt;"",$H45&lt;=EOMONTH(AC$12,0),$I45&gt;=AC$12),"DEV",""))))</f>
      </c>
      <c r="AD45" s="158" t="str">
        <f>IF($AI45="","",IF(AND($AN45&lt;&gt;"",$AN45&lt;=EOMONTH(AD$12,0),$AO45&gt;=AD$12),IF(AND(INDEX('Roadmap Calc (Don’t Touch)'!$AA$2:$AX$151,$AI45,COLUMN()-COLUMN($J$16)+1)&gt;0,OR($D45="03. UX Discovery",$D45="04. UX Design")),IF(AND($H45&lt;&gt;"",$H45&lt;=EOMONTH(AD$12,0),$I45&gt;=AD$12),"ALL","PD+UX"),IF(AND($H45&lt;&gt;"",$H45&lt;=EOMONTH(AD$12,0),$I45&gt;=AD$12),"PD+DEV","PD")),IF(AND(INDEX('Roadmap Calc (Don’t Touch)'!$AA$2:$AX$151,$AI45,COLUMN()-COLUMN($J$16)+1)&gt;0,OR($D45="03. UX Discovery",$D45="04. UX Design")),IF(AND($H45&lt;&gt;"",$H45&lt;=EOMONTH(AD$12,0),$I45&gt;=AD$12),"UX+DEV","UX"),IF(AND($H45&lt;&gt;"",$H45&lt;=EOMONTH(AD$12,0),$I45&gt;=AD$12),"DEV",""))))</f>
      </c>
      <c r="AE45" s="158" t="str">
        <f>IF($AI45="","",IF(AND($AN45&lt;&gt;"",$AN45&lt;=EOMONTH(AE$12,0),$AO45&gt;=AE$12),IF(AND(INDEX('Roadmap Calc (Don’t Touch)'!$AA$2:$AX$151,$AI45,COLUMN()-COLUMN($J$16)+1)&gt;0,OR($D45="03. UX Discovery",$D45="04. UX Design")),IF(AND($H45&lt;&gt;"",$H45&lt;=EOMONTH(AE$12,0),$I45&gt;=AE$12),"ALL","PD+UX"),IF(AND($H45&lt;&gt;"",$H45&lt;=EOMONTH(AE$12,0),$I45&gt;=AE$12),"PD+DEV","PD")),IF(AND(INDEX('Roadmap Calc (Don’t Touch)'!$AA$2:$AX$151,$AI45,COLUMN()-COLUMN($J$16)+1)&gt;0,OR($D45="03. UX Discovery",$D45="04. UX Design")),IF(AND($H45&lt;&gt;"",$H45&lt;=EOMONTH(AE$12,0),$I45&gt;=AE$12),"UX+DEV","UX"),IF(AND($H45&lt;&gt;"",$H45&lt;=EOMONTH(AE$12,0),$I45&gt;=AE$12),"DEV",""))))</f>
      </c>
      <c r="AF45" s="158" t="str">
        <f>IF($AI45="","",IF(AND($AN45&lt;&gt;"",$AN45&lt;=EOMONTH(AF$12,0),$AO45&gt;=AF$12),IF(AND(INDEX('Roadmap Calc (Don’t Touch)'!$AA$2:$AX$151,$AI45,COLUMN()-COLUMN($J$16)+1)&gt;0,OR($D45="03. UX Discovery",$D45="04. UX Design")),IF(AND($H45&lt;&gt;"",$H45&lt;=EOMONTH(AF$12,0),$I45&gt;=AF$12),"ALL","PD+UX"),IF(AND($H45&lt;&gt;"",$H45&lt;=EOMONTH(AF$12,0),$I45&gt;=AF$12),"PD+DEV","PD")),IF(AND(INDEX('Roadmap Calc (Don’t Touch)'!$AA$2:$AX$151,$AI45,COLUMN()-COLUMN($J$16)+1)&gt;0,OR($D45="03. UX Discovery",$D45="04. UX Design")),IF(AND($H45&lt;&gt;"",$H45&lt;=EOMONTH(AF$12,0),$I45&gt;=AF$12),"UX+DEV","UX"),IF(AND($H45&lt;&gt;"",$H45&lt;=EOMONTH(AF$12,0),$I45&gt;=AF$12),"DEV",""))))</f>
      </c>
      <c r="AG45" s="158" t="str">
        <f>IF($AI45="","",IF(AND($AN45&lt;&gt;"",$AN45&lt;=EOMONTH(AG$12,0),$AO45&gt;=AG$12),IF(AND(INDEX('Roadmap Calc (Don’t Touch)'!$AA$2:$AX$151,$AI45,COLUMN()-COLUMN($J$16)+1)&gt;0,OR($D45="03. UX Discovery",$D45="04. UX Design")),IF(AND($H45&lt;&gt;"",$H45&lt;=EOMONTH(AG$12,0),$I45&gt;=AG$12),"ALL","PD+UX"),IF(AND($H45&lt;&gt;"",$H45&lt;=EOMONTH(AG$12,0),$I45&gt;=AG$12),"PD+DEV","PD")),IF(AND(INDEX('Roadmap Calc (Don’t Touch)'!$AA$2:$AX$151,$AI45,COLUMN()-COLUMN($J$16)+1)&gt;0,OR($D45="03. UX Discovery",$D45="04. UX Design")),IF(AND($H45&lt;&gt;"",$H45&lt;=EOMONTH(AG$12,0),$I45&gt;=AG$12),"UX+DEV","UX"),IF(AND($H45&lt;&gt;"",$H45&lt;=EOMONTH(AG$12,0),$I45&gt;=AG$12),"DEV",""))))</f>
      </c>
      <c r="AH45" s="145" t="str">
        <f>IF($AI45="","",INDEX('Roadmap Calc (Don’t Touch)'!$D$2:$D$151,$AI45))</f>
        <v/>
      </c>
      <c r="AI45" s="145" t="str">
        <f>IFERROR(MATCH(30,'Roadmap Calc (Don’t Touch)'!$O$2:$O$151,0),"")</f>
        <v/>
      </c>
      <c r="AJ45" s="145"/>
      <c r="AK45" s="145"/>
      <c r="AL45" s="145"/>
      <c r="AM45" s="145"/>
      <c r="AN45">
        <f>IF($AI45="","",IF(ISNUMBER(INDEX('Roadmap Calc (Don’t Touch)'!$BB$2:$BB$151,$AI45)),INDEX('Roadmap Calc (Don’t Touch)'!$BB$2:$BB$151,$AI45),""))</f>
      </c>
      <c r="AO45">
        <f>IF($AI45="","",IF(ISNUMBER(INDEX('Roadmap Calc (Don’t Touch)'!$BC$2:$BC$151,$AI45)),INDEX('Roadmap Calc (Don’t Touch)'!$BC$2:$BC$151,$AI45),""))</f>
      </c>
    </row>
    <row r="46" spans="1:41" ht="20" customHeight="1" x14ac:dyDescent="0.25">
      <c r="A46" s="198" t="str">
        <f>IF($AI46="","",IF($AH46=$AH45,"",IF(INDEX('Roadmap Calc (Don’t Touch)'!$U$2:$U$151,$AI46)=0,$AH46,HYPERLINK("#'Control (Don’t Touch)'!E"&amp;INDEX('Roadmap Calc (Don’t Touch)'!$U$2:$U$151,$AI46),$AH46))))</f>
        <v/>
      </c>
      <c r="B46" s="159" t="str">
        <f>IF($AI46="","",IF(INDEX('Roadmap Calc (Don’t Touch)'!$K$2:$K$151,$AI46)="",INDEX('Roadmap Calc (Don’t Touch)'!$B$2:$B$151,$AI46),HYPERLINK("https://jira.bnh.com/browse/"&amp;INDEX('Roadmap Calc (Don’t Touch)'!$K$2:$K$151,$AI46),INDEX('Roadmap Calc (Don’t Touch)'!$B$2:$B$151,$AI46))))</f>
        <v/>
      </c>
      <c r="C46" s="159" t="str">
        <f>IF($AI46="","",IF(INDEX('Roadmap Calc (Don’t Touch)'!$E$2:$E$151,$AI46)="","",HYPERLINK("https://jira.bnh.com/browse/"&amp;INDEX('Roadmap Calc (Don’t Touch)'!$E$2:$E$151,$AI46),INDEX('Roadmap Calc (Don’t Touch)'!$E$2:$E$151,$AI46))))</f>
        <v/>
      </c>
      <c r="D46" s="161" t="str">
        <f>IF($AI46="","",INDEX('Roadmap Calc (Don’t Touch)'!$F$2:$F$151,$AI46))</f>
        <v/>
      </c>
      <c r="E46" s="155" t="str">
        <f>IF($AI46="","",IF(ISNUMBER(INDEX('Roadmap Calc (Don’t Touch)'!$G$2:$G$151,$AI46)),INDEX('Roadmap Calc (Don’t Touch)'!$G$2:$G$151,$AI46),""))</f>
        <v/>
      </c>
      <c r="F46" s="155" t="str">
        <f>IF($AI46="","",IF(ISNUMBER(INDEX('Roadmap Calc (Don’t Touch)'!$H$2:$H$151,$AI46)),INDEX('Roadmap Calc (Don’t Touch)'!$H$2:$H$151,$AI46),""))</f>
        <v/>
      </c>
      <c r="G46" s="156" t="str">
        <f>IF($AI46="","",INDEX('Roadmap Calc (Don’t Touch)'!$T$2:$T$151,$AI46))</f>
        <v/>
      </c>
      <c r="H46" s="157" t="str">
        <f>IF($AI46="","",IF(ISNUMBER(INDEX('Roadmap Calc (Don’t Touch)'!$I$2:$I$151,$AI46)),INDEX('Roadmap Calc (Don’t Touch)'!$I$2:$I$151,$AI46),""))</f>
        <v/>
      </c>
      <c r="I46" s="157" t="str">
        <f>IF($AI46="","",IF(ISNUMBER(INDEX('Roadmap Calc (Don’t Touch)'!$J$2:$J$151,$AI46)),INDEX('Roadmap Calc (Don’t Touch)'!$J$2:$J$151,$AI46),""))</f>
        <v/>
      </c>
      <c r="J46" s="158" t="str">
        <f>IF($AI46="","",IF(AND($AN46&lt;&gt;"",$AN46&lt;=EOMONTH(J$12,0),$AO46&gt;=J$12),IF(AND(INDEX('Roadmap Calc (Don’t Touch)'!$AA$2:$AX$151,$AI46,COLUMN()-COLUMN($J$16)+1)&gt;0,OR($D46="03. UX Discovery",$D46="04. UX Design")),IF(AND($H46&lt;&gt;"",$H46&lt;=EOMONTH(J$12,0),$I46&gt;=J$12),"ALL","PD+UX"),IF(AND($H46&lt;&gt;"",$H46&lt;=EOMONTH(J$12,0),$I46&gt;=J$12),"PD+DEV","PD")),IF(AND(INDEX('Roadmap Calc (Don’t Touch)'!$AA$2:$AX$151,$AI46,COLUMN()-COLUMN($J$16)+1)&gt;0,OR($D46="03. UX Discovery",$D46="04. UX Design")),IF(AND($H46&lt;&gt;"",$H46&lt;=EOMONTH(J$12,0),$I46&gt;=J$12),"UX+DEV","UX"),IF(AND($H46&lt;&gt;"",$H46&lt;=EOMONTH(J$12,0),$I46&gt;=J$12),"DEV",""))))</f>
      </c>
      <c r="K46" s="158" t="str">
        <f>IF($AI46="","",IF(AND($AN46&lt;&gt;"",$AN46&lt;=EOMONTH(K$12,0),$AO46&gt;=K$12),IF(AND(INDEX('Roadmap Calc (Don’t Touch)'!$AA$2:$AX$151,$AI46,COLUMN()-COLUMN($J$16)+1)&gt;0,OR($D46="03. UX Discovery",$D46="04. UX Design")),IF(AND($H46&lt;&gt;"",$H46&lt;=EOMONTH(K$12,0),$I46&gt;=K$12),"ALL","PD+UX"),IF(AND($H46&lt;&gt;"",$H46&lt;=EOMONTH(K$12,0),$I46&gt;=K$12),"PD+DEV","PD")),IF(AND(INDEX('Roadmap Calc (Don’t Touch)'!$AA$2:$AX$151,$AI46,COLUMN()-COLUMN($J$16)+1)&gt;0,OR($D46="03. UX Discovery",$D46="04. UX Design")),IF(AND($H46&lt;&gt;"",$H46&lt;=EOMONTH(K$12,0),$I46&gt;=K$12),"UX+DEV","UX"),IF(AND($H46&lt;&gt;"",$H46&lt;=EOMONTH(K$12,0),$I46&gt;=K$12),"DEV",""))))</f>
      </c>
      <c r="L46" s="158" t="str">
        <f>IF($AI46="","",IF(AND($AN46&lt;&gt;"",$AN46&lt;=EOMONTH(L$12,0),$AO46&gt;=L$12),IF(AND(INDEX('Roadmap Calc (Don’t Touch)'!$AA$2:$AX$151,$AI46,COLUMN()-COLUMN($J$16)+1)&gt;0,OR($D46="03. UX Discovery",$D46="04. UX Design")),IF(AND($H46&lt;&gt;"",$H46&lt;=EOMONTH(L$12,0),$I46&gt;=L$12),"ALL","PD+UX"),IF(AND($H46&lt;&gt;"",$H46&lt;=EOMONTH(L$12,0),$I46&gt;=L$12),"PD+DEV","PD")),IF(AND(INDEX('Roadmap Calc (Don’t Touch)'!$AA$2:$AX$151,$AI46,COLUMN()-COLUMN($J$16)+1)&gt;0,OR($D46="03. UX Discovery",$D46="04. UX Design")),IF(AND($H46&lt;&gt;"",$H46&lt;=EOMONTH(L$12,0),$I46&gt;=L$12),"UX+DEV","UX"),IF(AND($H46&lt;&gt;"",$H46&lt;=EOMONTH(L$12,0),$I46&gt;=L$12),"DEV",""))))</f>
      </c>
      <c r="M46" s="158" t="str">
        <f>IF($AI46="","",IF(AND($AN46&lt;&gt;"",$AN46&lt;=EOMONTH(M$12,0),$AO46&gt;=M$12),IF(AND(INDEX('Roadmap Calc (Don’t Touch)'!$AA$2:$AX$151,$AI46,COLUMN()-COLUMN($J$16)+1)&gt;0,OR($D46="03. UX Discovery",$D46="04. UX Design")),IF(AND($H46&lt;&gt;"",$H46&lt;=EOMONTH(M$12,0),$I46&gt;=M$12),"ALL","PD+UX"),IF(AND($H46&lt;&gt;"",$H46&lt;=EOMONTH(M$12,0),$I46&gt;=M$12),"PD+DEV","PD")),IF(AND(INDEX('Roadmap Calc (Don’t Touch)'!$AA$2:$AX$151,$AI46,COLUMN()-COLUMN($J$16)+1)&gt;0,OR($D46="03. UX Discovery",$D46="04. UX Design")),IF(AND($H46&lt;&gt;"",$H46&lt;=EOMONTH(M$12,0),$I46&gt;=M$12),"UX+DEV","UX"),IF(AND($H46&lt;&gt;"",$H46&lt;=EOMONTH(M$12,0),$I46&gt;=M$12),"DEV",""))))</f>
      </c>
      <c r="N46" s="158" t="str">
        <f>IF($AI46="","",IF(AND($AN46&lt;&gt;"",$AN46&lt;=EOMONTH(N$12,0),$AO46&gt;=N$12),IF(AND(INDEX('Roadmap Calc (Don’t Touch)'!$AA$2:$AX$151,$AI46,COLUMN()-COLUMN($J$16)+1)&gt;0,OR($D46="03. UX Discovery",$D46="04. UX Design")),IF(AND($H46&lt;&gt;"",$H46&lt;=EOMONTH(N$12,0),$I46&gt;=N$12),"ALL","PD+UX"),IF(AND($H46&lt;&gt;"",$H46&lt;=EOMONTH(N$12,0),$I46&gt;=N$12),"PD+DEV","PD")),IF(AND(INDEX('Roadmap Calc (Don’t Touch)'!$AA$2:$AX$151,$AI46,COLUMN()-COLUMN($J$16)+1)&gt;0,OR($D46="03. UX Discovery",$D46="04. UX Design")),IF(AND($H46&lt;&gt;"",$H46&lt;=EOMONTH(N$12,0),$I46&gt;=N$12),"UX+DEV","UX"),IF(AND($H46&lt;&gt;"",$H46&lt;=EOMONTH(N$12,0),$I46&gt;=N$12),"DEV",""))))</f>
      </c>
      <c r="O46" s="158" t="str">
        <f>IF($AI46="","",IF(AND($AN46&lt;&gt;"",$AN46&lt;=EOMONTH(O$12,0),$AO46&gt;=O$12),IF(AND(INDEX('Roadmap Calc (Don’t Touch)'!$AA$2:$AX$151,$AI46,COLUMN()-COLUMN($J$16)+1)&gt;0,OR($D46="03. UX Discovery",$D46="04. UX Design")),IF(AND($H46&lt;&gt;"",$H46&lt;=EOMONTH(O$12,0),$I46&gt;=O$12),"ALL","PD+UX"),IF(AND($H46&lt;&gt;"",$H46&lt;=EOMONTH(O$12,0),$I46&gt;=O$12),"PD+DEV","PD")),IF(AND(INDEX('Roadmap Calc (Don’t Touch)'!$AA$2:$AX$151,$AI46,COLUMN()-COLUMN($J$16)+1)&gt;0,OR($D46="03. UX Discovery",$D46="04. UX Design")),IF(AND($H46&lt;&gt;"",$H46&lt;=EOMONTH(O$12,0),$I46&gt;=O$12),"UX+DEV","UX"),IF(AND($H46&lt;&gt;"",$H46&lt;=EOMONTH(O$12,0),$I46&gt;=O$12),"DEV",""))))</f>
      </c>
      <c r="P46" s="158" t="str">
        <f>IF($AI46="","",IF(AND($AN46&lt;&gt;"",$AN46&lt;=EOMONTH(P$12,0),$AO46&gt;=P$12),IF(AND(INDEX('Roadmap Calc (Don’t Touch)'!$AA$2:$AX$151,$AI46,COLUMN()-COLUMN($J$16)+1)&gt;0,OR($D46="03. UX Discovery",$D46="04. UX Design")),IF(AND($H46&lt;&gt;"",$H46&lt;=EOMONTH(P$12,0),$I46&gt;=P$12),"ALL","PD+UX"),IF(AND($H46&lt;&gt;"",$H46&lt;=EOMONTH(P$12,0),$I46&gt;=P$12),"PD+DEV","PD")),IF(AND(INDEX('Roadmap Calc (Don’t Touch)'!$AA$2:$AX$151,$AI46,COLUMN()-COLUMN($J$16)+1)&gt;0,OR($D46="03. UX Discovery",$D46="04. UX Design")),IF(AND($H46&lt;&gt;"",$H46&lt;=EOMONTH(P$12,0),$I46&gt;=P$12),"UX+DEV","UX"),IF(AND($H46&lt;&gt;"",$H46&lt;=EOMONTH(P$12,0),$I46&gt;=P$12),"DEV",""))))</f>
      </c>
      <c r="Q46" s="158" t="str">
        <f>IF($AI46="","",IF(AND($AN46&lt;&gt;"",$AN46&lt;=EOMONTH(Q$12,0),$AO46&gt;=Q$12),IF(AND(INDEX('Roadmap Calc (Don’t Touch)'!$AA$2:$AX$151,$AI46,COLUMN()-COLUMN($J$16)+1)&gt;0,OR($D46="03. UX Discovery",$D46="04. UX Design")),IF(AND($H46&lt;&gt;"",$H46&lt;=EOMONTH(Q$12,0),$I46&gt;=Q$12),"ALL","PD+UX"),IF(AND($H46&lt;&gt;"",$H46&lt;=EOMONTH(Q$12,0),$I46&gt;=Q$12),"PD+DEV","PD")),IF(AND(INDEX('Roadmap Calc (Don’t Touch)'!$AA$2:$AX$151,$AI46,COLUMN()-COLUMN($J$16)+1)&gt;0,OR($D46="03. UX Discovery",$D46="04. UX Design")),IF(AND($H46&lt;&gt;"",$H46&lt;=EOMONTH(Q$12,0),$I46&gt;=Q$12),"UX+DEV","UX"),IF(AND($H46&lt;&gt;"",$H46&lt;=EOMONTH(Q$12,0),$I46&gt;=Q$12),"DEV",""))))</f>
      </c>
      <c r="R46" s="158" t="str">
        <f>IF($AI46="","",IF(AND($AN46&lt;&gt;"",$AN46&lt;=EOMONTH(R$12,0),$AO46&gt;=R$12),IF(AND(INDEX('Roadmap Calc (Don’t Touch)'!$AA$2:$AX$151,$AI46,COLUMN()-COLUMN($J$16)+1)&gt;0,OR($D46="03. UX Discovery",$D46="04. UX Design")),IF(AND($H46&lt;&gt;"",$H46&lt;=EOMONTH(R$12,0),$I46&gt;=R$12),"ALL","PD+UX"),IF(AND($H46&lt;&gt;"",$H46&lt;=EOMONTH(R$12,0),$I46&gt;=R$12),"PD+DEV","PD")),IF(AND(INDEX('Roadmap Calc (Don’t Touch)'!$AA$2:$AX$151,$AI46,COLUMN()-COLUMN($J$16)+1)&gt;0,OR($D46="03. UX Discovery",$D46="04. UX Design")),IF(AND($H46&lt;&gt;"",$H46&lt;=EOMONTH(R$12,0),$I46&gt;=R$12),"UX+DEV","UX"),IF(AND($H46&lt;&gt;"",$H46&lt;=EOMONTH(R$12,0),$I46&gt;=R$12),"DEV",""))))</f>
      </c>
      <c r="S46" s="158" t="str">
        <f>IF($AI46="","",IF(AND($AN46&lt;&gt;"",$AN46&lt;=EOMONTH(S$12,0),$AO46&gt;=S$12),IF(AND(INDEX('Roadmap Calc (Don’t Touch)'!$AA$2:$AX$151,$AI46,COLUMN()-COLUMN($J$16)+1)&gt;0,OR($D46="03. UX Discovery",$D46="04. UX Design")),IF(AND($H46&lt;&gt;"",$H46&lt;=EOMONTH(S$12,0),$I46&gt;=S$12),"ALL","PD+UX"),IF(AND($H46&lt;&gt;"",$H46&lt;=EOMONTH(S$12,0),$I46&gt;=S$12),"PD+DEV","PD")),IF(AND(INDEX('Roadmap Calc (Don’t Touch)'!$AA$2:$AX$151,$AI46,COLUMN()-COLUMN($J$16)+1)&gt;0,OR($D46="03. UX Discovery",$D46="04. UX Design")),IF(AND($H46&lt;&gt;"",$H46&lt;=EOMONTH(S$12,0),$I46&gt;=S$12),"UX+DEV","UX"),IF(AND($H46&lt;&gt;"",$H46&lt;=EOMONTH(S$12,0),$I46&gt;=S$12),"DEV",""))))</f>
      </c>
      <c r="T46" s="158" t="str">
        <f>IF($AI46="","",IF(AND($AN46&lt;&gt;"",$AN46&lt;=EOMONTH(T$12,0),$AO46&gt;=T$12),IF(AND(INDEX('Roadmap Calc (Don’t Touch)'!$AA$2:$AX$151,$AI46,COLUMN()-COLUMN($J$16)+1)&gt;0,OR($D46="03. UX Discovery",$D46="04. UX Design")),IF(AND($H46&lt;&gt;"",$H46&lt;=EOMONTH(T$12,0),$I46&gt;=T$12),"ALL","PD+UX"),IF(AND($H46&lt;&gt;"",$H46&lt;=EOMONTH(T$12,0),$I46&gt;=T$12),"PD+DEV","PD")),IF(AND(INDEX('Roadmap Calc (Don’t Touch)'!$AA$2:$AX$151,$AI46,COLUMN()-COLUMN($J$16)+1)&gt;0,OR($D46="03. UX Discovery",$D46="04. UX Design")),IF(AND($H46&lt;&gt;"",$H46&lt;=EOMONTH(T$12,0),$I46&gt;=T$12),"UX+DEV","UX"),IF(AND($H46&lt;&gt;"",$H46&lt;=EOMONTH(T$12,0),$I46&gt;=T$12),"DEV",""))))</f>
      </c>
      <c r="U46" s="158" t="str">
        <f>IF($AI46="","",IF(AND($AN46&lt;&gt;"",$AN46&lt;=EOMONTH(U$12,0),$AO46&gt;=U$12),IF(AND(INDEX('Roadmap Calc (Don’t Touch)'!$AA$2:$AX$151,$AI46,COLUMN()-COLUMN($J$16)+1)&gt;0,OR($D46="03. UX Discovery",$D46="04. UX Design")),IF(AND($H46&lt;&gt;"",$H46&lt;=EOMONTH(U$12,0),$I46&gt;=U$12),"ALL","PD+UX"),IF(AND($H46&lt;&gt;"",$H46&lt;=EOMONTH(U$12,0),$I46&gt;=U$12),"PD+DEV","PD")),IF(AND(INDEX('Roadmap Calc (Don’t Touch)'!$AA$2:$AX$151,$AI46,COLUMN()-COLUMN($J$16)+1)&gt;0,OR($D46="03. UX Discovery",$D46="04. UX Design")),IF(AND($H46&lt;&gt;"",$H46&lt;=EOMONTH(U$12,0),$I46&gt;=U$12),"UX+DEV","UX"),IF(AND($H46&lt;&gt;"",$H46&lt;=EOMONTH(U$12,0),$I46&gt;=U$12),"DEV",""))))</f>
      </c>
      <c r="V46" s="158" t="str">
        <f>IF($AI46="","",IF(AND($AN46&lt;&gt;"",$AN46&lt;=EOMONTH(V$12,0),$AO46&gt;=V$12),IF(AND(INDEX('Roadmap Calc (Don’t Touch)'!$AA$2:$AX$151,$AI46,COLUMN()-COLUMN($J$16)+1)&gt;0,OR($D46="03. UX Discovery",$D46="04. UX Design")),IF(AND($H46&lt;&gt;"",$H46&lt;=EOMONTH(V$12,0),$I46&gt;=V$12),"ALL","PD+UX"),IF(AND($H46&lt;&gt;"",$H46&lt;=EOMONTH(V$12,0),$I46&gt;=V$12),"PD+DEV","PD")),IF(AND(INDEX('Roadmap Calc (Don’t Touch)'!$AA$2:$AX$151,$AI46,COLUMN()-COLUMN($J$16)+1)&gt;0,OR($D46="03. UX Discovery",$D46="04. UX Design")),IF(AND($H46&lt;&gt;"",$H46&lt;=EOMONTH(V$12,0),$I46&gt;=V$12),"UX+DEV","UX"),IF(AND($H46&lt;&gt;"",$H46&lt;=EOMONTH(V$12,0),$I46&gt;=V$12),"DEV",""))))</f>
      </c>
      <c r="W46" s="158" t="str">
        <f>IF($AI46="","",IF(AND($AN46&lt;&gt;"",$AN46&lt;=EOMONTH(W$12,0),$AO46&gt;=W$12),IF(AND(INDEX('Roadmap Calc (Don’t Touch)'!$AA$2:$AX$151,$AI46,COLUMN()-COLUMN($J$16)+1)&gt;0,OR($D46="03. UX Discovery",$D46="04. UX Design")),IF(AND($H46&lt;&gt;"",$H46&lt;=EOMONTH(W$12,0),$I46&gt;=W$12),"ALL","PD+UX"),IF(AND($H46&lt;&gt;"",$H46&lt;=EOMONTH(W$12,0),$I46&gt;=W$12),"PD+DEV","PD")),IF(AND(INDEX('Roadmap Calc (Don’t Touch)'!$AA$2:$AX$151,$AI46,COLUMN()-COLUMN($J$16)+1)&gt;0,OR($D46="03. UX Discovery",$D46="04. UX Design")),IF(AND($H46&lt;&gt;"",$H46&lt;=EOMONTH(W$12,0),$I46&gt;=W$12),"UX+DEV","UX"),IF(AND($H46&lt;&gt;"",$H46&lt;=EOMONTH(W$12,0),$I46&gt;=W$12),"DEV",""))))</f>
      </c>
      <c r="X46" s="158" t="str">
        <f>IF($AI46="","",IF(AND($AN46&lt;&gt;"",$AN46&lt;=EOMONTH(X$12,0),$AO46&gt;=X$12),IF(AND(INDEX('Roadmap Calc (Don’t Touch)'!$AA$2:$AX$151,$AI46,COLUMN()-COLUMN($J$16)+1)&gt;0,OR($D46="03. UX Discovery",$D46="04. UX Design")),IF(AND($H46&lt;&gt;"",$H46&lt;=EOMONTH(X$12,0),$I46&gt;=X$12),"ALL","PD+UX"),IF(AND($H46&lt;&gt;"",$H46&lt;=EOMONTH(X$12,0),$I46&gt;=X$12),"PD+DEV","PD")),IF(AND(INDEX('Roadmap Calc (Don’t Touch)'!$AA$2:$AX$151,$AI46,COLUMN()-COLUMN($J$16)+1)&gt;0,OR($D46="03. UX Discovery",$D46="04. UX Design")),IF(AND($H46&lt;&gt;"",$H46&lt;=EOMONTH(X$12,0),$I46&gt;=X$12),"UX+DEV","UX"),IF(AND($H46&lt;&gt;"",$H46&lt;=EOMONTH(X$12,0),$I46&gt;=X$12),"DEV",""))))</f>
      </c>
      <c r="Y46" s="158" t="str">
        <f>IF($AI46="","",IF(AND($AN46&lt;&gt;"",$AN46&lt;=EOMONTH(Y$12,0),$AO46&gt;=Y$12),IF(AND(INDEX('Roadmap Calc (Don’t Touch)'!$AA$2:$AX$151,$AI46,COLUMN()-COLUMN($J$16)+1)&gt;0,OR($D46="03. UX Discovery",$D46="04. UX Design")),IF(AND($H46&lt;&gt;"",$H46&lt;=EOMONTH(Y$12,0),$I46&gt;=Y$12),"ALL","PD+UX"),IF(AND($H46&lt;&gt;"",$H46&lt;=EOMONTH(Y$12,0),$I46&gt;=Y$12),"PD+DEV","PD")),IF(AND(INDEX('Roadmap Calc (Don’t Touch)'!$AA$2:$AX$151,$AI46,COLUMN()-COLUMN($J$16)+1)&gt;0,OR($D46="03. UX Discovery",$D46="04. UX Design")),IF(AND($H46&lt;&gt;"",$H46&lt;=EOMONTH(Y$12,0),$I46&gt;=Y$12),"UX+DEV","UX"),IF(AND($H46&lt;&gt;"",$H46&lt;=EOMONTH(Y$12,0),$I46&gt;=Y$12),"DEV",""))))</f>
      </c>
      <c r="Z46" s="158" t="str">
        <f>IF($AI46="","",IF(AND($AN46&lt;&gt;"",$AN46&lt;=EOMONTH(Z$12,0),$AO46&gt;=Z$12),IF(AND(INDEX('Roadmap Calc (Don’t Touch)'!$AA$2:$AX$151,$AI46,COLUMN()-COLUMN($J$16)+1)&gt;0,OR($D46="03. UX Discovery",$D46="04. UX Design")),IF(AND($H46&lt;&gt;"",$H46&lt;=EOMONTH(Z$12,0),$I46&gt;=Z$12),"ALL","PD+UX"),IF(AND($H46&lt;&gt;"",$H46&lt;=EOMONTH(Z$12,0),$I46&gt;=Z$12),"PD+DEV","PD")),IF(AND(INDEX('Roadmap Calc (Don’t Touch)'!$AA$2:$AX$151,$AI46,COLUMN()-COLUMN($J$16)+1)&gt;0,OR($D46="03. UX Discovery",$D46="04. UX Design")),IF(AND($H46&lt;&gt;"",$H46&lt;=EOMONTH(Z$12,0),$I46&gt;=Z$12),"UX+DEV","UX"),IF(AND($H46&lt;&gt;"",$H46&lt;=EOMONTH(Z$12,0),$I46&gt;=Z$12),"DEV",""))))</f>
      </c>
      <c r="AA46" s="158" t="str">
        <f>IF($AI46="","",IF(AND($AN46&lt;&gt;"",$AN46&lt;=EOMONTH(AA$12,0),$AO46&gt;=AA$12),IF(AND(INDEX('Roadmap Calc (Don’t Touch)'!$AA$2:$AX$151,$AI46,COLUMN()-COLUMN($J$16)+1)&gt;0,OR($D46="03. UX Discovery",$D46="04. UX Design")),IF(AND($H46&lt;&gt;"",$H46&lt;=EOMONTH(AA$12,0),$I46&gt;=AA$12),"ALL","PD+UX"),IF(AND($H46&lt;&gt;"",$H46&lt;=EOMONTH(AA$12,0),$I46&gt;=AA$12),"PD+DEV","PD")),IF(AND(INDEX('Roadmap Calc (Don’t Touch)'!$AA$2:$AX$151,$AI46,COLUMN()-COLUMN($J$16)+1)&gt;0,OR($D46="03. UX Discovery",$D46="04. UX Design")),IF(AND($H46&lt;&gt;"",$H46&lt;=EOMONTH(AA$12,0),$I46&gt;=AA$12),"UX+DEV","UX"),IF(AND($H46&lt;&gt;"",$H46&lt;=EOMONTH(AA$12,0),$I46&gt;=AA$12),"DEV",""))))</f>
      </c>
      <c r="AB46" s="158" t="str">
        <f>IF($AI46="","",IF(AND($AN46&lt;&gt;"",$AN46&lt;=EOMONTH(AB$12,0),$AO46&gt;=AB$12),IF(AND(INDEX('Roadmap Calc (Don’t Touch)'!$AA$2:$AX$151,$AI46,COLUMN()-COLUMN($J$16)+1)&gt;0,OR($D46="03. UX Discovery",$D46="04. UX Design")),IF(AND($H46&lt;&gt;"",$H46&lt;=EOMONTH(AB$12,0),$I46&gt;=AB$12),"ALL","PD+UX"),IF(AND($H46&lt;&gt;"",$H46&lt;=EOMONTH(AB$12,0),$I46&gt;=AB$12),"PD+DEV","PD")),IF(AND(INDEX('Roadmap Calc (Don’t Touch)'!$AA$2:$AX$151,$AI46,COLUMN()-COLUMN($J$16)+1)&gt;0,OR($D46="03. UX Discovery",$D46="04. UX Design")),IF(AND($H46&lt;&gt;"",$H46&lt;=EOMONTH(AB$12,0),$I46&gt;=AB$12),"UX+DEV","UX"),IF(AND($H46&lt;&gt;"",$H46&lt;=EOMONTH(AB$12,0),$I46&gt;=AB$12),"DEV",""))))</f>
      </c>
      <c r="AC46" s="158" t="str">
        <f>IF($AI46="","",IF(AND($AN46&lt;&gt;"",$AN46&lt;=EOMONTH(AC$12,0),$AO46&gt;=AC$12),IF(AND(INDEX('Roadmap Calc (Don’t Touch)'!$AA$2:$AX$151,$AI46,COLUMN()-COLUMN($J$16)+1)&gt;0,OR($D46="03. UX Discovery",$D46="04. UX Design")),IF(AND($H46&lt;&gt;"",$H46&lt;=EOMONTH(AC$12,0),$I46&gt;=AC$12),"ALL","PD+UX"),IF(AND($H46&lt;&gt;"",$H46&lt;=EOMONTH(AC$12,0),$I46&gt;=AC$12),"PD+DEV","PD")),IF(AND(INDEX('Roadmap Calc (Don’t Touch)'!$AA$2:$AX$151,$AI46,COLUMN()-COLUMN($J$16)+1)&gt;0,OR($D46="03. UX Discovery",$D46="04. UX Design")),IF(AND($H46&lt;&gt;"",$H46&lt;=EOMONTH(AC$12,0),$I46&gt;=AC$12),"UX+DEV","UX"),IF(AND($H46&lt;&gt;"",$H46&lt;=EOMONTH(AC$12,0),$I46&gt;=AC$12),"DEV",""))))</f>
      </c>
      <c r="AD46" s="158" t="str">
        <f>IF($AI46="","",IF(AND($AN46&lt;&gt;"",$AN46&lt;=EOMONTH(AD$12,0),$AO46&gt;=AD$12),IF(AND(INDEX('Roadmap Calc (Don’t Touch)'!$AA$2:$AX$151,$AI46,COLUMN()-COLUMN($J$16)+1)&gt;0,OR($D46="03. UX Discovery",$D46="04. UX Design")),IF(AND($H46&lt;&gt;"",$H46&lt;=EOMONTH(AD$12,0),$I46&gt;=AD$12),"ALL","PD+UX"),IF(AND($H46&lt;&gt;"",$H46&lt;=EOMONTH(AD$12,0),$I46&gt;=AD$12),"PD+DEV","PD")),IF(AND(INDEX('Roadmap Calc (Don’t Touch)'!$AA$2:$AX$151,$AI46,COLUMN()-COLUMN($J$16)+1)&gt;0,OR($D46="03. UX Discovery",$D46="04. UX Design")),IF(AND($H46&lt;&gt;"",$H46&lt;=EOMONTH(AD$12,0),$I46&gt;=AD$12),"UX+DEV","UX"),IF(AND($H46&lt;&gt;"",$H46&lt;=EOMONTH(AD$12,0),$I46&gt;=AD$12),"DEV",""))))</f>
      </c>
      <c r="AE46" s="158" t="str">
        <f>IF($AI46="","",IF(AND($AN46&lt;&gt;"",$AN46&lt;=EOMONTH(AE$12,0),$AO46&gt;=AE$12),IF(AND(INDEX('Roadmap Calc (Don’t Touch)'!$AA$2:$AX$151,$AI46,COLUMN()-COLUMN($J$16)+1)&gt;0,OR($D46="03. UX Discovery",$D46="04. UX Design")),IF(AND($H46&lt;&gt;"",$H46&lt;=EOMONTH(AE$12,0),$I46&gt;=AE$12),"ALL","PD+UX"),IF(AND($H46&lt;&gt;"",$H46&lt;=EOMONTH(AE$12,0),$I46&gt;=AE$12),"PD+DEV","PD")),IF(AND(INDEX('Roadmap Calc (Don’t Touch)'!$AA$2:$AX$151,$AI46,COLUMN()-COLUMN($J$16)+1)&gt;0,OR($D46="03. UX Discovery",$D46="04. UX Design")),IF(AND($H46&lt;&gt;"",$H46&lt;=EOMONTH(AE$12,0),$I46&gt;=AE$12),"UX+DEV","UX"),IF(AND($H46&lt;&gt;"",$H46&lt;=EOMONTH(AE$12,0),$I46&gt;=AE$12),"DEV",""))))</f>
      </c>
      <c r="AF46" s="158" t="str">
        <f>IF($AI46="","",IF(AND($AN46&lt;&gt;"",$AN46&lt;=EOMONTH(AF$12,0),$AO46&gt;=AF$12),IF(AND(INDEX('Roadmap Calc (Don’t Touch)'!$AA$2:$AX$151,$AI46,COLUMN()-COLUMN($J$16)+1)&gt;0,OR($D46="03. UX Discovery",$D46="04. UX Design")),IF(AND($H46&lt;&gt;"",$H46&lt;=EOMONTH(AF$12,0),$I46&gt;=AF$12),"ALL","PD+UX"),IF(AND($H46&lt;&gt;"",$H46&lt;=EOMONTH(AF$12,0),$I46&gt;=AF$12),"PD+DEV","PD")),IF(AND(INDEX('Roadmap Calc (Don’t Touch)'!$AA$2:$AX$151,$AI46,COLUMN()-COLUMN($J$16)+1)&gt;0,OR($D46="03. UX Discovery",$D46="04. UX Design")),IF(AND($H46&lt;&gt;"",$H46&lt;=EOMONTH(AF$12,0),$I46&gt;=AF$12),"UX+DEV","UX"),IF(AND($H46&lt;&gt;"",$H46&lt;=EOMONTH(AF$12,0),$I46&gt;=AF$12),"DEV",""))))</f>
      </c>
      <c r="AG46" s="158" t="str">
        <f>IF($AI46="","",IF(AND($AN46&lt;&gt;"",$AN46&lt;=EOMONTH(AG$12,0),$AO46&gt;=AG$12),IF(AND(INDEX('Roadmap Calc (Don’t Touch)'!$AA$2:$AX$151,$AI46,COLUMN()-COLUMN($J$16)+1)&gt;0,OR($D46="03. UX Discovery",$D46="04. UX Design")),IF(AND($H46&lt;&gt;"",$H46&lt;=EOMONTH(AG$12,0),$I46&gt;=AG$12),"ALL","PD+UX"),IF(AND($H46&lt;&gt;"",$H46&lt;=EOMONTH(AG$12,0),$I46&gt;=AG$12),"PD+DEV","PD")),IF(AND(INDEX('Roadmap Calc (Don’t Touch)'!$AA$2:$AX$151,$AI46,COLUMN()-COLUMN($J$16)+1)&gt;0,OR($D46="03. UX Discovery",$D46="04. UX Design")),IF(AND($H46&lt;&gt;"",$H46&lt;=EOMONTH(AG$12,0),$I46&gt;=AG$12),"UX+DEV","UX"),IF(AND($H46&lt;&gt;"",$H46&lt;=EOMONTH(AG$12,0),$I46&gt;=AG$12),"DEV",""))))</f>
      </c>
      <c r="AH46" s="145" t="str">
        <f>IF($AI46="","",INDEX('Roadmap Calc (Don’t Touch)'!$D$2:$D$151,$AI46))</f>
        <v/>
      </c>
      <c r="AI46" s="145" t="str">
        <f>IFERROR(MATCH(31,'Roadmap Calc (Don’t Touch)'!$O$2:$O$151,0),"")</f>
        <v/>
      </c>
      <c r="AJ46" s="145"/>
      <c r="AK46" s="145"/>
      <c r="AL46" s="145"/>
      <c r="AM46" s="145"/>
      <c r="AN46">
        <f>IF($AI46="","",IF(ISNUMBER(INDEX('Roadmap Calc (Don’t Touch)'!$BB$2:$BB$151,$AI46)),INDEX('Roadmap Calc (Don’t Touch)'!$BB$2:$BB$151,$AI46),""))</f>
      </c>
      <c r="AO46">
        <f>IF($AI46="","",IF(ISNUMBER(INDEX('Roadmap Calc (Don’t Touch)'!$BC$2:$BC$151,$AI46)),INDEX('Roadmap Calc (Don’t Touch)'!$BC$2:$BC$151,$AI46),""))</f>
      </c>
    </row>
    <row r="47" spans="1:41" ht="20" customHeight="1" x14ac:dyDescent="0.25">
      <c r="A47" s="198" t="str">
        <f>IF($AI47="","",IF($AH47=$AH46,"",IF(INDEX('Roadmap Calc (Don’t Touch)'!$U$2:$U$151,$AI47)=0,$AH47,HYPERLINK("#'Control (Don’t Touch)'!E"&amp;INDEX('Roadmap Calc (Don’t Touch)'!$U$2:$U$151,$AI47),$AH47))))</f>
        <v/>
      </c>
      <c r="B47" s="159" t="str">
        <f>IF($AI47="","",IF(INDEX('Roadmap Calc (Don’t Touch)'!$K$2:$K$151,$AI47)="",INDEX('Roadmap Calc (Don’t Touch)'!$B$2:$B$151,$AI47),HYPERLINK("https://jira.bnh.com/browse/"&amp;INDEX('Roadmap Calc (Don’t Touch)'!$K$2:$K$151,$AI47),INDEX('Roadmap Calc (Don’t Touch)'!$B$2:$B$151,$AI47))))</f>
        <v/>
      </c>
      <c r="C47" s="159" t="str">
        <f>IF($AI47="","",IF(INDEX('Roadmap Calc (Don’t Touch)'!$E$2:$E$151,$AI47)="","",HYPERLINK("https://jira.bnh.com/browse/"&amp;INDEX('Roadmap Calc (Don’t Touch)'!$E$2:$E$151,$AI47),INDEX('Roadmap Calc (Don’t Touch)'!$E$2:$E$151,$AI47))))</f>
        <v/>
      </c>
      <c r="D47" s="161" t="str">
        <f>IF($AI47="","",INDEX('Roadmap Calc (Don’t Touch)'!$F$2:$F$151,$AI47))</f>
        <v/>
      </c>
      <c r="E47" s="155" t="str">
        <f>IF($AI47="","",IF(ISNUMBER(INDEX('Roadmap Calc (Don’t Touch)'!$G$2:$G$151,$AI47)),INDEX('Roadmap Calc (Don’t Touch)'!$G$2:$G$151,$AI47),""))</f>
        <v/>
      </c>
      <c r="F47" s="155" t="str">
        <f>IF($AI47="","",IF(ISNUMBER(INDEX('Roadmap Calc (Don’t Touch)'!$H$2:$H$151,$AI47)),INDEX('Roadmap Calc (Don’t Touch)'!$H$2:$H$151,$AI47),""))</f>
        <v/>
      </c>
      <c r="G47" s="156" t="str">
        <f>IF($AI47="","",INDEX('Roadmap Calc (Don’t Touch)'!$T$2:$T$151,$AI47))</f>
        <v/>
      </c>
      <c r="H47" s="157" t="str">
        <f>IF($AI47="","",IF(ISNUMBER(INDEX('Roadmap Calc (Don’t Touch)'!$I$2:$I$151,$AI47)),INDEX('Roadmap Calc (Don’t Touch)'!$I$2:$I$151,$AI47),""))</f>
        <v/>
      </c>
      <c r="I47" s="157" t="str">
        <f>IF($AI47="","",IF(ISNUMBER(INDEX('Roadmap Calc (Don’t Touch)'!$J$2:$J$151,$AI47)),INDEX('Roadmap Calc (Don’t Touch)'!$J$2:$J$151,$AI47),""))</f>
        <v/>
      </c>
      <c r="J47" s="158" t="str">
        <f>IF($AI47="","",IF(AND($AN47&lt;&gt;"",$AN47&lt;=EOMONTH(J$12,0),$AO47&gt;=J$12),IF(AND(INDEX('Roadmap Calc (Don’t Touch)'!$AA$2:$AX$151,$AI47,COLUMN()-COLUMN($J$16)+1)&gt;0,OR($D47="03. UX Discovery",$D47="04. UX Design")),IF(AND($H47&lt;&gt;"",$H47&lt;=EOMONTH(J$12,0),$I47&gt;=J$12),"ALL","PD+UX"),IF(AND($H47&lt;&gt;"",$H47&lt;=EOMONTH(J$12,0),$I47&gt;=J$12),"PD+DEV","PD")),IF(AND(INDEX('Roadmap Calc (Don’t Touch)'!$AA$2:$AX$151,$AI47,COLUMN()-COLUMN($J$16)+1)&gt;0,OR($D47="03. UX Discovery",$D47="04. UX Design")),IF(AND($H47&lt;&gt;"",$H47&lt;=EOMONTH(J$12,0),$I47&gt;=J$12),"UX+DEV","UX"),IF(AND($H47&lt;&gt;"",$H47&lt;=EOMONTH(J$12,0),$I47&gt;=J$12),"DEV",""))))</f>
      </c>
      <c r="K47" s="158" t="str">
        <f>IF($AI47="","",IF(AND($AN47&lt;&gt;"",$AN47&lt;=EOMONTH(K$12,0),$AO47&gt;=K$12),IF(AND(INDEX('Roadmap Calc (Don’t Touch)'!$AA$2:$AX$151,$AI47,COLUMN()-COLUMN($J$16)+1)&gt;0,OR($D47="03. UX Discovery",$D47="04. UX Design")),IF(AND($H47&lt;&gt;"",$H47&lt;=EOMONTH(K$12,0),$I47&gt;=K$12),"ALL","PD+UX"),IF(AND($H47&lt;&gt;"",$H47&lt;=EOMONTH(K$12,0),$I47&gt;=K$12),"PD+DEV","PD")),IF(AND(INDEX('Roadmap Calc (Don’t Touch)'!$AA$2:$AX$151,$AI47,COLUMN()-COLUMN($J$16)+1)&gt;0,OR($D47="03. UX Discovery",$D47="04. UX Design")),IF(AND($H47&lt;&gt;"",$H47&lt;=EOMONTH(K$12,0),$I47&gt;=K$12),"UX+DEV","UX"),IF(AND($H47&lt;&gt;"",$H47&lt;=EOMONTH(K$12,0),$I47&gt;=K$12),"DEV",""))))</f>
      </c>
      <c r="L47" s="158" t="str">
        <f>IF($AI47="","",IF(AND($AN47&lt;&gt;"",$AN47&lt;=EOMONTH(L$12,0),$AO47&gt;=L$12),IF(AND(INDEX('Roadmap Calc (Don’t Touch)'!$AA$2:$AX$151,$AI47,COLUMN()-COLUMN($J$16)+1)&gt;0,OR($D47="03. UX Discovery",$D47="04. UX Design")),IF(AND($H47&lt;&gt;"",$H47&lt;=EOMONTH(L$12,0),$I47&gt;=L$12),"ALL","PD+UX"),IF(AND($H47&lt;&gt;"",$H47&lt;=EOMONTH(L$12,0),$I47&gt;=L$12),"PD+DEV","PD")),IF(AND(INDEX('Roadmap Calc (Don’t Touch)'!$AA$2:$AX$151,$AI47,COLUMN()-COLUMN($J$16)+1)&gt;0,OR($D47="03. UX Discovery",$D47="04. UX Design")),IF(AND($H47&lt;&gt;"",$H47&lt;=EOMONTH(L$12,0),$I47&gt;=L$12),"UX+DEV","UX"),IF(AND($H47&lt;&gt;"",$H47&lt;=EOMONTH(L$12,0),$I47&gt;=L$12),"DEV",""))))</f>
      </c>
      <c r="M47" s="158" t="str">
        <f>IF($AI47="","",IF(AND($AN47&lt;&gt;"",$AN47&lt;=EOMONTH(M$12,0),$AO47&gt;=M$12),IF(AND(INDEX('Roadmap Calc (Don’t Touch)'!$AA$2:$AX$151,$AI47,COLUMN()-COLUMN($J$16)+1)&gt;0,OR($D47="03. UX Discovery",$D47="04. UX Design")),IF(AND($H47&lt;&gt;"",$H47&lt;=EOMONTH(M$12,0),$I47&gt;=M$12),"ALL","PD+UX"),IF(AND($H47&lt;&gt;"",$H47&lt;=EOMONTH(M$12,0),$I47&gt;=M$12),"PD+DEV","PD")),IF(AND(INDEX('Roadmap Calc (Don’t Touch)'!$AA$2:$AX$151,$AI47,COLUMN()-COLUMN($J$16)+1)&gt;0,OR($D47="03. UX Discovery",$D47="04. UX Design")),IF(AND($H47&lt;&gt;"",$H47&lt;=EOMONTH(M$12,0),$I47&gt;=M$12),"UX+DEV","UX"),IF(AND($H47&lt;&gt;"",$H47&lt;=EOMONTH(M$12,0),$I47&gt;=M$12),"DEV",""))))</f>
      </c>
      <c r="N47" s="158" t="str">
        <f>IF($AI47="","",IF(AND($AN47&lt;&gt;"",$AN47&lt;=EOMONTH(N$12,0),$AO47&gt;=N$12),IF(AND(INDEX('Roadmap Calc (Don’t Touch)'!$AA$2:$AX$151,$AI47,COLUMN()-COLUMN($J$16)+1)&gt;0,OR($D47="03. UX Discovery",$D47="04. UX Design")),IF(AND($H47&lt;&gt;"",$H47&lt;=EOMONTH(N$12,0),$I47&gt;=N$12),"ALL","PD+UX"),IF(AND($H47&lt;&gt;"",$H47&lt;=EOMONTH(N$12,0),$I47&gt;=N$12),"PD+DEV","PD")),IF(AND(INDEX('Roadmap Calc (Don’t Touch)'!$AA$2:$AX$151,$AI47,COLUMN()-COLUMN($J$16)+1)&gt;0,OR($D47="03. UX Discovery",$D47="04. UX Design")),IF(AND($H47&lt;&gt;"",$H47&lt;=EOMONTH(N$12,0),$I47&gt;=N$12),"UX+DEV","UX"),IF(AND($H47&lt;&gt;"",$H47&lt;=EOMONTH(N$12,0),$I47&gt;=N$12),"DEV",""))))</f>
      </c>
      <c r="O47" s="158" t="str">
        <f>IF($AI47="","",IF(AND($AN47&lt;&gt;"",$AN47&lt;=EOMONTH(O$12,0),$AO47&gt;=O$12),IF(AND(INDEX('Roadmap Calc (Don’t Touch)'!$AA$2:$AX$151,$AI47,COLUMN()-COLUMN($J$16)+1)&gt;0,OR($D47="03. UX Discovery",$D47="04. UX Design")),IF(AND($H47&lt;&gt;"",$H47&lt;=EOMONTH(O$12,0),$I47&gt;=O$12),"ALL","PD+UX"),IF(AND($H47&lt;&gt;"",$H47&lt;=EOMONTH(O$12,0),$I47&gt;=O$12),"PD+DEV","PD")),IF(AND(INDEX('Roadmap Calc (Don’t Touch)'!$AA$2:$AX$151,$AI47,COLUMN()-COLUMN($J$16)+1)&gt;0,OR($D47="03. UX Discovery",$D47="04. UX Design")),IF(AND($H47&lt;&gt;"",$H47&lt;=EOMONTH(O$12,0),$I47&gt;=O$12),"UX+DEV","UX"),IF(AND($H47&lt;&gt;"",$H47&lt;=EOMONTH(O$12,0),$I47&gt;=O$12),"DEV",""))))</f>
      </c>
      <c r="P47" s="158" t="str">
        <f>IF($AI47="","",IF(AND($AN47&lt;&gt;"",$AN47&lt;=EOMONTH(P$12,0),$AO47&gt;=P$12),IF(AND(INDEX('Roadmap Calc (Don’t Touch)'!$AA$2:$AX$151,$AI47,COLUMN()-COLUMN($J$16)+1)&gt;0,OR($D47="03. UX Discovery",$D47="04. UX Design")),IF(AND($H47&lt;&gt;"",$H47&lt;=EOMONTH(P$12,0),$I47&gt;=P$12),"ALL","PD+UX"),IF(AND($H47&lt;&gt;"",$H47&lt;=EOMONTH(P$12,0),$I47&gt;=P$12),"PD+DEV","PD")),IF(AND(INDEX('Roadmap Calc (Don’t Touch)'!$AA$2:$AX$151,$AI47,COLUMN()-COLUMN($J$16)+1)&gt;0,OR($D47="03. UX Discovery",$D47="04. UX Design")),IF(AND($H47&lt;&gt;"",$H47&lt;=EOMONTH(P$12,0),$I47&gt;=P$12),"UX+DEV","UX"),IF(AND($H47&lt;&gt;"",$H47&lt;=EOMONTH(P$12,0),$I47&gt;=P$12),"DEV",""))))</f>
      </c>
      <c r="Q47" s="158" t="str">
        <f>IF($AI47="","",IF(AND($AN47&lt;&gt;"",$AN47&lt;=EOMONTH(Q$12,0),$AO47&gt;=Q$12),IF(AND(INDEX('Roadmap Calc (Don’t Touch)'!$AA$2:$AX$151,$AI47,COLUMN()-COLUMN($J$16)+1)&gt;0,OR($D47="03. UX Discovery",$D47="04. UX Design")),IF(AND($H47&lt;&gt;"",$H47&lt;=EOMONTH(Q$12,0),$I47&gt;=Q$12),"ALL","PD+UX"),IF(AND($H47&lt;&gt;"",$H47&lt;=EOMONTH(Q$12,0),$I47&gt;=Q$12),"PD+DEV","PD")),IF(AND(INDEX('Roadmap Calc (Don’t Touch)'!$AA$2:$AX$151,$AI47,COLUMN()-COLUMN($J$16)+1)&gt;0,OR($D47="03. UX Discovery",$D47="04. UX Design")),IF(AND($H47&lt;&gt;"",$H47&lt;=EOMONTH(Q$12,0),$I47&gt;=Q$12),"UX+DEV","UX"),IF(AND($H47&lt;&gt;"",$H47&lt;=EOMONTH(Q$12,0),$I47&gt;=Q$12),"DEV",""))))</f>
      </c>
      <c r="R47" s="158" t="str">
        <f>IF($AI47="","",IF(AND($AN47&lt;&gt;"",$AN47&lt;=EOMONTH(R$12,0),$AO47&gt;=R$12),IF(AND(INDEX('Roadmap Calc (Don’t Touch)'!$AA$2:$AX$151,$AI47,COLUMN()-COLUMN($J$16)+1)&gt;0,OR($D47="03. UX Discovery",$D47="04. UX Design")),IF(AND($H47&lt;&gt;"",$H47&lt;=EOMONTH(R$12,0),$I47&gt;=R$12),"ALL","PD+UX"),IF(AND($H47&lt;&gt;"",$H47&lt;=EOMONTH(R$12,0),$I47&gt;=R$12),"PD+DEV","PD")),IF(AND(INDEX('Roadmap Calc (Don’t Touch)'!$AA$2:$AX$151,$AI47,COLUMN()-COLUMN($J$16)+1)&gt;0,OR($D47="03. UX Discovery",$D47="04. UX Design")),IF(AND($H47&lt;&gt;"",$H47&lt;=EOMONTH(R$12,0),$I47&gt;=R$12),"UX+DEV","UX"),IF(AND($H47&lt;&gt;"",$H47&lt;=EOMONTH(R$12,0),$I47&gt;=R$12),"DEV",""))))</f>
      </c>
      <c r="S47" s="158" t="str">
        <f>IF($AI47="","",IF(AND($AN47&lt;&gt;"",$AN47&lt;=EOMONTH(S$12,0),$AO47&gt;=S$12),IF(AND(INDEX('Roadmap Calc (Don’t Touch)'!$AA$2:$AX$151,$AI47,COLUMN()-COLUMN($J$16)+1)&gt;0,OR($D47="03. UX Discovery",$D47="04. UX Design")),IF(AND($H47&lt;&gt;"",$H47&lt;=EOMONTH(S$12,0),$I47&gt;=S$12),"ALL","PD+UX"),IF(AND($H47&lt;&gt;"",$H47&lt;=EOMONTH(S$12,0),$I47&gt;=S$12),"PD+DEV","PD")),IF(AND(INDEX('Roadmap Calc (Don’t Touch)'!$AA$2:$AX$151,$AI47,COLUMN()-COLUMN($J$16)+1)&gt;0,OR($D47="03. UX Discovery",$D47="04. UX Design")),IF(AND($H47&lt;&gt;"",$H47&lt;=EOMONTH(S$12,0),$I47&gt;=S$12),"UX+DEV","UX"),IF(AND($H47&lt;&gt;"",$H47&lt;=EOMONTH(S$12,0),$I47&gt;=S$12),"DEV",""))))</f>
      </c>
      <c r="T47" s="158" t="str">
        <f>IF($AI47="","",IF(AND($AN47&lt;&gt;"",$AN47&lt;=EOMONTH(T$12,0),$AO47&gt;=T$12),IF(AND(INDEX('Roadmap Calc (Don’t Touch)'!$AA$2:$AX$151,$AI47,COLUMN()-COLUMN($J$16)+1)&gt;0,OR($D47="03. UX Discovery",$D47="04. UX Design")),IF(AND($H47&lt;&gt;"",$H47&lt;=EOMONTH(T$12,0),$I47&gt;=T$12),"ALL","PD+UX"),IF(AND($H47&lt;&gt;"",$H47&lt;=EOMONTH(T$12,0),$I47&gt;=T$12),"PD+DEV","PD")),IF(AND(INDEX('Roadmap Calc (Don’t Touch)'!$AA$2:$AX$151,$AI47,COLUMN()-COLUMN($J$16)+1)&gt;0,OR($D47="03. UX Discovery",$D47="04. UX Design")),IF(AND($H47&lt;&gt;"",$H47&lt;=EOMONTH(T$12,0),$I47&gt;=T$12),"UX+DEV","UX"),IF(AND($H47&lt;&gt;"",$H47&lt;=EOMONTH(T$12,0),$I47&gt;=T$12),"DEV",""))))</f>
      </c>
      <c r="U47" s="158" t="str">
        <f>IF($AI47="","",IF(AND($AN47&lt;&gt;"",$AN47&lt;=EOMONTH(U$12,0),$AO47&gt;=U$12),IF(AND(INDEX('Roadmap Calc (Don’t Touch)'!$AA$2:$AX$151,$AI47,COLUMN()-COLUMN($J$16)+1)&gt;0,OR($D47="03. UX Discovery",$D47="04. UX Design")),IF(AND($H47&lt;&gt;"",$H47&lt;=EOMONTH(U$12,0),$I47&gt;=U$12),"ALL","PD+UX"),IF(AND($H47&lt;&gt;"",$H47&lt;=EOMONTH(U$12,0),$I47&gt;=U$12),"PD+DEV","PD")),IF(AND(INDEX('Roadmap Calc (Don’t Touch)'!$AA$2:$AX$151,$AI47,COLUMN()-COLUMN($J$16)+1)&gt;0,OR($D47="03. UX Discovery",$D47="04. UX Design")),IF(AND($H47&lt;&gt;"",$H47&lt;=EOMONTH(U$12,0),$I47&gt;=U$12),"UX+DEV","UX"),IF(AND($H47&lt;&gt;"",$H47&lt;=EOMONTH(U$12,0),$I47&gt;=U$12),"DEV",""))))</f>
      </c>
      <c r="V47" s="158" t="str">
        <f>IF($AI47="","",IF(AND($AN47&lt;&gt;"",$AN47&lt;=EOMONTH(V$12,0),$AO47&gt;=V$12),IF(AND(INDEX('Roadmap Calc (Don’t Touch)'!$AA$2:$AX$151,$AI47,COLUMN()-COLUMN($J$16)+1)&gt;0,OR($D47="03. UX Discovery",$D47="04. UX Design")),IF(AND($H47&lt;&gt;"",$H47&lt;=EOMONTH(V$12,0),$I47&gt;=V$12),"ALL","PD+UX"),IF(AND($H47&lt;&gt;"",$H47&lt;=EOMONTH(V$12,0),$I47&gt;=V$12),"PD+DEV","PD")),IF(AND(INDEX('Roadmap Calc (Don’t Touch)'!$AA$2:$AX$151,$AI47,COLUMN()-COLUMN($J$16)+1)&gt;0,OR($D47="03. UX Discovery",$D47="04. UX Design")),IF(AND($H47&lt;&gt;"",$H47&lt;=EOMONTH(V$12,0),$I47&gt;=V$12),"UX+DEV","UX"),IF(AND($H47&lt;&gt;"",$H47&lt;=EOMONTH(V$12,0),$I47&gt;=V$12),"DEV",""))))</f>
      </c>
      <c r="W47" s="158" t="str">
        <f>IF($AI47="","",IF(AND($AN47&lt;&gt;"",$AN47&lt;=EOMONTH(W$12,0),$AO47&gt;=W$12),IF(AND(INDEX('Roadmap Calc (Don’t Touch)'!$AA$2:$AX$151,$AI47,COLUMN()-COLUMN($J$16)+1)&gt;0,OR($D47="03. UX Discovery",$D47="04. UX Design")),IF(AND($H47&lt;&gt;"",$H47&lt;=EOMONTH(W$12,0),$I47&gt;=W$12),"ALL","PD+UX"),IF(AND($H47&lt;&gt;"",$H47&lt;=EOMONTH(W$12,0),$I47&gt;=W$12),"PD+DEV","PD")),IF(AND(INDEX('Roadmap Calc (Don’t Touch)'!$AA$2:$AX$151,$AI47,COLUMN()-COLUMN($J$16)+1)&gt;0,OR($D47="03. UX Discovery",$D47="04. UX Design")),IF(AND($H47&lt;&gt;"",$H47&lt;=EOMONTH(W$12,0),$I47&gt;=W$12),"UX+DEV","UX"),IF(AND($H47&lt;&gt;"",$H47&lt;=EOMONTH(W$12,0),$I47&gt;=W$12),"DEV",""))))</f>
      </c>
      <c r="X47" s="158" t="str">
        <f>IF($AI47="","",IF(AND($AN47&lt;&gt;"",$AN47&lt;=EOMONTH(X$12,0),$AO47&gt;=X$12),IF(AND(INDEX('Roadmap Calc (Don’t Touch)'!$AA$2:$AX$151,$AI47,COLUMN()-COLUMN($J$16)+1)&gt;0,OR($D47="03. UX Discovery",$D47="04. UX Design")),IF(AND($H47&lt;&gt;"",$H47&lt;=EOMONTH(X$12,0),$I47&gt;=X$12),"ALL","PD+UX"),IF(AND($H47&lt;&gt;"",$H47&lt;=EOMONTH(X$12,0),$I47&gt;=X$12),"PD+DEV","PD")),IF(AND(INDEX('Roadmap Calc (Don’t Touch)'!$AA$2:$AX$151,$AI47,COLUMN()-COLUMN($J$16)+1)&gt;0,OR($D47="03. UX Discovery",$D47="04. UX Design")),IF(AND($H47&lt;&gt;"",$H47&lt;=EOMONTH(X$12,0),$I47&gt;=X$12),"UX+DEV","UX"),IF(AND($H47&lt;&gt;"",$H47&lt;=EOMONTH(X$12,0),$I47&gt;=X$12),"DEV",""))))</f>
      </c>
      <c r="Y47" s="158" t="str">
        <f>IF($AI47="","",IF(AND($AN47&lt;&gt;"",$AN47&lt;=EOMONTH(Y$12,0),$AO47&gt;=Y$12),IF(AND(INDEX('Roadmap Calc (Don’t Touch)'!$AA$2:$AX$151,$AI47,COLUMN()-COLUMN($J$16)+1)&gt;0,OR($D47="03. UX Discovery",$D47="04. UX Design")),IF(AND($H47&lt;&gt;"",$H47&lt;=EOMONTH(Y$12,0),$I47&gt;=Y$12),"ALL","PD+UX"),IF(AND($H47&lt;&gt;"",$H47&lt;=EOMONTH(Y$12,0),$I47&gt;=Y$12),"PD+DEV","PD")),IF(AND(INDEX('Roadmap Calc (Don’t Touch)'!$AA$2:$AX$151,$AI47,COLUMN()-COLUMN($J$16)+1)&gt;0,OR($D47="03. UX Discovery",$D47="04. UX Design")),IF(AND($H47&lt;&gt;"",$H47&lt;=EOMONTH(Y$12,0),$I47&gt;=Y$12),"UX+DEV","UX"),IF(AND($H47&lt;&gt;"",$H47&lt;=EOMONTH(Y$12,0),$I47&gt;=Y$12),"DEV",""))))</f>
      </c>
      <c r="Z47" s="158" t="str">
        <f>IF($AI47="","",IF(AND($AN47&lt;&gt;"",$AN47&lt;=EOMONTH(Z$12,0),$AO47&gt;=Z$12),IF(AND(INDEX('Roadmap Calc (Don’t Touch)'!$AA$2:$AX$151,$AI47,COLUMN()-COLUMN($J$16)+1)&gt;0,OR($D47="03. UX Discovery",$D47="04. UX Design")),IF(AND($H47&lt;&gt;"",$H47&lt;=EOMONTH(Z$12,0),$I47&gt;=Z$12),"ALL","PD+UX"),IF(AND($H47&lt;&gt;"",$H47&lt;=EOMONTH(Z$12,0),$I47&gt;=Z$12),"PD+DEV","PD")),IF(AND(INDEX('Roadmap Calc (Don’t Touch)'!$AA$2:$AX$151,$AI47,COLUMN()-COLUMN($J$16)+1)&gt;0,OR($D47="03. UX Discovery",$D47="04. UX Design")),IF(AND($H47&lt;&gt;"",$H47&lt;=EOMONTH(Z$12,0),$I47&gt;=Z$12),"UX+DEV","UX"),IF(AND($H47&lt;&gt;"",$H47&lt;=EOMONTH(Z$12,0),$I47&gt;=Z$12),"DEV",""))))</f>
      </c>
      <c r="AA47" s="158" t="str">
        <f>IF($AI47="","",IF(AND($AN47&lt;&gt;"",$AN47&lt;=EOMONTH(AA$12,0),$AO47&gt;=AA$12),IF(AND(INDEX('Roadmap Calc (Don’t Touch)'!$AA$2:$AX$151,$AI47,COLUMN()-COLUMN($J$16)+1)&gt;0,OR($D47="03. UX Discovery",$D47="04. UX Design")),IF(AND($H47&lt;&gt;"",$H47&lt;=EOMONTH(AA$12,0),$I47&gt;=AA$12),"ALL","PD+UX"),IF(AND($H47&lt;&gt;"",$H47&lt;=EOMONTH(AA$12,0),$I47&gt;=AA$12),"PD+DEV","PD")),IF(AND(INDEX('Roadmap Calc (Don’t Touch)'!$AA$2:$AX$151,$AI47,COLUMN()-COLUMN($J$16)+1)&gt;0,OR($D47="03. UX Discovery",$D47="04. UX Design")),IF(AND($H47&lt;&gt;"",$H47&lt;=EOMONTH(AA$12,0),$I47&gt;=AA$12),"UX+DEV","UX"),IF(AND($H47&lt;&gt;"",$H47&lt;=EOMONTH(AA$12,0),$I47&gt;=AA$12),"DEV",""))))</f>
      </c>
      <c r="AB47" s="158" t="str">
        <f>IF($AI47="","",IF(AND($AN47&lt;&gt;"",$AN47&lt;=EOMONTH(AB$12,0),$AO47&gt;=AB$12),IF(AND(INDEX('Roadmap Calc (Don’t Touch)'!$AA$2:$AX$151,$AI47,COLUMN()-COLUMN($J$16)+1)&gt;0,OR($D47="03. UX Discovery",$D47="04. UX Design")),IF(AND($H47&lt;&gt;"",$H47&lt;=EOMONTH(AB$12,0),$I47&gt;=AB$12),"ALL","PD+UX"),IF(AND($H47&lt;&gt;"",$H47&lt;=EOMONTH(AB$12,0),$I47&gt;=AB$12),"PD+DEV","PD")),IF(AND(INDEX('Roadmap Calc (Don’t Touch)'!$AA$2:$AX$151,$AI47,COLUMN()-COLUMN($J$16)+1)&gt;0,OR($D47="03. UX Discovery",$D47="04. UX Design")),IF(AND($H47&lt;&gt;"",$H47&lt;=EOMONTH(AB$12,0),$I47&gt;=AB$12),"UX+DEV","UX"),IF(AND($H47&lt;&gt;"",$H47&lt;=EOMONTH(AB$12,0),$I47&gt;=AB$12),"DEV",""))))</f>
      </c>
      <c r="AC47" s="158" t="str">
        <f>IF($AI47="","",IF(AND($AN47&lt;&gt;"",$AN47&lt;=EOMONTH(AC$12,0),$AO47&gt;=AC$12),IF(AND(INDEX('Roadmap Calc (Don’t Touch)'!$AA$2:$AX$151,$AI47,COLUMN()-COLUMN($J$16)+1)&gt;0,OR($D47="03. UX Discovery",$D47="04. UX Design")),IF(AND($H47&lt;&gt;"",$H47&lt;=EOMONTH(AC$12,0),$I47&gt;=AC$12),"ALL","PD+UX"),IF(AND($H47&lt;&gt;"",$H47&lt;=EOMONTH(AC$12,0),$I47&gt;=AC$12),"PD+DEV","PD")),IF(AND(INDEX('Roadmap Calc (Don’t Touch)'!$AA$2:$AX$151,$AI47,COLUMN()-COLUMN($J$16)+1)&gt;0,OR($D47="03. UX Discovery",$D47="04. UX Design")),IF(AND($H47&lt;&gt;"",$H47&lt;=EOMONTH(AC$12,0),$I47&gt;=AC$12),"UX+DEV","UX"),IF(AND($H47&lt;&gt;"",$H47&lt;=EOMONTH(AC$12,0),$I47&gt;=AC$12),"DEV",""))))</f>
      </c>
      <c r="AD47" s="158" t="str">
        <f>IF($AI47="","",IF(AND($AN47&lt;&gt;"",$AN47&lt;=EOMONTH(AD$12,0),$AO47&gt;=AD$12),IF(AND(INDEX('Roadmap Calc (Don’t Touch)'!$AA$2:$AX$151,$AI47,COLUMN()-COLUMN($J$16)+1)&gt;0,OR($D47="03. UX Discovery",$D47="04. UX Design")),IF(AND($H47&lt;&gt;"",$H47&lt;=EOMONTH(AD$12,0),$I47&gt;=AD$12),"ALL","PD+UX"),IF(AND($H47&lt;&gt;"",$H47&lt;=EOMONTH(AD$12,0),$I47&gt;=AD$12),"PD+DEV","PD")),IF(AND(INDEX('Roadmap Calc (Don’t Touch)'!$AA$2:$AX$151,$AI47,COLUMN()-COLUMN($J$16)+1)&gt;0,OR($D47="03. UX Discovery",$D47="04. UX Design")),IF(AND($H47&lt;&gt;"",$H47&lt;=EOMONTH(AD$12,0),$I47&gt;=AD$12),"UX+DEV","UX"),IF(AND($H47&lt;&gt;"",$H47&lt;=EOMONTH(AD$12,0),$I47&gt;=AD$12),"DEV",""))))</f>
      </c>
      <c r="AE47" s="158" t="str">
        <f>IF($AI47="","",IF(AND($AN47&lt;&gt;"",$AN47&lt;=EOMONTH(AE$12,0),$AO47&gt;=AE$12),IF(AND(INDEX('Roadmap Calc (Don’t Touch)'!$AA$2:$AX$151,$AI47,COLUMN()-COLUMN($J$16)+1)&gt;0,OR($D47="03. UX Discovery",$D47="04. UX Design")),IF(AND($H47&lt;&gt;"",$H47&lt;=EOMONTH(AE$12,0),$I47&gt;=AE$12),"ALL","PD+UX"),IF(AND($H47&lt;&gt;"",$H47&lt;=EOMONTH(AE$12,0),$I47&gt;=AE$12),"PD+DEV","PD")),IF(AND(INDEX('Roadmap Calc (Don’t Touch)'!$AA$2:$AX$151,$AI47,COLUMN()-COLUMN($J$16)+1)&gt;0,OR($D47="03. UX Discovery",$D47="04. UX Design")),IF(AND($H47&lt;&gt;"",$H47&lt;=EOMONTH(AE$12,0),$I47&gt;=AE$12),"UX+DEV","UX"),IF(AND($H47&lt;&gt;"",$H47&lt;=EOMONTH(AE$12,0),$I47&gt;=AE$12),"DEV",""))))</f>
      </c>
      <c r="AF47" s="158" t="str">
        <f>IF($AI47="","",IF(AND($AN47&lt;&gt;"",$AN47&lt;=EOMONTH(AF$12,0),$AO47&gt;=AF$12),IF(AND(INDEX('Roadmap Calc (Don’t Touch)'!$AA$2:$AX$151,$AI47,COLUMN()-COLUMN($J$16)+1)&gt;0,OR($D47="03. UX Discovery",$D47="04. UX Design")),IF(AND($H47&lt;&gt;"",$H47&lt;=EOMONTH(AF$12,0),$I47&gt;=AF$12),"ALL","PD+UX"),IF(AND($H47&lt;&gt;"",$H47&lt;=EOMONTH(AF$12,0),$I47&gt;=AF$12),"PD+DEV","PD")),IF(AND(INDEX('Roadmap Calc (Don’t Touch)'!$AA$2:$AX$151,$AI47,COLUMN()-COLUMN($J$16)+1)&gt;0,OR($D47="03. UX Discovery",$D47="04. UX Design")),IF(AND($H47&lt;&gt;"",$H47&lt;=EOMONTH(AF$12,0),$I47&gt;=AF$12),"UX+DEV","UX"),IF(AND($H47&lt;&gt;"",$H47&lt;=EOMONTH(AF$12,0),$I47&gt;=AF$12),"DEV",""))))</f>
      </c>
      <c r="AG47" s="158" t="str">
        <f>IF($AI47="","",IF(AND($AN47&lt;&gt;"",$AN47&lt;=EOMONTH(AG$12,0),$AO47&gt;=AG$12),IF(AND(INDEX('Roadmap Calc (Don’t Touch)'!$AA$2:$AX$151,$AI47,COLUMN()-COLUMN($J$16)+1)&gt;0,OR($D47="03. UX Discovery",$D47="04. UX Design")),IF(AND($H47&lt;&gt;"",$H47&lt;=EOMONTH(AG$12,0),$I47&gt;=AG$12),"ALL","PD+UX"),IF(AND($H47&lt;&gt;"",$H47&lt;=EOMONTH(AG$12,0),$I47&gt;=AG$12),"PD+DEV","PD")),IF(AND(INDEX('Roadmap Calc (Don’t Touch)'!$AA$2:$AX$151,$AI47,COLUMN()-COLUMN($J$16)+1)&gt;0,OR($D47="03. UX Discovery",$D47="04. UX Design")),IF(AND($H47&lt;&gt;"",$H47&lt;=EOMONTH(AG$12,0),$I47&gt;=AG$12),"UX+DEV","UX"),IF(AND($H47&lt;&gt;"",$H47&lt;=EOMONTH(AG$12,0),$I47&gt;=AG$12),"DEV",""))))</f>
      </c>
      <c r="AH47" s="145" t="str">
        <f>IF($AI47="","",INDEX('Roadmap Calc (Don’t Touch)'!$D$2:$D$151,$AI47))</f>
        <v/>
      </c>
      <c r="AI47" s="145" t="str">
        <f>IFERROR(MATCH(32,'Roadmap Calc (Don’t Touch)'!$O$2:$O$151,0),"")</f>
        <v/>
      </c>
      <c r="AJ47" s="145"/>
      <c r="AK47" s="145"/>
      <c r="AL47" s="145"/>
      <c r="AM47" s="145"/>
      <c r="AN47">
        <f>IF($AI47="","",IF(ISNUMBER(INDEX('Roadmap Calc (Don’t Touch)'!$BB$2:$BB$151,$AI47)),INDEX('Roadmap Calc (Don’t Touch)'!$BB$2:$BB$151,$AI47),""))</f>
      </c>
      <c r="AO47">
        <f>IF($AI47="","",IF(ISNUMBER(INDEX('Roadmap Calc (Don’t Touch)'!$BC$2:$BC$151,$AI47)),INDEX('Roadmap Calc (Don’t Touch)'!$BC$2:$BC$151,$AI47),""))</f>
      </c>
    </row>
    <row r="48" spans="1:41" ht="20" customHeight="1" x14ac:dyDescent="0.25">
      <c r="A48" s="198" t="str">
        <f>IF($AI48="","",IF($AH48=$AH47,"",IF(INDEX('Roadmap Calc (Don’t Touch)'!$U$2:$U$151,$AI48)=0,$AH48,HYPERLINK("#'Control (Don’t Touch)'!E"&amp;INDEX('Roadmap Calc (Don’t Touch)'!$U$2:$U$151,$AI48),$AH48))))</f>
        <v/>
      </c>
      <c r="B48" s="159" t="str">
        <f>IF($AI48="","",IF(INDEX('Roadmap Calc (Don’t Touch)'!$K$2:$K$151,$AI48)="",INDEX('Roadmap Calc (Don’t Touch)'!$B$2:$B$151,$AI48),HYPERLINK("https://jira.bnh.com/browse/"&amp;INDEX('Roadmap Calc (Don’t Touch)'!$K$2:$K$151,$AI48),INDEX('Roadmap Calc (Don’t Touch)'!$B$2:$B$151,$AI48))))</f>
        <v/>
      </c>
      <c r="C48" s="159" t="str">
        <f>IF($AI48="","",IF(INDEX('Roadmap Calc (Don’t Touch)'!$E$2:$E$151,$AI48)="","",HYPERLINK("https://jira.bnh.com/browse/"&amp;INDEX('Roadmap Calc (Don’t Touch)'!$E$2:$E$151,$AI48),INDEX('Roadmap Calc (Don’t Touch)'!$E$2:$E$151,$AI48))))</f>
        <v/>
      </c>
      <c r="D48" s="161" t="str">
        <f>IF($AI48="","",INDEX('Roadmap Calc (Don’t Touch)'!$F$2:$F$151,$AI48))</f>
        <v/>
      </c>
      <c r="E48" s="155" t="str">
        <f>IF($AI48="","",IF(ISNUMBER(INDEX('Roadmap Calc (Don’t Touch)'!$G$2:$G$151,$AI48)),INDEX('Roadmap Calc (Don’t Touch)'!$G$2:$G$151,$AI48),""))</f>
        <v/>
      </c>
      <c r="F48" s="155" t="str">
        <f>IF($AI48="","",IF(ISNUMBER(INDEX('Roadmap Calc (Don’t Touch)'!$H$2:$H$151,$AI48)),INDEX('Roadmap Calc (Don’t Touch)'!$H$2:$H$151,$AI48),""))</f>
        <v/>
      </c>
      <c r="G48" s="156" t="str">
        <f>IF($AI48="","",INDEX('Roadmap Calc (Don’t Touch)'!$T$2:$T$151,$AI48))</f>
        <v/>
      </c>
      <c r="H48" s="157" t="str">
        <f>IF($AI48="","",IF(ISNUMBER(INDEX('Roadmap Calc (Don’t Touch)'!$I$2:$I$151,$AI48)),INDEX('Roadmap Calc (Don’t Touch)'!$I$2:$I$151,$AI48),""))</f>
        <v/>
      </c>
      <c r="I48" s="157" t="str">
        <f>IF($AI48="","",IF(ISNUMBER(INDEX('Roadmap Calc (Don’t Touch)'!$J$2:$J$151,$AI48)),INDEX('Roadmap Calc (Don’t Touch)'!$J$2:$J$151,$AI48),""))</f>
        <v/>
      </c>
      <c r="J48" s="158" t="str">
        <f>IF($AI48="","",IF(AND($AN48&lt;&gt;"",$AN48&lt;=EOMONTH(J$12,0),$AO48&gt;=J$12),IF(AND(INDEX('Roadmap Calc (Don’t Touch)'!$AA$2:$AX$151,$AI48,COLUMN()-COLUMN($J$16)+1)&gt;0,OR($D48="03. UX Discovery",$D48="04. UX Design")),IF(AND($H48&lt;&gt;"",$H48&lt;=EOMONTH(J$12,0),$I48&gt;=J$12),"ALL","PD+UX"),IF(AND($H48&lt;&gt;"",$H48&lt;=EOMONTH(J$12,0),$I48&gt;=J$12),"PD+DEV","PD")),IF(AND(INDEX('Roadmap Calc (Don’t Touch)'!$AA$2:$AX$151,$AI48,COLUMN()-COLUMN($J$16)+1)&gt;0,OR($D48="03. UX Discovery",$D48="04. UX Design")),IF(AND($H48&lt;&gt;"",$H48&lt;=EOMONTH(J$12,0),$I48&gt;=J$12),"UX+DEV","UX"),IF(AND($H48&lt;&gt;"",$H48&lt;=EOMONTH(J$12,0),$I48&gt;=J$12),"DEV",""))))</f>
      </c>
      <c r="K48" s="158" t="str">
        <f>IF($AI48="","",IF(AND($AN48&lt;&gt;"",$AN48&lt;=EOMONTH(K$12,0),$AO48&gt;=K$12),IF(AND(INDEX('Roadmap Calc (Don’t Touch)'!$AA$2:$AX$151,$AI48,COLUMN()-COLUMN($J$16)+1)&gt;0,OR($D48="03. UX Discovery",$D48="04. UX Design")),IF(AND($H48&lt;&gt;"",$H48&lt;=EOMONTH(K$12,0),$I48&gt;=K$12),"ALL","PD+UX"),IF(AND($H48&lt;&gt;"",$H48&lt;=EOMONTH(K$12,0),$I48&gt;=K$12),"PD+DEV","PD")),IF(AND(INDEX('Roadmap Calc (Don’t Touch)'!$AA$2:$AX$151,$AI48,COLUMN()-COLUMN($J$16)+1)&gt;0,OR($D48="03. UX Discovery",$D48="04. UX Design")),IF(AND($H48&lt;&gt;"",$H48&lt;=EOMONTH(K$12,0),$I48&gt;=K$12),"UX+DEV","UX"),IF(AND($H48&lt;&gt;"",$H48&lt;=EOMONTH(K$12,0),$I48&gt;=K$12),"DEV",""))))</f>
      </c>
      <c r="L48" s="158" t="str">
        <f>IF($AI48="","",IF(AND($AN48&lt;&gt;"",$AN48&lt;=EOMONTH(L$12,0),$AO48&gt;=L$12),IF(AND(INDEX('Roadmap Calc (Don’t Touch)'!$AA$2:$AX$151,$AI48,COLUMN()-COLUMN($J$16)+1)&gt;0,OR($D48="03. UX Discovery",$D48="04. UX Design")),IF(AND($H48&lt;&gt;"",$H48&lt;=EOMONTH(L$12,0),$I48&gt;=L$12),"ALL","PD+UX"),IF(AND($H48&lt;&gt;"",$H48&lt;=EOMONTH(L$12,0),$I48&gt;=L$12),"PD+DEV","PD")),IF(AND(INDEX('Roadmap Calc (Don’t Touch)'!$AA$2:$AX$151,$AI48,COLUMN()-COLUMN($J$16)+1)&gt;0,OR($D48="03. UX Discovery",$D48="04. UX Design")),IF(AND($H48&lt;&gt;"",$H48&lt;=EOMONTH(L$12,0),$I48&gt;=L$12),"UX+DEV","UX"),IF(AND($H48&lt;&gt;"",$H48&lt;=EOMONTH(L$12,0),$I48&gt;=L$12),"DEV",""))))</f>
      </c>
      <c r="M48" s="158" t="str">
        <f>IF($AI48="","",IF(AND($AN48&lt;&gt;"",$AN48&lt;=EOMONTH(M$12,0),$AO48&gt;=M$12),IF(AND(INDEX('Roadmap Calc (Don’t Touch)'!$AA$2:$AX$151,$AI48,COLUMN()-COLUMN($J$16)+1)&gt;0,OR($D48="03. UX Discovery",$D48="04. UX Design")),IF(AND($H48&lt;&gt;"",$H48&lt;=EOMONTH(M$12,0),$I48&gt;=M$12),"ALL","PD+UX"),IF(AND($H48&lt;&gt;"",$H48&lt;=EOMONTH(M$12,0),$I48&gt;=M$12),"PD+DEV","PD")),IF(AND(INDEX('Roadmap Calc (Don’t Touch)'!$AA$2:$AX$151,$AI48,COLUMN()-COLUMN($J$16)+1)&gt;0,OR($D48="03. UX Discovery",$D48="04. UX Design")),IF(AND($H48&lt;&gt;"",$H48&lt;=EOMONTH(M$12,0),$I48&gt;=M$12),"UX+DEV","UX"),IF(AND($H48&lt;&gt;"",$H48&lt;=EOMONTH(M$12,0),$I48&gt;=M$12),"DEV",""))))</f>
      </c>
      <c r="N48" s="158" t="str">
        <f>IF($AI48="","",IF(AND($AN48&lt;&gt;"",$AN48&lt;=EOMONTH(N$12,0),$AO48&gt;=N$12),IF(AND(INDEX('Roadmap Calc (Don’t Touch)'!$AA$2:$AX$151,$AI48,COLUMN()-COLUMN($J$16)+1)&gt;0,OR($D48="03. UX Discovery",$D48="04. UX Design")),IF(AND($H48&lt;&gt;"",$H48&lt;=EOMONTH(N$12,0),$I48&gt;=N$12),"ALL","PD+UX"),IF(AND($H48&lt;&gt;"",$H48&lt;=EOMONTH(N$12,0),$I48&gt;=N$12),"PD+DEV","PD")),IF(AND(INDEX('Roadmap Calc (Don’t Touch)'!$AA$2:$AX$151,$AI48,COLUMN()-COLUMN($J$16)+1)&gt;0,OR($D48="03. UX Discovery",$D48="04. UX Design")),IF(AND($H48&lt;&gt;"",$H48&lt;=EOMONTH(N$12,0),$I48&gt;=N$12),"UX+DEV","UX"),IF(AND($H48&lt;&gt;"",$H48&lt;=EOMONTH(N$12,0),$I48&gt;=N$12),"DEV",""))))</f>
      </c>
      <c r="O48" s="158" t="str">
        <f>IF($AI48="","",IF(AND($AN48&lt;&gt;"",$AN48&lt;=EOMONTH(O$12,0),$AO48&gt;=O$12),IF(AND(INDEX('Roadmap Calc (Don’t Touch)'!$AA$2:$AX$151,$AI48,COLUMN()-COLUMN($J$16)+1)&gt;0,OR($D48="03. UX Discovery",$D48="04. UX Design")),IF(AND($H48&lt;&gt;"",$H48&lt;=EOMONTH(O$12,0),$I48&gt;=O$12),"ALL","PD+UX"),IF(AND($H48&lt;&gt;"",$H48&lt;=EOMONTH(O$12,0),$I48&gt;=O$12),"PD+DEV","PD")),IF(AND(INDEX('Roadmap Calc (Don’t Touch)'!$AA$2:$AX$151,$AI48,COLUMN()-COLUMN($J$16)+1)&gt;0,OR($D48="03. UX Discovery",$D48="04. UX Design")),IF(AND($H48&lt;&gt;"",$H48&lt;=EOMONTH(O$12,0),$I48&gt;=O$12),"UX+DEV","UX"),IF(AND($H48&lt;&gt;"",$H48&lt;=EOMONTH(O$12,0),$I48&gt;=O$12),"DEV",""))))</f>
      </c>
      <c r="P48" s="158" t="str">
        <f>IF($AI48="","",IF(AND($AN48&lt;&gt;"",$AN48&lt;=EOMONTH(P$12,0),$AO48&gt;=P$12),IF(AND(INDEX('Roadmap Calc (Don’t Touch)'!$AA$2:$AX$151,$AI48,COLUMN()-COLUMN($J$16)+1)&gt;0,OR($D48="03. UX Discovery",$D48="04. UX Design")),IF(AND($H48&lt;&gt;"",$H48&lt;=EOMONTH(P$12,0),$I48&gt;=P$12),"ALL","PD+UX"),IF(AND($H48&lt;&gt;"",$H48&lt;=EOMONTH(P$12,0),$I48&gt;=P$12),"PD+DEV","PD")),IF(AND(INDEX('Roadmap Calc (Don’t Touch)'!$AA$2:$AX$151,$AI48,COLUMN()-COLUMN($J$16)+1)&gt;0,OR($D48="03. UX Discovery",$D48="04. UX Design")),IF(AND($H48&lt;&gt;"",$H48&lt;=EOMONTH(P$12,0),$I48&gt;=P$12),"UX+DEV","UX"),IF(AND($H48&lt;&gt;"",$H48&lt;=EOMONTH(P$12,0),$I48&gt;=P$12),"DEV",""))))</f>
      </c>
      <c r="Q48" s="158" t="str">
        <f>IF($AI48="","",IF(AND($AN48&lt;&gt;"",$AN48&lt;=EOMONTH(Q$12,0),$AO48&gt;=Q$12),IF(AND(INDEX('Roadmap Calc (Don’t Touch)'!$AA$2:$AX$151,$AI48,COLUMN()-COLUMN($J$16)+1)&gt;0,OR($D48="03. UX Discovery",$D48="04. UX Design")),IF(AND($H48&lt;&gt;"",$H48&lt;=EOMONTH(Q$12,0),$I48&gt;=Q$12),"ALL","PD+UX"),IF(AND($H48&lt;&gt;"",$H48&lt;=EOMONTH(Q$12,0),$I48&gt;=Q$12),"PD+DEV","PD")),IF(AND(INDEX('Roadmap Calc (Don’t Touch)'!$AA$2:$AX$151,$AI48,COLUMN()-COLUMN($J$16)+1)&gt;0,OR($D48="03. UX Discovery",$D48="04. UX Design")),IF(AND($H48&lt;&gt;"",$H48&lt;=EOMONTH(Q$12,0),$I48&gt;=Q$12),"UX+DEV","UX"),IF(AND($H48&lt;&gt;"",$H48&lt;=EOMONTH(Q$12,0),$I48&gt;=Q$12),"DEV",""))))</f>
      </c>
      <c r="R48" s="158" t="str">
        <f>IF($AI48="","",IF(AND($AN48&lt;&gt;"",$AN48&lt;=EOMONTH(R$12,0),$AO48&gt;=R$12),IF(AND(INDEX('Roadmap Calc (Don’t Touch)'!$AA$2:$AX$151,$AI48,COLUMN()-COLUMN($J$16)+1)&gt;0,OR($D48="03. UX Discovery",$D48="04. UX Design")),IF(AND($H48&lt;&gt;"",$H48&lt;=EOMONTH(R$12,0),$I48&gt;=R$12),"ALL","PD+UX"),IF(AND($H48&lt;&gt;"",$H48&lt;=EOMONTH(R$12,0),$I48&gt;=R$12),"PD+DEV","PD")),IF(AND(INDEX('Roadmap Calc (Don’t Touch)'!$AA$2:$AX$151,$AI48,COLUMN()-COLUMN($J$16)+1)&gt;0,OR($D48="03. UX Discovery",$D48="04. UX Design")),IF(AND($H48&lt;&gt;"",$H48&lt;=EOMONTH(R$12,0),$I48&gt;=R$12),"UX+DEV","UX"),IF(AND($H48&lt;&gt;"",$H48&lt;=EOMONTH(R$12,0),$I48&gt;=R$12),"DEV",""))))</f>
      </c>
      <c r="S48" s="158" t="str">
        <f>IF($AI48="","",IF(AND($AN48&lt;&gt;"",$AN48&lt;=EOMONTH(S$12,0),$AO48&gt;=S$12),IF(AND(INDEX('Roadmap Calc (Don’t Touch)'!$AA$2:$AX$151,$AI48,COLUMN()-COLUMN($J$16)+1)&gt;0,OR($D48="03. UX Discovery",$D48="04. UX Design")),IF(AND($H48&lt;&gt;"",$H48&lt;=EOMONTH(S$12,0),$I48&gt;=S$12),"ALL","PD+UX"),IF(AND($H48&lt;&gt;"",$H48&lt;=EOMONTH(S$12,0),$I48&gt;=S$12),"PD+DEV","PD")),IF(AND(INDEX('Roadmap Calc (Don’t Touch)'!$AA$2:$AX$151,$AI48,COLUMN()-COLUMN($J$16)+1)&gt;0,OR($D48="03. UX Discovery",$D48="04. UX Design")),IF(AND($H48&lt;&gt;"",$H48&lt;=EOMONTH(S$12,0),$I48&gt;=S$12),"UX+DEV","UX"),IF(AND($H48&lt;&gt;"",$H48&lt;=EOMONTH(S$12,0),$I48&gt;=S$12),"DEV",""))))</f>
      </c>
      <c r="T48" s="158" t="str">
        <f>IF($AI48="","",IF(AND($AN48&lt;&gt;"",$AN48&lt;=EOMONTH(T$12,0),$AO48&gt;=T$12),IF(AND(INDEX('Roadmap Calc (Don’t Touch)'!$AA$2:$AX$151,$AI48,COLUMN()-COLUMN($J$16)+1)&gt;0,OR($D48="03. UX Discovery",$D48="04. UX Design")),IF(AND($H48&lt;&gt;"",$H48&lt;=EOMONTH(T$12,0),$I48&gt;=T$12),"ALL","PD+UX"),IF(AND($H48&lt;&gt;"",$H48&lt;=EOMONTH(T$12,0),$I48&gt;=T$12),"PD+DEV","PD")),IF(AND(INDEX('Roadmap Calc (Don’t Touch)'!$AA$2:$AX$151,$AI48,COLUMN()-COLUMN($J$16)+1)&gt;0,OR($D48="03. UX Discovery",$D48="04. UX Design")),IF(AND($H48&lt;&gt;"",$H48&lt;=EOMONTH(T$12,0),$I48&gt;=T$12),"UX+DEV","UX"),IF(AND($H48&lt;&gt;"",$H48&lt;=EOMONTH(T$12,0),$I48&gt;=T$12),"DEV",""))))</f>
      </c>
      <c r="U48" s="158" t="str">
        <f>IF($AI48="","",IF(AND($AN48&lt;&gt;"",$AN48&lt;=EOMONTH(U$12,0),$AO48&gt;=U$12),IF(AND(INDEX('Roadmap Calc (Don’t Touch)'!$AA$2:$AX$151,$AI48,COLUMN()-COLUMN($J$16)+1)&gt;0,OR($D48="03. UX Discovery",$D48="04. UX Design")),IF(AND($H48&lt;&gt;"",$H48&lt;=EOMONTH(U$12,0),$I48&gt;=U$12),"ALL","PD+UX"),IF(AND($H48&lt;&gt;"",$H48&lt;=EOMONTH(U$12,0),$I48&gt;=U$12),"PD+DEV","PD")),IF(AND(INDEX('Roadmap Calc (Don’t Touch)'!$AA$2:$AX$151,$AI48,COLUMN()-COLUMN($J$16)+1)&gt;0,OR($D48="03. UX Discovery",$D48="04. UX Design")),IF(AND($H48&lt;&gt;"",$H48&lt;=EOMONTH(U$12,0),$I48&gt;=U$12),"UX+DEV","UX"),IF(AND($H48&lt;&gt;"",$H48&lt;=EOMONTH(U$12,0),$I48&gt;=U$12),"DEV",""))))</f>
      </c>
      <c r="V48" s="158" t="str">
        <f>IF($AI48="","",IF(AND($AN48&lt;&gt;"",$AN48&lt;=EOMONTH(V$12,0),$AO48&gt;=V$12),IF(AND(INDEX('Roadmap Calc (Don’t Touch)'!$AA$2:$AX$151,$AI48,COLUMN()-COLUMN($J$16)+1)&gt;0,OR($D48="03. UX Discovery",$D48="04. UX Design")),IF(AND($H48&lt;&gt;"",$H48&lt;=EOMONTH(V$12,0),$I48&gt;=V$12),"ALL","PD+UX"),IF(AND($H48&lt;&gt;"",$H48&lt;=EOMONTH(V$12,0),$I48&gt;=V$12),"PD+DEV","PD")),IF(AND(INDEX('Roadmap Calc (Don’t Touch)'!$AA$2:$AX$151,$AI48,COLUMN()-COLUMN($J$16)+1)&gt;0,OR($D48="03. UX Discovery",$D48="04. UX Design")),IF(AND($H48&lt;&gt;"",$H48&lt;=EOMONTH(V$12,0),$I48&gt;=V$12),"UX+DEV","UX"),IF(AND($H48&lt;&gt;"",$H48&lt;=EOMONTH(V$12,0),$I48&gt;=V$12),"DEV",""))))</f>
      </c>
      <c r="W48" s="158" t="str">
        <f>IF($AI48="","",IF(AND($AN48&lt;&gt;"",$AN48&lt;=EOMONTH(W$12,0),$AO48&gt;=W$12),IF(AND(INDEX('Roadmap Calc (Don’t Touch)'!$AA$2:$AX$151,$AI48,COLUMN()-COLUMN($J$16)+1)&gt;0,OR($D48="03. UX Discovery",$D48="04. UX Design")),IF(AND($H48&lt;&gt;"",$H48&lt;=EOMONTH(W$12,0),$I48&gt;=W$12),"ALL","PD+UX"),IF(AND($H48&lt;&gt;"",$H48&lt;=EOMONTH(W$12,0),$I48&gt;=W$12),"PD+DEV","PD")),IF(AND(INDEX('Roadmap Calc (Don’t Touch)'!$AA$2:$AX$151,$AI48,COLUMN()-COLUMN($J$16)+1)&gt;0,OR($D48="03. UX Discovery",$D48="04. UX Design")),IF(AND($H48&lt;&gt;"",$H48&lt;=EOMONTH(W$12,0),$I48&gt;=W$12),"UX+DEV","UX"),IF(AND($H48&lt;&gt;"",$H48&lt;=EOMONTH(W$12,0),$I48&gt;=W$12),"DEV",""))))</f>
      </c>
      <c r="X48" s="158" t="str">
        <f>IF($AI48="","",IF(AND($AN48&lt;&gt;"",$AN48&lt;=EOMONTH(X$12,0),$AO48&gt;=X$12),IF(AND(INDEX('Roadmap Calc (Don’t Touch)'!$AA$2:$AX$151,$AI48,COLUMN()-COLUMN($J$16)+1)&gt;0,OR($D48="03. UX Discovery",$D48="04. UX Design")),IF(AND($H48&lt;&gt;"",$H48&lt;=EOMONTH(X$12,0),$I48&gt;=X$12),"ALL","PD+UX"),IF(AND($H48&lt;&gt;"",$H48&lt;=EOMONTH(X$12,0),$I48&gt;=X$12),"PD+DEV","PD")),IF(AND(INDEX('Roadmap Calc (Don’t Touch)'!$AA$2:$AX$151,$AI48,COLUMN()-COLUMN($J$16)+1)&gt;0,OR($D48="03. UX Discovery",$D48="04. UX Design")),IF(AND($H48&lt;&gt;"",$H48&lt;=EOMONTH(X$12,0),$I48&gt;=X$12),"UX+DEV","UX"),IF(AND($H48&lt;&gt;"",$H48&lt;=EOMONTH(X$12,0),$I48&gt;=X$12),"DEV",""))))</f>
      </c>
      <c r="Y48" s="158" t="str">
        <f>IF($AI48="","",IF(AND($AN48&lt;&gt;"",$AN48&lt;=EOMONTH(Y$12,0),$AO48&gt;=Y$12),IF(AND(INDEX('Roadmap Calc (Don’t Touch)'!$AA$2:$AX$151,$AI48,COLUMN()-COLUMN($J$16)+1)&gt;0,OR($D48="03. UX Discovery",$D48="04. UX Design")),IF(AND($H48&lt;&gt;"",$H48&lt;=EOMONTH(Y$12,0),$I48&gt;=Y$12),"ALL","PD+UX"),IF(AND($H48&lt;&gt;"",$H48&lt;=EOMONTH(Y$12,0),$I48&gt;=Y$12),"PD+DEV","PD")),IF(AND(INDEX('Roadmap Calc (Don’t Touch)'!$AA$2:$AX$151,$AI48,COLUMN()-COLUMN($J$16)+1)&gt;0,OR($D48="03. UX Discovery",$D48="04. UX Design")),IF(AND($H48&lt;&gt;"",$H48&lt;=EOMONTH(Y$12,0),$I48&gt;=Y$12),"UX+DEV","UX"),IF(AND($H48&lt;&gt;"",$H48&lt;=EOMONTH(Y$12,0),$I48&gt;=Y$12),"DEV",""))))</f>
      </c>
      <c r="Z48" s="158" t="str">
        <f>IF($AI48="","",IF(AND($AN48&lt;&gt;"",$AN48&lt;=EOMONTH(Z$12,0),$AO48&gt;=Z$12),IF(AND(INDEX('Roadmap Calc (Don’t Touch)'!$AA$2:$AX$151,$AI48,COLUMN()-COLUMN($J$16)+1)&gt;0,OR($D48="03. UX Discovery",$D48="04. UX Design")),IF(AND($H48&lt;&gt;"",$H48&lt;=EOMONTH(Z$12,0),$I48&gt;=Z$12),"ALL","PD+UX"),IF(AND($H48&lt;&gt;"",$H48&lt;=EOMONTH(Z$12,0),$I48&gt;=Z$12),"PD+DEV","PD")),IF(AND(INDEX('Roadmap Calc (Don’t Touch)'!$AA$2:$AX$151,$AI48,COLUMN()-COLUMN($J$16)+1)&gt;0,OR($D48="03. UX Discovery",$D48="04. UX Design")),IF(AND($H48&lt;&gt;"",$H48&lt;=EOMONTH(Z$12,0),$I48&gt;=Z$12),"UX+DEV","UX"),IF(AND($H48&lt;&gt;"",$H48&lt;=EOMONTH(Z$12,0),$I48&gt;=Z$12),"DEV",""))))</f>
      </c>
      <c r="AA48" s="158" t="str">
        <f>IF($AI48="","",IF(AND($AN48&lt;&gt;"",$AN48&lt;=EOMONTH(AA$12,0),$AO48&gt;=AA$12),IF(AND(INDEX('Roadmap Calc (Don’t Touch)'!$AA$2:$AX$151,$AI48,COLUMN()-COLUMN($J$16)+1)&gt;0,OR($D48="03. UX Discovery",$D48="04. UX Design")),IF(AND($H48&lt;&gt;"",$H48&lt;=EOMONTH(AA$12,0),$I48&gt;=AA$12),"ALL","PD+UX"),IF(AND($H48&lt;&gt;"",$H48&lt;=EOMONTH(AA$12,0),$I48&gt;=AA$12),"PD+DEV","PD")),IF(AND(INDEX('Roadmap Calc (Don’t Touch)'!$AA$2:$AX$151,$AI48,COLUMN()-COLUMN($J$16)+1)&gt;0,OR($D48="03. UX Discovery",$D48="04. UX Design")),IF(AND($H48&lt;&gt;"",$H48&lt;=EOMONTH(AA$12,0),$I48&gt;=AA$12),"UX+DEV","UX"),IF(AND($H48&lt;&gt;"",$H48&lt;=EOMONTH(AA$12,0),$I48&gt;=AA$12),"DEV",""))))</f>
      </c>
      <c r="AB48" s="158" t="str">
        <f>IF($AI48="","",IF(AND($AN48&lt;&gt;"",$AN48&lt;=EOMONTH(AB$12,0),$AO48&gt;=AB$12),IF(AND(INDEX('Roadmap Calc (Don’t Touch)'!$AA$2:$AX$151,$AI48,COLUMN()-COLUMN($J$16)+1)&gt;0,OR($D48="03. UX Discovery",$D48="04. UX Design")),IF(AND($H48&lt;&gt;"",$H48&lt;=EOMONTH(AB$12,0),$I48&gt;=AB$12),"ALL","PD+UX"),IF(AND($H48&lt;&gt;"",$H48&lt;=EOMONTH(AB$12,0),$I48&gt;=AB$12),"PD+DEV","PD")),IF(AND(INDEX('Roadmap Calc (Don’t Touch)'!$AA$2:$AX$151,$AI48,COLUMN()-COLUMN($J$16)+1)&gt;0,OR($D48="03. UX Discovery",$D48="04. UX Design")),IF(AND($H48&lt;&gt;"",$H48&lt;=EOMONTH(AB$12,0),$I48&gt;=AB$12),"UX+DEV","UX"),IF(AND($H48&lt;&gt;"",$H48&lt;=EOMONTH(AB$12,0),$I48&gt;=AB$12),"DEV",""))))</f>
      </c>
      <c r="AC48" s="158" t="str">
        <f>IF($AI48="","",IF(AND($AN48&lt;&gt;"",$AN48&lt;=EOMONTH(AC$12,0),$AO48&gt;=AC$12),IF(AND(INDEX('Roadmap Calc (Don’t Touch)'!$AA$2:$AX$151,$AI48,COLUMN()-COLUMN($J$16)+1)&gt;0,OR($D48="03. UX Discovery",$D48="04. UX Design")),IF(AND($H48&lt;&gt;"",$H48&lt;=EOMONTH(AC$12,0),$I48&gt;=AC$12),"ALL","PD+UX"),IF(AND($H48&lt;&gt;"",$H48&lt;=EOMONTH(AC$12,0),$I48&gt;=AC$12),"PD+DEV","PD")),IF(AND(INDEX('Roadmap Calc (Don’t Touch)'!$AA$2:$AX$151,$AI48,COLUMN()-COLUMN($J$16)+1)&gt;0,OR($D48="03. UX Discovery",$D48="04. UX Design")),IF(AND($H48&lt;&gt;"",$H48&lt;=EOMONTH(AC$12,0),$I48&gt;=AC$12),"UX+DEV","UX"),IF(AND($H48&lt;&gt;"",$H48&lt;=EOMONTH(AC$12,0),$I48&gt;=AC$12),"DEV",""))))</f>
      </c>
      <c r="AD48" s="158" t="str">
        <f>IF($AI48="","",IF(AND($AN48&lt;&gt;"",$AN48&lt;=EOMONTH(AD$12,0),$AO48&gt;=AD$12),IF(AND(INDEX('Roadmap Calc (Don’t Touch)'!$AA$2:$AX$151,$AI48,COLUMN()-COLUMN($J$16)+1)&gt;0,OR($D48="03. UX Discovery",$D48="04. UX Design")),IF(AND($H48&lt;&gt;"",$H48&lt;=EOMONTH(AD$12,0),$I48&gt;=AD$12),"ALL","PD+UX"),IF(AND($H48&lt;&gt;"",$H48&lt;=EOMONTH(AD$12,0),$I48&gt;=AD$12),"PD+DEV","PD")),IF(AND(INDEX('Roadmap Calc (Don’t Touch)'!$AA$2:$AX$151,$AI48,COLUMN()-COLUMN($J$16)+1)&gt;0,OR($D48="03. UX Discovery",$D48="04. UX Design")),IF(AND($H48&lt;&gt;"",$H48&lt;=EOMONTH(AD$12,0),$I48&gt;=AD$12),"UX+DEV","UX"),IF(AND($H48&lt;&gt;"",$H48&lt;=EOMONTH(AD$12,0),$I48&gt;=AD$12),"DEV",""))))</f>
      </c>
      <c r="AE48" s="158" t="str">
        <f>IF($AI48="","",IF(AND($AN48&lt;&gt;"",$AN48&lt;=EOMONTH(AE$12,0),$AO48&gt;=AE$12),IF(AND(INDEX('Roadmap Calc (Don’t Touch)'!$AA$2:$AX$151,$AI48,COLUMN()-COLUMN($J$16)+1)&gt;0,OR($D48="03. UX Discovery",$D48="04. UX Design")),IF(AND($H48&lt;&gt;"",$H48&lt;=EOMONTH(AE$12,0),$I48&gt;=AE$12),"ALL","PD+UX"),IF(AND($H48&lt;&gt;"",$H48&lt;=EOMONTH(AE$12,0),$I48&gt;=AE$12),"PD+DEV","PD")),IF(AND(INDEX('Roadmap Calc (Don’t Touch)'!$AA$2:$AX$151,$AI48,COLUMN()-COLUMN($J$16)+1)&gt;0,OR($D48="03. UX Discovery",$D48="04. UX Design")),IF(AND($H48&lt;&gt;"",$H48&lt;=EOMONTH(AE$12,0),$I48&gt;=AE$12),"UX+DEV","UX"),IF(AND($H48&lt;&gt;"",$H48&lt;=EOMONTH(AE$12,0),$I48&gt;=AE$12),"DEV",""))))</f>
      </c>
      <c r="AF48" s="158" t="str">
        <f>IF($AI48="","",IF(AND($AN48&lt;&gt;"",$AN48&lt;=EOMONTH(AF$12,0),$AO48&gt;=AF$12),IF(AND(INDEX('Roadmap Calc (Don’t Touch)'!$AA$2:$AX$151,$AI48,COLUMN()-COLUMN($J$16)+1)&gt;0,OR($D48="03. UX Discovery",$D48="04. UX Design")),IF(AND($H48&lt;&gt;"",$H48&lt;=EOMONTH(AF$12,0),$I48&gt;=AF$12),"ALL","PD+UX"),IF(AND($H48&lt;&gt;"",$H48&lt;=EOMONTH(AF$12,0),$I48&gt;=AF$12),"PD+DEV","PD")),IF(AND(INDEX('Roadmap Calc (Don’t Touch)'!$AA$2:$AX$151,$AI48,COLUMN()-COLUMN($J$16)+1)&gt;0,OR($D48="03. UX Discovery",$D48="04. UX Design")),IF(AND($H48&lt;&gt;"",$H48&lt;=EOMONTH(AF$12,0),$I48&gt;=AF$12),"UX+DEV","UX"),IF(AND($H48&lt;&gt;"",$H48&lt;=EOMONTH(AF$12,0),$I48&gt;=AF$12),"DEV",""))))</f>
      </c>
      <c r="AG48" s="158" t="str">
        <f>IF($AI48="","",IF(AND($AN48&lt;&gt;"",$AN48&lt;=EOMONTH(AG$12,0),$AO48&gt;=AG$12),IF(AND(INDEX('Roadmap Calc (Don’t Touch)'!$AA$2:$AX$151,$AI48,COLUMN()-COLUMN($J$16)+1)&gt;0,OR($D48="03. UX Discovery",$D48="04. UX Design")),IF(AND($H48&lt;&gt;"",$H48&lt;=EOMONTH(AG$12,0),$I48&gt;=AG$12),"ALL","PD+UX"),IF(AND($H48&lt;&gt;"",$H48&lt;=EOMONTH(AG$12,0),$I48&gt;=AG$12),"PD+DEV","PD")),IF(AND(INDEX('Roadmap Calc (Don’t Touch)'!$AA$2:$AX$151,$AI48,COLUMN()-COLUMN($J$16)+1)&gt;0,OR($D48="03. UX Discovery",$D48="04. UX Design")),IF(AND($H48&lt;&gt;"",$H48&lt;=EOMONTH(AG$12,0),$I48&gt;=AG$12),"UX+DEV","UX"),IF(AND($H48&lt;&gt;"",$H48&lt;=EOMONTH(AG$12,0),$I48&gt;=AG$12),"DEV",""))))</f>
      </c>
      <c r="AH48" s="145" t="str">
        <f>IF($AI48="","",INDEX('Roadmap Calc (Don’t Touch)'!$D$2:$D$151,$AI48))</f>
        <v/>
      </c>
      <c r="AI48" s="145" t="str">
        <f>IFERROR(MATCH(33,'Roadmap Calc (Don’t Touch)'!$O$2:$O$151,0),"")</f>
        <v/>
      </c>
      <c r="AJ48" s="145"/>
      <c r="AK48" s="145"/>
      <c r="AL48" s="145"/>
      <c r="AM48" s="145"/>
      <c r="AN48">
        <f>IF($AI48="","",IF(ISNUMBER(INDEX('Roadmap Calc (Don’t Touch)'!$BB$2:$BB$151,$AI48)),INDEX('Roadmap Calc (Don’t Touch)'!$BB$2:$BB$151,$AI48),""))</f>
      </c>
      <c r="AO48">
        <f>IF($AI48="","",IF(ISNUMBER(INDEX('Roadmap Calc (Don’t Touch)'!$BC$2:$BC$151,$AI48)),INDEX('Roadmap Calc (Don’t Touch)'!$BC$2:$BC$151,$AI48),""))</f>
      </c>
    </row>
    <row r="49" spans="1:41" ht="20" customHeight="1" x14ac:dyDescent="0.25">
      <c r="A49" s="198" t="str">
        <f>IF($AI49="","",IF($AH49=$AH48,"",IF(INDEX('Roadmap Calc (Don’t Touch)'!$U$2:$U$151,$AI49)=0,$AH49,HYPERLINK("#'Control (Don’t Touch)'!E"&amp;INDEX('Roadmap Calc (Don’t Touch)'!$U$2:$U$151,$AI49),$AH49))))</f>
        <v/>
      </c>
      <c r="B49" s="159" t="str">
        <f>IF($AI49="","",IF(INDEX('Roadmap Calc (Don’t Touch)'!$K$2:$K$151,$AI49)="",INDEX('Roadmap Calc (Don’t Touch)'!$B$2:$B$151,$AI49),HYPERLINK("https://jira.bnh.com/browse/"&amp;INDEX('Roadmap Calc (Don’t Touch)'!$K$2:$K$151,$AI49),INDEX('Roadmap Calc (Don’t Touch)'!$B$2:$B$151,$AI49))))</f>
        <v/>
      </c>
      <c r="C49" s="159" t="str">
        <f>IF($AI49="","",IF(INDEX('Roadmap Calc (Don’t Touch)'!$E$2:$E$151,$AI49)="","",HYPERLINK("https://jira.bnh.com/browse/"&amp;INDEX('Roadmap Calc (Don’t Touch)'!$E$2:$E$151,$AI49),INDEX('Roadmap Calc (Don’t Touch)'!$E$2:$E$151,$AI49))))</f>
        <v/>
      </c>
      <c r="D49" s="161" t="str">
        <f>IF($AI49="","",INDEX('Roadmap Calc (Don’t Touch)'!$F$2:$F$151,$AI49))</f>
        <v/>
      </c>
      <c r="E49" s="155" t="str">
        <f>IF($AI49="","",IF(ISNUMBER(INDEX('Roadmap Calc (Don’t Touch)'!$G$2:$G$151,$AI49)),INDEX('Roadmap Calc (Don’t Touch)'!$G$2:$G$151,$AI49),""))</f>
        <v/>
      </c>
      <c r="F49" s="155" t="str">
        <f>IF($AI49="","",IF(ISNUMBER(INDEX('Roadmap Calc (Don’t Touch)'!$H$2:$H$151,$AI49)),INDEX('Roadmap Calc (Don’t Touch)'!$H$2:$H$151,$AI49),""))</f>
        <v/>
      </c>
      <c r="G49" s="156" t="str">
        <f>IF($AI49="","",INDEX('Roadmap Calc (Don’t Touch)'!$T$2:$T$151,$AI49))</f>
        <v/>
      </c>
      <c r="H49" s="157" t="str">
        <f>IF($AI49="","",IF(ISNUMBER(INDEX('Roadmap Calc (Don’t Touch)'!$I$2:$I$151,$AI49)),INDEX('Roadmap Calc (Don’t Touch)'!$I$2:$I$151,$AI49),""))</f>
        <v/>
      </c>
      <c r="I49" s="157" t="str">
        <f>IF($AI49="","",IF(ISNUMBER(INDEX('Roadmap Calc (Don’t Touch)'!$J$2:$J$151,$AI49)),INDEX('Roadmap Calc (Don’t Touch)'!$J$2:$J$151,$AI49),""))</f>
        <v/>
      </c>
      <c r="J49" s="158" t="str">
        <f>IF($AI49="","",IF(AND($AN49&lt;&gt;"",$AN49&lt;=EOMONTH(J$12,0),$AO49&gt;=J$12),IF(AND(INDEX('Roadmap Calc (Don’t Touch)'!$AA$2:$AX$151,$AI49,COLUMN()-COLUMN($J$16)+1)&gt;0,OR($D49="03. UX Discovery",$D49="04. UX Design")),IF(AND($H49&lt;&gt;"",$H49&lt;=EOMONTH(J$12,0),$I49&gt;=J$12),"ALL","PD+UX"),IF(AND($H49&lt;&gt;"",$H49&lt;=EOMONTH(J$12,0),$I49&gt;=J$12),"PD+DEV","PD")),IF(AND(INDEX('Roadmap Calc (Don’t Touch)'!$AA$2:$AX$151,$AI49,COLUMN()-COLUMN($J$16)+1)&gt;0,OR($D49="03. UX Discovery",$D49="04. UX Design")),IF(AND($H49&lt;&gt;"",$H49&lt;=EOMONTH(J$12,0),$I49&gt;=J$12),"UX+DEV","UX"),IF(AND($H49&lt;&gt;"",$H49&lt;=EOMONTH(J$12,0),$I49&gt;=J$12),"DEV",""))))</f>
      </c>
      <c r="K49" s="158" t="str">
        <f>IF($AI49="","",IF(AND($AN49&lt;&gt;"",$AN49&lt;=EOMONTH(K$12,0),$AO49&gt;=K$12),IF(AND(INDEX('Roadmap Calc (Don’t Touch)'!$AA$2:$AX$151,$AI49,COLUMN()-COLUMN($J$16)+1)&gt;0,OR($D49="03. UX Discovery",$D49="04. UX Design")),IF(AND($H49&lt;&gt;"",$H49&lt;=EOMONTH(K$12,0),$I49&gt;=K$12),"ALL","PD+UX"),IF(AND($H49&lt;&gt;"",$H49&lt;=EOMONTH(K$12,0),$I49&gt;=K$12),"PD+DEV","PD")),IF(AND(INDEX('Roadmap Calc (Don’t Touch)'!$AA$2:$AX$151,$AI49,COLUMN()-COLUMN($J$16)+1)&gt;0,OR($D49="03. UX Discovery",$D49="04. UX Design")),IF(AND($H49&lt;&gt;"",$H49&lt;=EOMONTH(K$12,0),$I49&gt;=K$12),"UX+DEV","UX"),IF(AND($H49&lt;&gt;"",$H49&lt;=EOMONTH(K$12,0),$I49&gt;=K$12),"DEV",""))))</f>
      </c>
      <c r="L49" s="158" t="str">
        <f>IF($AI49="","",IF(AND($AN49&lt;&gt;"",$AN49&lt;=EOMONTH(L$12,0),$AO49&gt;=L$12),IF(AND(INDEX('Roadmap Calc (Don’t Touch)'!$AA$2:$AX$151,$AI49,COLUMN()-COLUMN($J$16)+1)&gt;0,OR($D49="03. UX Discovery",$D49="04. UX Design")),IF(AND($H49&lt;&gt;"",$H49&lt;=EOMONTH(L$12,0),$I49&gt;=L$12),"ALL","PD+UX"),IF(AND($H49&lt;&gt;"",$H49&lt;=EOMONTH(L$12,0),$I49&gt;=L$12),"PD+DEV","PD")),IF(AND(INDEX('Roadmap Calc (Don’t Touch)'!$AA$2:$AX$151,$AI49,COLUMN()-COLUMN($J$16)+1)&gt;0,OR($D49="03. UX Discovery",$D49="04. UX Design")),IF(AND($H49&lt;&gt;"",$H49&lt;=EOMONTH(L$12,0),$I49&gt;=L$12),"UX+DEV","UX"),IF(AND($H49&lt;&gt;"",$H49&lt;=EOMONTH(L$12,0),$I49&gt;=L$12),"DEV",""))))</f>
      </c>
      <c r="M49" s="158" t="str">
        <f>IF($AI49="","",IF(AND($AN49&lt;&gt;"",$AN49&lt;=EOMONTH(M$12,0),$AO49&gt;=M$12),IF(AND(INDEX('Roadmap Calc (Don’t Touch)'!$AA$2:$AX$151,$AI49,COLUMN()-COLUMN($J$16)+1)&gt;0,OR($D49="03. UX Discovery",$D49="04. UX Design")),IF(AND($H49&lt;&gt;"",$H49&lt;=EOMONTH(M$12,0),$I49&gt;=M$12),"ALL","PD+UX"),IF(AND($H49&lt;&gt;"",$H49&lt;=EOMONTH(M$12,0),$I49&gt;=M$12),"PD+DEV","PD")),IF(AND(INDEX('Roadmap Calc (Don’t Touch)'!$AA$2:$AX$151,$AI49,COLUMN()-COLUMN($J$16)+1)&gt;0,OR($D49="03. UX Discovery",$D49="04. UX Design")),IF(AND($H49&lt;&gt;"",$H49&lt;=EOMONTH(M$12,0),$I49&gt;=M$12),"UX+DEV","UX"),IF(AND($H49&lt;&gt;"",$H49&lt;=EOMONTH(M$12,0),$I49&gt;=M$12),"DEV",""))))</f>
      </c>
      <c r="N49" s="158" t="str">
        <f>IF($AI49="","",IF(AND($AN49&lt;&gt;"",$AN49&lt;=EOMONTH(N$12,0),$AO49&gt;=N$12),IF(AND(INDEX('Roadmap Calc (Don’t Touch)'!$AA$2:$AX$151,$AI49,COLUMN()-COLUMN($J$16)+1)&gt;0,OR($D49="03. UX Discovery",$D49="04. UX Design")),IF(AND($H49&lt;&gt;"",$H49&lt;=EOMONTH(N$12,0),$I49&gt;=N$12),"ALL","PD+UX"),IF(AND($H49&lt;&gt;"",$H49&lt;=EOMONTH(N$12,0),$I49&gt;=N$12),"PD+DEV","PD")),IF(AND(INDEX('Roadmap Calc (Don’t Touch)'!$AA$2:$AX$151,$AI49,COLUMN()-COLUMN($J$16)+1)&gt;0,OR($D49="03. UX Discovery",$D49="04. UX Design")),IF(AND($H49&lt;&gt;"",$H49&lt;=EOMONTH(N$12,0),$I49&gt;=N$12),"UX+DEV","UX"),IF(AND($H49&lt;&gt;"",$H49&lt;=EOMONTH(N$12,0),$I49&gt;=N$12),"DEV",""))))</f>
      </c>
      <c r="O49" s="158" t="str">
        <f>IF($AI49="","",IF(AND($AN49&lt;&gt;"",$AN49&lt;=EOMONTH(O$12,0),$AO49&gt;=O$12),IF(AND(INDEX('Roadmap Calc (Don’t Touch)'!$AA$2:$AX$151,$AI49,COLUMN()-COLUMN($J$16)+1)&gt;0,OR($D49="03. UX Discovery",$D49="04. UX Design")),IF(AND($H49&lt;&gt;"",$H49&lt;=EOMONTH(O$12,0),$I49&gt;=O$12),"ALL","PD+UX"),IF(AND($H49&lt;&gt;"",$H49&lt;=EOMONTH(O$12,0),$I49&gt;=O$12),"PD+DEV","PD")),IF(AND(INDEX('Roadmap Calc (Don’t Touch)'!$AA$2:$AX$151,$AI49,COLUMN()-COLUMN($J$16)+1)&gt;0,OR($D49="03. UX Discovery",$D49="04. UX Design")),IF(AND($H49&lt;&gt;"",$H49&lt;=EOMONTH(O$12,0),$I49&gt;=O$12),"UX+DEV","UX"),IF(AND($H49&lt;&gt;"",$H49&lt;=EOMONTH(O$12,0),$I49&gt;=O$12),"DEV",""))))</f>
      </c>
      <c r="P49" s="158" t="str">
        <f>IF($AI49="","",IF(AND($AN49&lt;&gt;"",$AN49&lt;=EOMONTH(P$12,0),$AO49&gt;=P$12),IF(AND(INDEX('Roadmap Calc (Don’t Touch)'!$AA$2:$AX$151,$AI49,COLUMN()-COLUMN($J$16)+1)&gt;0,OR($D49="03. UX Discovery",$D49="04. UX Design")),IF(AND($H49&lt;&gt;"",$H49&lt;=EOMONTH(P$12,0),$I49&gt;=P$12),"ALL","PD+UX"),IF(AND($H49&lt;&gt;"",$H49&lt;=EOMONTH(P$12,0),$I49&gt;=P$12),"PD+DEV","PD")),IF(AND(INDEX('Roadmap Calc (Don’t Touch)'!$AA$2:$AX$151,$AI49,COLUMN()-COLUMN($J$16)+1)&gt;0,OR($D49="03. UX Discovery",$D49="04. UX Design")),IF(AND($H49&lt;&gt;"",$H49&lt;=EOMONTH(P$12,0),$I49&gt;=P$12),"UX+DEV","UX"),IF(AND($H49&lt;&gt;"",$H49&lt;=EOMONTH(P$12,0),$I49&gt;=P$12),"DEV",""))))</f>
      </c>
      <c r="Q49" s="158" t="str">
        <f>IF($AI49="","",IF(AND($AN49&lt;&gt;"",$AN49&lt;=EOMONTH(Q$12,0),$AO49&gt;=Q$12),IF(AND(INDEX('Roadmap Calc (Don’t Touch)'!$AA$2:$AX$151,$AI49,COLUMN()-COLUMN($J$16)+1)&gt;0,OR($D49="03. UX Discovery",$D49="04. UX Design")),IF(AND($H49&lt;&gt;"",$H49&lt;=EOMONTH(Q$12,0),$I49&gt;=Q$12),"ALL","PD+UX"),IF(AND($H49&lt;&gt;"",$H49&lt;=EOMONTH(Q$12,0),$I49&gt;=Q$12),"PD+DEV","PD")),IF(AND(INDEX('Roadmap Calc (Don’t Touch)'!$AA$2:$AX$151,$AI49,COLUMN()-COLUMN($J$16)+1)&gt;0,OR($D49="03. UX Discovery",$D49="04. UX Design")),IF(AND($H49&lt;&gt;"",$H49&lt;=EOMONTH(Q$12,0),$I49&gt;=Q$12),"UX+DEV","UX"),IF(AND($H49&lt;&gt;"",$H49&lt;=EOMONTH(Q$12,0),$I49&gt;=Q$12),"DEV",""))))</f>
      </c>
      <c r="R49" s="158" t="str">
        <f>IF($AI49="","",IF(AND($AN49&lt;&gt;"",$AN49&lt;=EOMONTH(R$12,0),$AO49&gt;=R$12),IF(AND(INDEX('Roadmap Calc (Don’t Touch)'!$AA$2:$AX$151,$AI49,COLUMN()-COLUMN($J$16)+1)&gt;0,OR($D49="03. UX Discovery",$D49="04. UX Design")),IF(AND($H49&lt;&gt;"",$H49&lt;=EOMONTH(R$12,0),$I49&gt;=R$12),"ALL","PD+UX"),IF(AND($H49&lt;&gt;"",$H49&lt;=EOMONTH(R$12,0),$I49&gt;=R$12),"PD+DEV","PD")),IF(AND(INDEX('Roadmap Calc (Don’t Touch)'!$AA$2:$AX$151,$AI49,COLUMN()-COLUMN($J$16)+1)&gt;0,OR($D49="03. UX Discovery",$D49="04. UX Design")),IF(AND($H49&lt;&gt;"",$H49&lt;=EOMONTH(R$12,0),$I49&gt;=R$12),"UX+DEV","UX"),IF(AND($H49&lt;&gt;"",$H49&lt;=EOMONTH(R$12,0),$I49&gt;=R$12),"DEV",""))))</f>
      </c>
      <c r="S49" s="158" t="str">
        <f>IF($AI49="","",IF(AND($AN49&lt;&gt;"",$AN49&lt;=EOMONTH(S$12,0),$AO49&gt;=S$12),IF(AND(INDEX('Roadmap Calc (Don’t Touch)'!$AA$2:$AX$151,$AI49,COLUMN()-COLUMN($J$16)+1)&gt;0,OR($D49="03. UX Discovery",$D49="04. UX Design")),IF(AND($H49&lt;&gt;"",$H49&lt;=EOMONTH(S$12,0),$I49&gt;=S$12),"ALL","PD+UX"),IF(AND($H49&lt;&gt;"",$H49&lt;=EOMONTH(S$12,0),$I49&gt;=S$12),"PD+DEV","PD")),IF(AND(INDEX('Roadmap Calc (Don’t Touch)'!$AA$2:$AX$151,$AI49,COLUMN()-COLUMN($J$16)+1)&gt;0,OR($D49="03. UX Discovery",$D49="04. UX Design")),IF(AND($H49&lt;&gt;"",$H49&lt;=EOMONTH(S$12,0),$I49&gt;=S$12),"UX+DEV","UX"),IF(AND($H49&lt;&gt;"",$H49&lt;=EOMONTH(S$12,0),$I49&gt;=S$12),"DEV",""))))</f>
      </c>
      <c r="T49" s="158" t="str">
        <f>IF($AI49="","",IF(AND($AN49&lt;&gt;"",$AN49&lt;=EOMONTH(T$12,0),$AO49&gt;=T$12),IF(AND(INDEX('Roadmap Calc (Don’t Touch)'!$AA$2:$AX$151,$AI49,COLUMN()-COLUMN($J$16)+1)&gt;0,OR($D49="03. UX Discovery",$D49="04. UX Design")),IF(AND($H49&lt;&gt;"",$H49&lt;=EOMONTH(T$12,0),$I49&gt;=T$12),"ALL","PD+UX"),IF(AND($H49&lt;&gt;"",$H49&lt;=EOMONTH(T$12,0),$I49&gt;=T$12),"PD+DEV","PD")),IF(AND(INDEX('Roadmap Calc (Don’t Touch)'!$AA$2:$AX$151,$AI49,COLUMN()-COLUMN($J$16)+1)&gt;0,OR($D49="03. UX Discovery",$D49="04. UX Design")),IF(AND($H49&lt;&gt;"",$H49&lt;=EOMONTH(T$12,0),$I49&gt;=T$12),"UX+DEV","UX"),IF(AND($H49&lt;&gt;"",$H49&lt;=EOMONTH(T$12,0),$I49&gt;=T$12),"DEV",""))))</f>
      </c>
      <c r="U49" s="158" t="str">
        <f>IF($AI49="","",IF(AND($AN49&lt;&gt;"",$AN49&lt;=EOMONTH(U$12,0),$AO49&gt;=U$12),IF(AND(INDEX('Roadmap Calc (Don’t Touch)'!$AA$2:$AX$151,$AI49,COLUMN()-COLUMN($J$16)+1)&gt;0,OR($D49="03. UX Discovery",$D49="04. UX Design")),IF(AND($H49&lt;&gt;"",$H49&lt;=EOMONTH(U$12,0),$I49&gt;=U$12),"ALL","PD+UX"),IF(AND($H49&lt;&gt;"",$H49&lt;=EOMONTH(U$12,0),$I49&gt;=U$12),"PD+DEV","PD")),IF(AND(INDEX('Roadmap Calc (Don’t Touch)'!$AA$2:$AX$151,$AI49,COLUMN()-COLUMN($J$16)+1)&gt;0,OR($D49="03. UX Discovery",$D49="04. UX Design")),IF(AND($H49&lt;&gt;"",$H49&lt;=EOMONTH(U$12,0),$I49&gt;=U$12),"UX+DEV","UX"),IF(AND($H49&lt;&gt;"",$H49&lt;=EOMONTH(U$12,0),$I49&gt;=U$12),"DEV",""))))</f>
      </c>
      <c r="V49" s="158" t="str">
        <f>IF($AI49="","",IF(AND($AN49&lt;&gt;"",$AN49&lt;=EOMONTH(V$12,0),$AO49&gt;=V$12),IF(AND(INDEX('Roadmap Calc (Don’t Touch)'!$AA$2:$AX$151,$AI49,COLUMN()-COLUMN($J$16)+1)&gt;0,OR($D49="03. UX Discovery",$D49="04. UX Design")),IF(AND($H49&lt;&gt;"",$H49&lt;=EOMONTH(V$12,0),$I49&gt;=V$12),"ALL","PD+UX"),IF(AND($H49&lt;&gt;"",$H49&lt;=EOMONTH(V$12,0),$I49&gt;=V$12),"PD+DEV","PD")),IF(AND(INDEX('Roadmap Calc (Don’t Touch)'!$AA$2:$AX$151,$AI49,COLUMN()-COLUMN($J$16)+1)&gt;0,OR($D49="03. UX Discovery",$D49="04. UX Design")),IF(AND($H49&lt;&gt;"",$H49&lt;=EOMONTH(V$12,0),$I49&gt;=V$12),"UX+DEV","UX"),IF(AND($H49&lt;&gt;"",$H49&lt;=EOMONTH(V$12,0),$I49&gt;=V$12),"DEV",""))))</f>
      </c>
      <c r="W49" s="158" t="str">
        <f>IF($AI49="","",IF(AND($AN49&lt;&gt;"",$AN49&lt;=EOMONTH(W$12,0),$AO49&gt;=W$12),IF(AND(INDEX('Roadmap Calc (Don’t Touch)'!$AA$2:$AX$151,$AI49,COLUMN()-COLUMN($J$16)+1)&gt;0,OR($D49="03. UX Discovery",$D49="04. UX Design")),IF(AND($H49&lt;&gt;"",$H49&lt;=EOMONTH(W$12,0),$I49&gt;=W$12),"ALL","PD+UX"),IF(AND($H49&lt;&gt;"",$H49&lt;=EOMONTH(W$12,0),$I49&gt;=W$12),"PD+DEV","PD")),IF(AND(INDEX('Roadmap Calc (Don’t Touch)'!$AA$2:$AX$151,$AI49,COLUMN()-COLUMN($J$16)+1)&gt;0,OR($D49="03. UX Discovery",$D49="04. UX Design")),IF(AND($H49&lt;&gt;"",$H49&lt;=EOMONTH(W$12,0),$I49&gt;=W$12),"UX+DEV","UX"),IF(AND($H49&lt;&gt;"",$H49&lt;=EOMONTH(W$12,0),$I49&gt;=W$12),"DEV",""))))</f>
      </c>
      <c r="X49" s="158" t="str">
        <f>IF($AI49="","",IF(AND($AN49&lt;&gt;"",$AN49&lt;=EOMONTH(X$12,0),$AO49&gt;=X$12),IF(AND(INDEX('Roadmap Calc (Don’t Touch)'!$AA$2:$AX$151,$AI49,COLUMN()-COLUMN($J$16)+1)&gt;0,OR($D49="03. UX Discovery",$D49="04. UX Design")),IF(AND($H49&lt;&gt;"",$H49&lt;=EOMONTH(X$12,0),$I49&gt;=X$12),"ALL","PD+UX"),IF(AND($H49&lt;&gt;"",$H49&lt;=EOMONTH(X$12,0),$I49&gt;=X$12),"PD+DEV","PD")),IF(AND(INDEX('Roadmap Calc (Don’t Touch)'!$AA$2:$AX$151,$AI49,COLUMN()-COLUMN($J$16)+1)&gt;0,OR($D49="03. UX Discovery",$D49="04. UX Design")),IF(AND($H49&lt;&gt;"",$H49&lt;=EOMONTH(X$12,0),$I49&gt;=X$12),"UX+DEV","UX"),IF(AND($H49&lt;&gt;"",$H49&lt;=EOMONTH(X$12,0),$I49&gt;=X$12),"DEV",""))))</f>
      </c>
      <c r="Y49" s="158" t="str">
        <f>IF($AI49="","",IF(AND($AN49&lt;&gt;"",$AN49&lt;=EOMONTH(Y$12,0),$AO49&gt;=Y$12),IF(AND(INDEX('Roadmap Calc (Don’t Touch)'!$AA$2:$AX$151,$AI49,COLUMN()-COLUMN($J$16)+1)&gt;0,OR($D49="03. UX Discovery",$D49="04. UX Design")),IF(AND($H49&lt;&gt;"",$H49&lt;=EOMONTH(Y$12,0),$I49&gt;=Y$12),"ALL","PD+UX"),IF(AND($H49&lt;&gt;"",$H49&lt;=EOMONTH(Y$12,0),$I49&gt;=Y$12),"PD+DEV","PD")),IF(AND(INDEX('Roadmap Calc (Don’t Touch)'!$AA$2:$AX$151,$AI49,COLUMN()-COLUMN($J$16)+1)&gt;0,OR($D49="03. UX Discovery",$D49="04. UX Design")),IF(AND($H49&lt;&gt;"",$H49&lt;=EOMONTH(Y$12,0),$I49&gt;=Y$12),"UX+DEV","UX"),IF(AND($H49&lt;&gt;"",$H49&lt;=EOMONTH(Y$12,0),$I49&gt;=Y$12),"DEV",""))))</f>
      </c>
      <c r="Z49" s="158" t="str">
        <f>IF($AI49="","",IF(AND($AN49&lt;&gt;"",$AN49&lt;=EOMONTH(Z$12,0),$AO49&gt;=Z$12),IF(AND(INDEX('Roadmap Calc (Don’t Touch)'!$AA$2:$AX$151,$AI49,COLUMN()-COLUMN($J$16)+1)&gt;0,OR($D49="03. UX Discovery",$D49="04. UX Design")),IF(AND($H49&lt;&gt;"",$H49&lt;=EOMONTH(Z$12,0),$I49&gt;=Z$12),"ALL","PD+UX"),IF(AND($H49&lt;&gt;"",$H49&lt;=EOMONTH(Z$12,0),$I49&gt;=Z$12),"PD+DEV","PD")),IF(AND(INDEX('Roadmap Calc (Don’t Touch)'!$AA$2:$AX$151,$AI49,COLUMN()-COLUMN($J$16)+1)&gt;0,OR($D49="03. UX Discovery",$D49="04. UX Design")),IF(AND($H49&lt;&gt;"",$H49&lt;=EOMONTH(Z$12,0),$I49&gt;=Z$12),"UX+DEV","UX"),IF(AND($H49&lt;&gt;"",$H49&lt;=EOMONTH(Z$12,0),$I49&gt;=Z$12),"DEV",""))))</f>
      </c>
      <c r="AA49" s="158" t="str">
        <f>IF($AI49="","",IF(AND($AN49&lt;&gt;"",$AN49&lt;=EOMONTH(AA$12,0),$AO49&gt;=AA$12),IF(AND(INDEX('Roadmap Calc (Don’t Touch)'!$AA$2:$AX$151,$AI49,COLUMN()-COLUMN($J$16)+1)&gt;0,OR($D49="03. UX Discovery",$D49="04. UX Design")),IF(AND($H49&lt;&gt;"",$H49&lt;=EOMONTH(AA$12,0),$I49&gt;=AA$12),"ALL","PD+UX"),IF(AND($H49&lt;&gt;"",$H49&lt;=EOMONTH(AA$12,0),$I49&gt;=AA$12),"PD+DEV","PD")),IF(AND(INDEX('Roadmap Calc (Don’t Touch)'!$AA$2:$AX$151,$AI49,COLUMN()-COLUMN($J$16)+1)&gt;0,OR($D49="03. UX Discovery",$D49="04. UX Design")),IF(AND($H49&lt;&gt;"",$H49&lt;=EOMONTH(AA$12,0),$I49&gt;=AA$12),"UX+DEV","UX"),IF(AND($H49&lt;&gt;"",$H49&lt;=EOMONTH(AA$12,0),$I49&gt;=AA$12),"DEV",""))))</f>
      </c>
      <c r="AB49" s="158" t="str">
        <f>IF($AI49="","",IF(AND($AN49&lt;&gt;"",$AN49&lt;=EOMONTH(AB$12,0),$AO49&gt;=AB$12),IF(AND(INDEX('Roadmap Calc (Don’t Touch)'!$AA$2:$AX$151,$AI49,COLUMN()-COLUMN($J$16)+1)&gt;0,OR($D49="03. UX Discovery",$D49="04. UX Design")),IF(AND($H49&lt;&gt;"",$H49&lt;=EOMONTH(AB$12,0),$I49&gt;=AB$12),"ALL","PD+UX"),IF(AND($H49&lt;&gt;"",$H49&lt;=EOMONTH(AB$12,0),$I49&gt;=AB$12),"PD+DEV","PD")),IF(AND(INDEX('Roadmap Calc (Don’t Touch)'!$AA$2:$AX$151,$AI49,COLUMN()-COLUMN($J$16)+1)&gt;0,OR($D49="03. UX Discovery",$D49="04. UX Design")),IF(AND($H49&lt;&gt;"",$H49&lt;=EOMONTH(AB$12,0),$I49&gt;=AB$12),"UX+DEV","UX"),IF(AND($H49&lt;&gt;"",$H49&lt;=EOMONTH(AB$12,0),$I49&gt;=AB$12),"DEV",""))))</f>
      </c>
      <c r="AC49" s="158" t="str">
        <f>IF($AI49="","",IF(AND($AN49&lt;&gt;"",$AN49&lt;=EOMONTH(AC$12,0),$AO49&gt;=AC$12),IF(AND(INDEX('Roadmap Calc (Don’t Touch)'!$AA$2:$AX$151,$AI49,COLUMN()-COLUMN($J$16)+1)&gt;0,OR($D49="03. UX Discovery",$D49="04. UX Design")),IF(AND($H49&lt;&gt;"",$H49&lt;=EOMONTH(AC$12,0),$I49&gt;=AC$12),"ALL","PD+UX"),IF(AND($H49&lt;&gt;"",$H49&lt;=EOMONTH(AC$12,0),$I49&gt;=AC$12),"PD+DEV","PD")),IF(AND(INDEX('Roadmap Calc (Don’t Touch)'!$AA$2:$AX$151,$AI49,COLUMN()-COLUMN($J$16)+1)&gt;0,OR($D49="03. UX Discovery",$D49="04. UX Design")),IF(AND($H49&lt;&gt;"",$H49&lt;=EOMONTH(AC$12,0),$I49&gt;=AC$12),"UX+DEV","UX"),IF(AND($H49&lt;&gt;"",$H49&lt;=EOMONTH(AC$12,0),$I49&gt;=AC$12),"DEV",""))))</f>
      </c>
      <c r="AD49" s="158" t="str">
        <f>IF($AI49="","",IF(AND($AN49&lt;&gt;"",$AN49&lt;=EOMONTH(AD$12,0),$AO49&gt;=AD$12),IF(AND(INDEX('Roadmap Calc (Don’t Touch)'!$AA$2:$AX$151,$AI49,COLUMN()-COLUMN($J$16)+1)&gt;0,OR($D49="03. UX Discovery",$D49="04. UX Design")),IF(AND($H49&lt;&gt;"",$H49&lt;=EOMONTH(AD$12,0),$I49&gt;=AD$12),"ALL","PD+UX"),IF(AND($H49&lt;&gt;"",$H49&lt;=EOMONTH(AD$12,0),$I49&gt;=AD$12),"PD+DEV","PD")),IF(AND(INDEX('Roadmap Calc (Don’t Touch)'!$AA$2:$AX$151,$AI49,COLUMN()-COLUMN($J$16)+1)&gt;0,OR($D49="03. UX Discovery",$D49="04. UX Design")),IF(AND($H49&lt;&gt;"",$H49&lt;=EOMONTH(AD$12,0),$I49&gt;=AD$12),"UX+DEV","UX"),IF(AND($H49&lt;&gt;"",$H49&lt;=EOMONTH(AD$12,0),$I49&gt;=AD$12),"DEV",""))))</f>
      </c>
      <c r="AE49" s="158" t="str">
        <f>IF($AI49="","",IF(AND($AN49&lt;&gt;"",$AN49&lt;=EOMONTH(AE$12,0),$AO49&gt;=AE$12),IF(AND(INDEX('Roadmap Calc (Don’t Touch)'!$AA$2:$AX$151,$AI49,COLUMN()-COLUMN($J$16)+1)&gt;0,OR($D49="03. UX Discovery",$D49="04. UX Design")),IF(AND($H49&lt;&gt;"",$H49&lt;=EOMONTH(AE$12,0),$I49&gt;=AE$12),"ALL","PD+UX"),IF(AND($H49&lt;&gt;"",$H49&lt;=EOMONTH(AE$12,0),$I49&gt;=AE$12),"PD+DEV","PD")),IF(AND(INDEX('Roadmap Calc (Don’t Touch)'!$AA$2:$AX$151,$AI49,COLUMN()-COLUMN($J$16)+1)&gt;0,OR($D49="03. UX Discovery",$D49="04. UX Design")),IF(AND($H49&lt;&gt;"",$H49&lt;=EOMONTH(AE$12,0),$I49&gt;=AE$12),"UX+DEV","UX"),IF(AND($H49&lt;&gt;"",$H49&lt;=EOMONTH(AE$12,0),$I49&gt;=AE$12),"DEV",""))))</f>
      </c>
      <c r="AF49" s="158" t="str">
        <f>IF($AI49="","",IF(AND($AN49&lt;&gt;"",$AN49&lt;=EOMONTH(AF$12,0),$AO49&gt;=AF$12),IF(AND(INDEX('Roadmap Calc (Don’t Touch)'!$AA$2:$AX$151,$AI49,COLUMN()-COLUMN($J$16)+1)&gt;0,OR($D49="03. UX Discovery",$D49="04. UX Design")),IF(AND($H49&lt;&gt;"",$H49&lt;=EOMONTH(AF$12,0),$I49&gt;=AF$12),"ALL","PD+UX"),IF(AND($H49&lt;&gt;"",$H49&lt;=EOMONTH(AF$12,0),$I49&gt;=AF$12),"PD+DEV","PD")),IF(AND(INDEX('Roadmap Calc (Don’t Touch)'!$AA$2:$AX$151,$AI49,COLUMN()-COLUMN($J$16)+1)&gt;0,OR($D49="03. UX Discovery",$D49="04. UX Design")),IF(AND($H49&lt;&gt;"",$H49&lt;=EOMONTH(AF$12,0),$I49&gt;=AF$12),"UX+DEV","UX"),IF(AND($H49&lt;&gt;"",$H49&lt;=EOMONTH(AF$12,0),$I49&gt;=AF$12),"DEV",""))))</f>
      </c>
      <c r="AG49" s="158" t="str">
        <f>IF($AI49="","",IF(AND($AN49&lt;&gt;"",$AN49&lt;=EOMONTH(AG$12,0),$AO49&gt;=AG$12),IF(AND(INDEX('Roadmap Calc (Don’t Touch)'!$AA$2:$AX$151,$AI49,COLUMN()-COLUMN($J$16)+1)&gt;0,OR($D49="03. UX Discovery",$D49="04. UX Design")),IF(AND($H49&lt;&gt;"",$H49&lt;=EOMONTH(AG$12,0),$I49&gt;=AG$12),"ALL","PD+UX"),IF(AND($H49&lt;&gt;"",$H49&lt;=EOMONTH(AG$12,0),$I49&gt;=AG$12),"PD+DEV","PD")),IF(AND(INDEX('Roadmap Calc (Don’t Touch)'!$AA$2:$AX$151,$AI49,COLUMN()-COLUMN($J$16)+1)&gt;0,OR($D49="03. UX Discovery",$D49="04. UX Design")),IF(AND($H49&lt;&gt;"",$H49&lt;=EOMONTH(AG$12,0),$I49&gt;=AG$12),"UX+DEV","UX"),IF(AND($H49&lt;&gt;"",$H49&lt;=EOMONTH(AG$12,0),$I49&gt;=AG$12),"DEV",""))))</f>
      </c>
      <c r="AH49" s="145" t="str">
        <f>IF($AI49="","",INDEX('Roadmap Calc (Don’t Touch)'!$D$2:$D$151,$AI49))</f>
        <v/>
      </c>
      <c r="AI49" s="145" t="str">
        <f>IFERROR(MATCH(34,'Roadmap Calc (Don’t Touch)'!$O$2:$O$151,0),"")</f>
        <v/>
      </c>
      <c r="AJ49" s="145"/>
      <c r="AK49" s="145"/>
      <c r="AL49" s="145"/>
      <c r="AM49" s="145"/>
      <c r="AN49">
        <f>IF($AI49="","",IF(ISNUMBER(INDEX('Roadmap Calc (Don’t Touch)'!$BB$2:$BB$151,$AI49)),INDEX('Roadmap Calc (Don’t Touch)'!$BB$2:$BB$151,$AI49),""))</f>
      </c>
      <c r="AO49">
        <f>IF($AI49="","",IF(ISNUMBER(INDEX('Roadmap Calc (Don’t Touch)'!$BC$2:$BC$151,$AI49)),INDEX('Roadmap Calc (Don’t Touch)'!$BC$2:$BC$151,$AI49),""))</f>
      </c>
    </row>
    <row r="50" spans="1:41" ht="20" customHeight="1" x14ac:dyDescent="0.25">
      <c r="A50" s="198" t="str">
        <f>IF($AI50="","",IF($AH50=$AH49,"",IF(INDEX('Roadmap Calc (Don’t Touch)'!$U$2:$U$151,$AI50)=0,$AH50,HYPERLINK("#'Control (Don’t Touch)'!E"&amp;INDEX('Roadmap Calc (Don’t Touch)'!$U$2:$U$151,$AI50),$AH50))))</f>
        <v/>
      </c>
      <c r="B50" s="159" t="str">
        <f>IF($AI50="","",IF(INDEX('Roadmap Calc (Don’t Touch)'!$K$2:$K$151,$AI50)="",INDEX('Roadmap Calc (Don’t Touch)'!$B$2:$B$151,$AI50),HYPERLINK("https://jira.bnh.com/browse/"&amp;INDEX('Roadmap Calc (Don’t Touch)'!$K$2:$K$151,$AI50),INDEX('Roadmap Calc (Don’t Touch)'!$B$2:$B$151,$AI50))))</f>
        <v/>
      </c>
      <c r="C50" s="159" t="str">
        <f>IF($AI50="","",IF(INDEX('Roadmap Calc (Don’t Touch)'!$E$2:$E$151,$AI50)="","",HYPERLINK("https://jira.bnh.com/browse/"&amp;INDEX('Roadmap Calc (Don’t Touch)'!$E$2:$E$151,$AI50),INDEX('Roadmap Calc (Don’t Touch)'!$E$2:$E$151,$AI50))))</f>
        <v/>
      </c>
      <c r="D50" s="161" t="str">
        <f>IF($AI50="","",INDEX('Roadmap Calc (Don’t Touch)'!$F$2:$F$151,$AI50))</f>
        <v/>
      </c>
      <c r="E50" s="155" t="str">
        <f>IF($AI50="","",IF(ISNUMBER(INDEX('Roadmap Calc (Don’t Touch)'!$G$2:$G$151,$AI50)),INDEX('Roadmap Calc (Don’t Touch)'!$G$2:$G$151,$AI50),""))</f>
        <v/>
      </c>
      <c r="F50" s="155" t="str">
        <f>IF($AI50="","",IF(ISNUMBER(INDEX('Roadmap Calc (Don’t Touch)'!$H$2:$H$151,$AI50)),INDEX('Roadmap Calc (Don’t Touch)'!$H$2:$H$151,$AI50),""))</f>
        <v/>
      </c>
      <c r="G50" s="156" t="str">
        <f>IF($AI50="","",INDEX('Roadmap Calc (Don’t Touch)'!$T$2:$T$151,$AI50))</f>
        <v/>
      </c>
      <c r="H50" s="157" t="str">
        <f>IF($AI50="","",IF(ISNUMBER(INDEX('Roadmap Calc (Don’t Touch)'!$I$2:$I$151,$AI50)),INDEX('Roadmap Calc (Don’t Touch)'!$I$2:$I$151,$AI50),""))</f>
        <v/>
      </c>
      <c r="I50" s="157" t="str">
        <f>IF($AI50="","",IF(ISNUMBER(INDEX('Roadmap Calc (Don’t Touch)'!$J$2:$J$151,$AI50)),INDEX('Roadmap Calc (Don’t Touch)'!$J$2:$J$151,$AI50),""))</f>
        <v/>
      </c>
      <c r="J50" s="158" t="str">
        <f>IF($AI50="","",IF(AND($AN50&lt;&gt;"",$AN50&lt;=EOMONTH(J$12,0),$AO50&gt;=J$12),IF(AND(INDEX('Roadmap Calc (Don’t Touch)'!$AA$2:$AX$151,$AI50,COLUMN()-COLUMN($J$16)+1)&gt;0,OR($D50="03. UX Discovery",$D50="04. UX Design")),IF(AND($H50&lt;&gt;"",$H50&lt;=EOMONTH(J$12,0),$I50&gt;=J$12),"ALL","PD+UX"),IF(AND($H50&lt;&gt;"",$H50&lt;=EOMONTH(J$12,0),$I50&gt;=J$12),"PD+DEV","PD")),IF(AND(INDEX('Roadmap Calc (Don’t Touch)'!$AA$2:$AX$151,$AI50,COLUMN()-COLUMN($J$16)+1)&gt;0,OR($D50="03. UX Discovery",$D50="04. UX Design")),IF(AND($H50&lt;&gt;"",$H50&lt;=EOMONTH(J$12,0),$I50&gt;=J$12),"UX+DEV","UX"),IF(AND($H50&lt;&gt;"",$H50&lt;=EOMONTH(J$12,0),$I50&gt;=J$12),"DEV",""))))</f>
      </c>
      <c r="K50" s="158" t="str">
        <f>IF($AI50="","",IF(AND($AN50&lt;&gt;"",$AN50&lt;=EOMONTH(K$12,0),$AO50&gt;=K$12),IF(AND(INDEX('Roadmap Calc (Don’t Touch)'!$AA$2:$AX$151,$AI50,COLUMN()-COLUMN($J$16)+1)&gt;0,OR($D50="03. UX Discovery",$D50="04. UX Design")),IF(AND($H50&lt;&gt;"",$H50&lt;=EOMONTH(K$12,0),$I50&gt;=K$12),"ALL","PD+UX"),IF(AND($H50&lt;&gt;"",$H50&lt;=EOMONTH(K$12,0),$I50&gt;=K$12),"PD+DEV","PD")),IF(AND(INDEX('Roadmap Calc (Don’t Touch)'!$AA$2:$AX$151,$AI50,COLUMN()-COLUMN($J$16)+1)&gt;0,OR($D50="03. UX Discovery",$D50="04. UX Design")),IF(AND($H50&lt;&gt;"",$H50&lt;=EOMONTH(K$12,0),$I50&gt;=K$12),"UX+DEV","UX"),IF(AND($H50&lt;&gt;"",$H50&lt;=EOMONTH(K$12,0),$I50&gt;=K$12),"DEV",""))))</f>
      </c>
      <c r="L50" s="158" t="str">
        <f>IF($AI50="","",IF(AND($AN50&lt;&gt;"",$AN50&lt;=EOMONTH(L$12,0),$AO50&gt;=L$12),IF(AND(INDEX('Roadmap Calc (Don’t Touch)'!$AA$2:$AX$151,$AI50,COLUMN()-COLUMN($J$16)+1)&gt;0,OR($D50="03. UX Discovery",$D50="04. UX Design")),IF(AND($H50&lt;&gt;"",$H50&lt;=EOMONTH(L$12,0),$I50&gt;=L$12),"ALL","PD+UX"),IF(AND($H50&lt;&gt;"",$H50&lt;=EOMONTH(L$12,0),$I50&gt;=L$12),"PD+DEV","PD")),IF(AND(INDEX('Roadmap Calc (Don’t Touch)'!$AA$2:$AX$151,$AI50,COLUMN()-COLUMN($J$16)+1)&gt;0,OR($D50="03. UX Discovery",$D50="04. UX Design")),IF(AND($H50&lt;&gt;"",$H50&lt;=EOMONTH(L$12,0),$I50&gt;=L$12),"UX+DEV","UX"),IF(AND($H50&lt;&gt;"",$H50&lt;=EOMONTH(L$12,0),$I50&gt;=L$12),"DEV",""))))</f>
      </c>
      <c r="M50" s="158" t="str">
        <f>IF($AI50="","",IF(AND($AN50&lt;&gt;"",$AN50&lt;=EOMONTH(M$12,0),$AO50&gt;=M$12),IF(AND(INDEX('Roadmap Calc (Don’t Touch)'!$AA$2:$AX$151,$AI50,COLUMN()-COLUMN($J$16)+1)&gt;0,OR($D50="03. UX Discovery",$D50="04. UX Design")),IF(AND($H50&lt;&gt;"",$H50&lt;=EOMONTH(M$12,0),$I50&gt;=M$12),"ALL","PD+UX"),IF(AND($H50&lt;&gt;"",$H50&lt;=EOMONTH(M$12,0),$I50&gt;=M$12),"PD+DEV","PD")),IF(AND(INDEX('Roadmap Calc (Don’t Touch)'!$AA$2:$AX$151,$AI50,COLUMN()-COLUMN($J$16)+1)&gt;0,OR($D50="03. UX Discovery",$D50="04. UX Design")),IF(AND($H50&lt;&gt;"",$H50&lt;=EOMONTH(M$12,0),$I50&gt;=M$12),"UX+DEV","UX"),IF(AND($H50&lt;&gt;"",$H50&lt;=EOMONTH(M$12,0),$I50&gt;=M$12),"DEV",""))))</f>
      </c>
      <c r="N50" s="158" t="str">
        <f>IF($AI50="","",IF(AND($AN50&lt;&gt;"",$AN50&lt;=EOMONTH(N$12,0),$AO50&gt;=N$12),IF(AND(INDEX('Roadmap Calc (Don’t Touch)'!$AA$2:$AX$151,$AI50,COLUMN()-COLUMN($J$16)+1)&gt;0,OR($D50="03. UX Discovery",$D50="04. UX Design")),IF(AND($H50&lt;&gt;"",$H50&lt;=EOMONTH(N$12,0),$I50&gt;=N$12),"ALL","PD+UX"),IF(AND($H50&lt;&gt;"",$H50&lt;=EOMONTH(N$12,0),$I50&gt;=N$12),"PD+DEV","PD")),IF(AND(INDEX('Roadmap Calc (Don’t Touch)'!$AA$2:$AX$151,$AI50,COLUMN()-COLUMN($J$16)+1)&gt;0,OR($D50="03. UX Discovery",$D50="04. UX Design")),IF(AND($H50&lt;&gt;"",$H50&lt;=EOMONTH(N$12,0),$I50&gt;=N$12),"UX+DEV","UX"),IF(AND($H50&lt;&gt;"",$H50&lt;=EOMONTH(N$12,0),$I50&gt;=N$12),"DEV",""))))</f>
      </c>
      <c r="O50" s="158" t="str">
        <f>IF($AI50="","",IF(AND($AN50&lt;&gt;"",$AN50&lt;=EOMONTH(O$12,0),$AO50&gt;=O$12),IF(AND(INDEX('Roadmap Calc (Don’t Touch)'!$AA$2:$AX$151,$AI50,COLUMN()-COLUMN($J$16)+1)&gt;0,OR($D50="03. UX Discovery",$D50="04. UX Design")),IF(AND($H50&lt;&gt;"",$H50&lt;=EOMONTH(O$12,0),$I50&gt;=O$12),"ALL","PD+UX"),IF(AND($H50&lt;&gt;"",$H50&lt;=EOMONTH(O$12,0),$I50&gt;=O$12),"PD+DEV","PD")),IF(AND(INDEX('Roadmap Calc (Don’t Touch)'!$AA$2:$AX$151,$AI50,COLUMN()-COLUMN($J$16)+1)&gt;0,OR($D50="03. UX Discovery",$D50="04. UX Design")),IF(AND($H50&lt;&gt;"",$H50&lt;=EOMONTH(O$12,0),$I50&gt;=O$12),"UX+DEV","UX"),IF(AND($H50&lt;&gt;"",$H50&lt;=EOMONTH(O$12,0),$I50&gt;=O$12),"DEV",""))))</f>
      </c>
      <c r="P50" s="158" t="str">
        <f>IF($AI50="","",IF(AND($AN50&lt;&gt;"",$AN50&lt;=EOMONTH(P$12,0),$AO50&gt;=P$12),IF(AND(INDEX('Roadmap Calc (Don’t Touch)'!$AA$2:$AX$151,$AI50,COLUMN()-COLUMN($J$16)+1)&gt;0,OR($D50="03. UX Discovery",$D50="04. UX Design")),IF(AND($H50&lt;&gt;"",$H50&lt;=EOMONTH(P$12,0),$I50&gt;=P$12),"ALL","PD+UX"),IF(AND($H50&lt;&gt;"",$H50&lt;=EOMONTH(P$12,0),$I50&gt;=P$12),"PD+DEV","PD")),IF(AND(INDEX('Roadmap Calc (Don’t Touch)'!$AA$2:$AX$151,$AI50,COLUMN()-COLUMN($J$16)+1)&gt;0,OR($D50="03. UX Discovery",$D50="04. UX Design")),IF(AND($H50&lt;&gt;"",$H50&lt;=EOMONTH(P$12,0),$I50&gt;=P$12),"UX+DEV","UX"),IF(AND($H50&lt;&gt;"",$H50&lt;=EOMONTH(P$12,0),$I50&gt;=P$12),"DEV",""))))</f>
      </c>
      <c r="Q50" s="158" t="str">
        <f>IF($AI50="","",IF(AND($AN50&lt;&gt;"",$AN50&lt;=EOMONTH(Q$12,0),$AO50&gt;=Q$12),IF(AND(INDEX('Roadmap Calc (Don’t Touch)'!$AA$2:$AX$151,$AI50,COLUMN()-COLUMN($J$16)+1)&gt;0,OR($D50="03. UX Discovery",$D50="04. UX Design")),IF(AND($H50&lt;&gt;"",$H50&lt;=EOMONTH(Q$12,0),$I50&gt;=Q$12),"ALL","PD+UX"),IF(AND($H50&lt;&gt;"",$H50&lt;=EOMONTH(Q$12,0),$I50&gt;=Q$12),"PD+DEV","PD")),IF(AND(INDEX('Roadmap Calc (Don’t Touch)'!$AA$2:$AX$151,$AI50,COLUMN()-COLUMN($J$16)+1)&gt;0,OR($D50="03. UX Discovery",$D50="04. UX Design")),IF(AND($H50&lt;&gt;"",$H50&lt;=EOMONTH(Q$12,0),$I50&gt;=Q$12),"UX+DEV","UX"),IF(AND($H50&lt;&gt;"",$H50&lt;=EOMONTH(Q$12,0),$I50&gt;=Q$12),"DEV",""))))</f>
      </c>
      <c r="R50" s="158" t="str">
        <f>IF($AI50="","",IF(AND($AN50&lt;&gt;"",$AN50&lt;=EOMONTH(R$12,0),$AO50&gt;=R$12),IF(AND(INDEX('Roadmap Calc (Don’t Touch)'!$AA$2:$AX$151,$AI50,COLUMN()-COLUMN($J$16)+1)&gt;0,OR($D50="03. UX Discovery",$D50="04. UX Design")),IF(AND($H50&lt;&gt;"",$H50&lt;=EOMONTH(R$12,0),$I50&gt;=R$12),"ALL","PD+UX"),IF(AND($H50&lt;&gt;"",$H50&lt;=EOMONTH(R$12,0),$I50&gt;=R$12),"PD+DEV","PD")),IF(AND(INDEX('Roadmap Calc (Don’t Touch)'!$AA$2:$AX$151,$AI50,COLUMN()-COLUMN($J$16)+1)&gt;0,OR($D50="03. UX Discovery",$D50="04. UX Design")),IF(AND($H50&lt;&gt;"",$H50&lt;=EOMONTH(R$12,0),$I50&gt;=R$12),"UX+DEV","UX"),IF(AND($H50&lt;&gt;"",$H50&lt;=EOMONTH(R$12,0),$I50&gt;=R$12),"DEV",""))))</f>
      </c>
      <c r="S50" s="158" t="str">
        <f>IF($AI50="","",IF(AND($AN50&lt;&gt;"",$AN50&lt;=EOMONTH(S$12,0),$AO50&gt;=S$12),IF(AND(INDEX('Roadmap Calc (Don’t Touch)'!$AA$2:$AX$151,$AI50,COLUMN()-COLUMN($J$16)+1)&gt;0,OR($D50="03. UX Discovery",$D50="04. UX Design")),IF(AND($H50&lt;&gt;"",$H50&lt;=EOMONTH(S$12,0),$I50&gt;=S$12),"ALL","PD+UX"),IF(AND($H50&lt;&gt;"",$H50&lt;=EOMONTH(S$12,0),$I50&gt;=S$12),"PD+DEV","PD")),IF(AND(INDEX('Roadmap Calc (Don’t Touch)'!$AA$2:$AX$151,$AI50,COLUMN()-COLUMN($J$16)+1)&gt;0,OR($D50="03. UX Discovery",$D50="04. UX Design")),IF(AND($H50&lt;&gt;"",$H50&lt;=EOMONTH(S$12,0),$I50&gt;=S$12),"UX+DEV","UX"),IF(AND($H50&lt;&gt;"",$H50&lt;=EOMONTH(S$12,0),$I50&gt;=S$12),"DEV",""))))</f>
      </c>
      <c r="T50" s="158" t="str">
        <f>IF($AI50="","",IF(AND($AN50&lt;&gt;"",$AN50&lt;=EOMONTH(T$12,0),$AO50&gt;=T$12),IF(AND(INDEX('Roadmap Calc (Don’t Touch)'!$AA$2:$AX$151,$AI50,COLUMN()-COLUMN($J$16)+1)&gt;0,OR($D50="03. UX Discovery",$D50="04. UX Design")),IF(AND($H50&lt;&gt;"",$H50&lt;=EOMONTH(T$12,0),$I50&gt;=T$12),"ALL","PD+UX"),IF(AND($H50&lt;&gt;"",$H50&lt;=EOMONTH(T$12,0),$I50&gt;=T$12),"PD+DEV","PD")),IF(AND(INDEX('Roadmap Calc (Don’t Touch)'!$AA$2:$AX$151,$AI50,COLUMN()-COLUMN($J$16)+1)&gt;0,OR($D50="03. UX Discovery",$D50="04. UX Design")),IF(AND($H50&lt;&gt;"",$H50&lt;=EOMONTH(T$12,0),$I50&gt;=T$12),"UX+DEV","UX"),IF(AND($H50&lt;&gt;"",$H50&lt;=EOMONTH(T$12,0),$I50&gt;=T$12),"DEV",""))))</f>
      </c>
      <c r="U50" s="158" t="str">
        <f>IF($AI50="","",IF(AND($AN50&lt;&gt;"",$AN50&lt;=EOMONTH(U$12,0),$AO50&gt;=U$12),IF(AND(INDEX('Roadmap Calc (Don’t Touch)'!$AA$2:$AX$151,$AI50,COLUMN()-COLUMN($J$16)+1)&gt;0,OR($D50="03. UX Discovery",$D50="04. UX Design")),IF(AND($H50&lt;&gt;"",$H50&lt;=EOMONTH(U$12,0),$I50&gt;=U$12),"ALL","PD+UX"),IF(AND($H50&lt;&gt;"",$H50&lt;=EOMONTH(U$12,0),$I50&gt;=U$12),"PD+DEV","PD")),IF(AND(INDEX('Roadmap Calc (Don’t Touch)'!$AA$2:$AX$151,$AI50,COLUMN()-COLUMN($J$16)+1)&gt;0,OR($D50="03. UX Discovery",$D50="04. UX Design")),IF(AND($H50&lt;&gt;"",$H50&lt;=EOMONTH(U$12,0),$I50&gt;=U$12),"UX+DEV","UX"),IF(AND($H50&lt;&gt;"",$H50&lt;=EOMONTH(U$12,0),$I50&gt;=U$12),"DEV",""))))</f>
      </c>
      <c r="V50" s="158" t="str">
        <f>IF($AI50="","",IF(AND($AN50&lt;&gt;"",$AN50&lt;=EOMONTH(V$12,0),$AO50&gt;=V$12),IF(AND(INDEX('Roadmap Calc (Don’t Touch)'!$AA$2:$AX$151,$AI50,COLUMN()-COLUMN($J$16)+1)&gt;0,OR($D50="03. UX Discovery",$D50="04. UX Design")),IF(AND($H50&lt;&gt;"",$H50&lt;=EOMONTH(V$12,0),$I50&gt;=V$12),"ALL","PD+UX"),IF(AND($H50&lt;&gt;"",$H50&lt;=EOMONTH(V$12,0),$I50&gt;=V$12),"PD+DEV","PD")),IF(AND(INDEX('Roadmap Calc (Don’t Touch)'!$AA$2:$AX$151,$AI50,COLUMN()-COLUMN($J$16)+1)&gt;0,OR($D50="03. UX Discovery",$D50="04. UX Design")),IF(AND($H50&lt;&gt;"",$H50&lt;=EOMONTH(V$12,0),$I50&gt;=V$12),"UX+DEV","UX"),IF(AND($H50&lt;&gt;"",$H50&lt;=EOMONTH(V$12,0),$I50&gt;=V$12),"DEV",""))))</f>
      </c>
      <c r="W50" s="158" t="str">
        <f>IF($AI50="","",IF(AND($AN50&lt;&gt;"",$AN50&lt;=EOMONTH(W$12,0),$AO50&gt;=W$12),IF(AND(INDEX('Roadmap Calc (Don’t Touch)'!$AA$2:$AX$151,$AI50,COLUMN()-COLUMN($J$16)+1)&gt;0,OR($D50="03. UX Discovery",$D50="04. UX Design")),IF(AND($H50&lt;&gt;"",$H50&lt;=EOMONTH(W$12,0),$I50&gt;=W$12),"ALL","PD+UX"),IF(AND($H50&lt;&gt;"",$H50&lt;=EOMONTH(W$12,0),$I50&gt;=W$12),"PD+DEV","PD")),IF(AND(INDEX('Roadmap Calc (Don’t Touch)'!$AA$2:$AX$151,$AI50,COLUMN()-COLUMN($J$16)+1)&gt;0,OR($D50="03. UX Discovery",$D50="04. UX Design")),IF(AND($H50&lt;&gt;"",$H50&lt;=EOMONTH(W$12,0),$I50&gt;=W$12),"UX+DEV","UX"),IF(AND($H50&lt;&gt;"",$H50&lt;=EOMONTH(W$12,0),$I50&gt;=W$12),"DEV",""))))</f>
      </c>
      <c r="X50" s="158" t="str">
        <f>IF($AI50="","",IF(AND($AN50&lt;&gt;"",$AN50&lt;=EOMONTH(X$12,0),$AO50&gt;=X$12),IF(AND(INDEX('Roadmap Calc (Don’t Touch)'!$AA$2:$AX$151,$AI50,COLUMN()-COLUMN($J$16)+1)&gt;0,OR($D50="03. UX Discovery",$D50="04. UX Design")),IF(AND($H50&lt;&gt;"",$H50&lt;=EOMONTH(X$12,0),$I50&gt;=X$12),"ALL","PD+UX"),IF(AND($H50&lt;&gt;"",$H50&lt;=EOMONTH(X$12,0),$I50&gt;=X$12),"PD+DEV","PD")),IF(AND(INDEX('Roadmap Calc (Don’t Touch)'!$AA$2:$AX$151,$AI50,COLUMN()-COLUMN($J$16)+1)&gt;0,OR($D50="03. UX Discovery",$D50="04. UX Design")),IF(AND($H50&lt;&gt;"",$H50&lt;=EOMONTH(X$12,0),$I50&gt;=X$12),"UX+DEV","UX"),IF(AND($H50&lt;&gt;"",$H50&lt;=EOMONTH(X$12,0),$I50&gt;=X$12),"DEV",""))))</f>
      </c>
      <c r="Y50" s="158" t="str">
        <f>IF($AI50="","",IF(AND($AN50&lt;&gt;"",$AN50&lt;=EOMONTH(Y$12,0),$AO50&gt;=Y$12),IF(AND(INDEX('Roadmap Calc (Don’t Touch)'!$AA$2:$AX$151,$AI50,COLUMN()-COLUMN($J$16)+1)&gt;0,OR($D50="03. UX Discovery",$D50="04. UX Design")),IF(AND($H50&lt;&gt;"",$H50&lt;=EOMONTH(Y$12,0),$I50&gt;=Y$12),"ALL","PD+UX"),IF(AND($H50&lt;&gt;"",$H50&lt;=EOMONTH(Y$12,0),$I50&gt;=Y$12),"PD+DEV","PD")),IF(AND(INDEX('Roadmap Calc (Don’t Touch)'!$AA$2:$AX$151,$AI50,COLUMN()-COLUMN($J$16)+1)&gt;0,OR($D50="03. UX Discovery",$D50="04. UX Design")),IF(AND($H50&lt;&gt;"",$H50&lt;=EOMONTH(Y$12,0),$I50&gt;=Y$12),"UX+DEV","UX"),IF(AND($H50&lt;&gt;"",$H50&lt;=EOMONTH(Y$12,0),$I50&gt;=Y$12),"DEV",""))))</f>
      </c>
      <c r="Z50" s="158" t="str">
        <f>IF($AI50="","",IF(AND($AN50&lt;&gt;"",$AN50&lt;=EOMONTH(Z$12,0),$AO50&gt;=Z$12),IF(AND(INDEX('Roadmap Calc (Don’t Touch)'!$AA$2:$AX$151,$AI50,COLUMN()-COLUMN($J$16)+1)&gt;0,OR($D50="03. UX Discovery",$D50="04. UX Design")),IF(AND($H50&lt;&gt;"",$H50&lt;=EOMONTH(Z$12,0),$I50&gt;=Z$12),"ALL","PD+UX"),IF(AND($H50&lt;&gt;"",$H50&lt;=EOMONTH(Z$12,0),$I50&gt;=Z$12),"PD+DEV","PD")),IF(AND(INDEX('Roadmap Calc (Don’t Touch)'!$AA$2:$AX$151,$AI50,COLUMN()-COLUMN($J$16)+1)&gt;0,OR($D50="03. UX Discovery",$D50="04. UX Design")),IF(AND($H50&lt;&gt;"",$H50&lt;=EOMONTH(Z$12,0),$I50&gt;=Z$12),"UX+DEV","UX"),IF(AND($H50&lt;&gt;"",$H50&lt;=EOMONTH(Z$12,0),$I50&gt;=Z$12),"DEV",""))))</f>
      </c>
      <c r="AA50" s="158" t="str">
        <f>IF($AI50="","",IF(AND($AN50&lt;&gt;"",$AN50&lt;=EOMONTH(AA$12,0),$AO50&gt;=AA$12),IF(AND(INDEX('Roadmap Calc (Don’t Touch)'!$AA$2:$AX$151,$AI50,COLUMN()-COLUMN($J$16)+1)&gt;0,OR($D50="03. UX Discovery",$D50="04. UX Design")),IF(AND($H50&lt;&gt;"",$H50&lt;=EOMONTH(AA$12,0),$I50&gt;=AA$12),"ALL","PD+UX"),IF(AND($H50&lt;&gt;"",$H50&lt;=EOMONTH(AA$12,0),$I50&gt;=AA$12),"PD+DEV","PD")),IF(AND(INDEX('Roadmap Calc (Don’t Touch)'!$AA$2:$AX$151,$AI50,COLUMN()-COLUMN($J$16)+1)&gt;0,OR($D50="03. UX Discovery",$D50="04. UX Design")),IF(AND($H50&lt;&gt;"",$H50&lt;=EOMONTH(AA$12,0),$I50&gt;=AA$12),"UX+DEV","UX"),IF(AND($H50&lt;&gt;"",$H50&lt;=EOMONTH(AA$12,0),$I50&gt;=AA$12),"DEV",""))))</f>
      </c>
      <c r="AB50" s="158" t="str">
        <f>IF($AI50="","",IF(AND($AN50&lt;&gt;"",$AN50&lt;=EOMONTH(AB$12,0),$AO50&gt;=AB$12),IF(AND(INDEX('Roadmap Calc (Don’t Touch)'!$AA$2:$AX$151,$AI50,COLUMN()-COLUMN($J$16)+1)&gt;0,OR($D50="03. UX Discovery",$D50="04. UX Design")),IF(AND($H50&lt;&gt;"",$H50&lt;=EOMONTH(AB$12,0),$I50&gt;=AB$12),"ALL","PD+UX"),IF(AND($H50&lt;&gt;"",$H50&lt;=EOMONTH(AB$12,0),$I50&gt;=AB$12),"PD+DEV","PD")),IF(AND(INDEX('Roadmap Calc (Don’t Touch)'!$AA$2:$AX$151,$AI50,COLUMN()-COLUMN($J$16)+1)&gt;0,OR($D50="03. UX Discovery",$D50="04. UX Design")),IF(AND($H50&lt;&gt;"",$H50&lt;=EOMONTH(AB$12,0),$I50&gt;=AB$12),"UX+DEV","UX"),IF(AND($H50&lt;&gt;"",$H50&lt;=EOMONTH(AB$12,0),$I50&gt;=AB$12),"DEV",""))))</f>
      </c>
      <c r="AC50" s="158" t="str">
        <f>IF($AI50="","",IF(AND($AN50&lt;&gt;"",$AN50&lt;=EOMONTH(AC$12,0),$AO50&gt;=AC$12),IF(AND(INDEX('Roadmap Calc (Don’t Touch)'!$AA$2:$AX$151,$AI50,COLUMN()-COLUMN($J$16)+1)&gt;0,OR($D50="03. UX Discovery",$D50="04. UX Design")),IF(AND($H50&lt;&gt;"",$H50&lt;=EOMONTH(AC$12,0),$I50&gt;=AC$12),"ALL","PD+UX"),IF(AND($H50&lt;&gt;"",$H50&lt;=EOMONTH(AC$12,0),$I50&gt;=AC$12),"PD+DEV","PD")),IF(AND(INDEX('Roadmap Calc (Don’t Touch)'!$AA$2:$AX$151,$AI50,COLUMN()-COLUMN($J$16)+1)&gt;0,OR($D50="03. UX Discovery",$D50="04. UX Design")),IF(AND($H50&lt;&gt;"",$H50&lt;=EOMONTH(AC$12,0),$I50&gt;=AC$12),"UX+DEV","UX"),IF(AND($H50&lt;&gt;"",$H50&lt;=EOMONTH(AC$12,0),$I50&gt;=AC$12),"DEV",""))))</f>
      </c>
      <c r="AD50" s="158" t="str">
        <f>IF($AI50="","",IF(AND($AN50&lt;&gt;"",$AN50&lt;=EOMONTH(AD$12,0),$AO50&gt;=AD$12),IF(AND(INDEX('Roadmap Calc (Don’t Touch)'!$AA$2:$AX$151,$AI50,COLUMN()-COLUMN($J$16)+1)&gt;0,OR($D50="03. UX Discovery",$D50="04. UX Design")),IF(AND($H50&lt;&gt;"",$H50&lt;=EOMONTH(AD$12,0),$I50&gt;=AD$12),"ALL","PD+UX"),IF(AND($H50&lt;&gt;"",$H50&lt;=EOMONTH(AD$12,0),$I50&gt;=AD$12),"PD+DEV","PD")),IF(AND(INDEX('Roadmap Calc (Don’t Touch)'!$AA$2:$AX$151,$AI50,COLUMN()-COLUMN($J$16)+1)&gt;0,OR($D50="03. UX Discovery",$D50="04. UX Design")),IF(AND($H50&lt;&gt;"",$H50&lt;=EOMONTH(AD$12,0),$I50&gt;=AD$12),"UX+DEV","UX"),IF(AND($H50&lt;&gt;"",$H50&lt;=EOMONTH(AD$12,0),$I50&gt;=AD$12),"DEV",""))))</f>
      </c>
      <c r="AE50" s="158" t="str">
        <f>IF($AI50="","",IF(AND($AN50&lt;&gt;"",$AN50&lt;=EOMONTH(AE$12,0),$AO50&gt;=AE$12),IF(AND(INDEX('Roadmap Calc (Don’t Touch)'!$AA$2:$AX$151,$AI50,COLUMN()-COLUMN($J$16)+1)&gt;0,OR($D50="03. UX Discovery",$D50="04. UX Design")),IF(AND($H50&lt;&gt;"",$H50&lt;=EOMONTH(AE$12,0),$I50&gt;=AE$12),"ALL","PD+UX"),IF(AND($H50&lt;&gt;"",$H50&lt;=EOMONTH(AE$12,0),$I50&gt;=AE$12),"PD+DEV","PD")),IF(AND(INDEX('Roadmap Calc (Don’t Touch)'!$AA$2:$AX$151,$AI50,COLUMN()-COLUMN($J$16)+1)&gt;0,OR($D50="03. UX Discovery",$D50="04. UX Design")),IF(AND($H50&lt;&gt;"",$H50&lt;=EOMONTH(AE$12,0),$I50&gt;=AE$12),"UX+DEV","UX"),IF(AND($H50&lt;&gt;"",$H50&lt;=EOMONTH(AE$12,0),$I50&gt;=AE$12),"DEV",""))))</f>
      </c>
      <c r="AF50" s="158" t="str">
        <f>IF($AI50="","",IF(AND($AN50&lt;&gt;"",$AN50&lt;=EOMONTH(AF$12,0),$AO50&gt;=AF$12),IF(AND(INDEX('Roadmap Calc (Don’t Touch)'!$AA$2:$AX$151,$AI50,COLUMN()-COLUMN($J$16)+1)&gt;0,OR($D50="03. UX Discovery",$D50="04. UX Design")),IF(AND($H50&lt;&gt;"",$H50&lt;=EOMONTH(AF$12,0),$I50&gt;=AF$12),"ALL","PD+UX"),IF(AND($H50&lt;&gt;"",$H50&lt;=EOMONTH(AF$12,0),$I50&gt;=AF$12),"PD+DEV","PD")),IF(AND(INDEX('Roadmap Calc (Don’t Touch)'!$AA$2:$AX$151,$AI50,COLUMN()-COLUMN($J$16)+1)&gt;0,OR($D50="03. UX Discovery",$D50="04. UX Design")),IF(AND($H50&lt;&gt;"",$H50&lt;=EOMONTH(AF$12,0),$I50&gt;=AF$12),"UX+DEV","UX"),IF(AND($H50&lt;&gt;"",$H50&lt;=EOMONTH(AF$12,0),$I50&gt;=AF$12),"DEV",""))))</f>
      </c>
      <c r="AG50" s="158" t="str">
        <f>IF($AI50="","",IF(AND($AN50&lt;&gt;"",$AN50&lt;=EOMONTH(AG$12,0),$AO50&gt;=AG$12),IF(AND(INDEX('Roadmap Calc (Don’t Touch)'!$AA$2:$AX$151,$AI50,COLUMN()-COLUMN($J$16)+1)&gt;0,OR($D50="03. UX Discovery",$D50="04. UX Design")),IF(AND($H50&lt;&gt;"",$H50&lt;=EOMONTH(AG$12,0),$I50&gt;=AG$12),"ALL","PD+UX"),IF(AND($H50&lt;&gt;"",$H50&lt;=EOMONTH(AG$12,0),$I50&gt;=AG$12),"PD+DEV","PD")),IF(AND(INDEX('Roadmap Calc (Don’t Touch)'!$AA$2:$AX$151,$AI50,COLUMN()-COLUMN($J$16)+1)&gt;0,OR($D50="03. UX Discovery",$D50="04. UX Design")),IF(AND($H50&lt;&gt;"",$H50&lt;=EOMONTH(AG$12,0),$I50&gt;=AG$12),"UX+DEV","UX"),IF(AND($H50&lt;&gt;"",$H50&lt;=EOMONTH(AG$12,0),$I50&gt;=AG$12),"DEV",""))))</f>
      </c>
      <c r="AH50" s="145" t="str">
        <f>IF($AI50="","",INDEX('Roadmap Calc (Don’t Touch)'!$D$2:$D$151,$AI50))</f>
        <v/>
      </c>
      <c r="AI50" s="145" t="str">
        <f>IFERROR(MATCH(35,'Roadmap Calc (Don’t Touch)'!$O$2:$O$151,0),"")</f>
        <v/>
      </c>
      <c r="AJ50" s="145"/>
      <c r="AK50" s="145"/>
      <c r="AL50" s="145"/>
      <c r="AM50" s="145"/>
      <c r="AN50">
        <f>IF($AI50="","",IF(ISNUMBER(INDEX('Roadmap Calc (Don’t Touch)'!$BB$2:$BB$151,$AI50)),INDEX('Roadmap Calc (Don’t Touch)'!$BB$2:$BB$151,$AI50),""))</f>
      </c>
      <c r="AO50">
        <f>IF($AI50="","",IF(ISNUMBER(INDEX('Roadmap Calc (Don’t Touch)'!$BC$2:$BC$151,$AI50)),INDEX('Roadmap Calc (Don’t Touch)'!$BC$2:$BC$151,$AI50),""))</f>
      </c>
    </row>
    <row r="51" spans="1:41" ht="20" customHeight="1" x14ac:dyDescent="0.25">
      <c r="A51" s="198" t="str">
        <f>IF($AI51="","",IF($AH51=$AH50,"",IF(INDEX('Roadmap Calc (Don’t Touch)'!$U$2:$U$151,$AI51)=0,$AH51,HYPERLINK("#'Control (Don’t Touch)'!E"&amp;INDEX('Roadmap Calc (Don’t Touch)'!$U$2:$U$151,$AI51),$AH51))))</f>
        <v/>
      </c>
      <c r="B51" s="159" t="str">
        <f>IF($AI51="","",IF(INDEX('Roadmap Calc (Don’t Touch)'!$K$2:$K$151,$AI51)="",INDEX('Roadmap Calc (Don’t Touch)'!$B$2:$B$151,$AI51),HYPERLINK("https://jira.bnh.com/browse/"&amp;INDEX('Roadmap Calc (Don’t Touch)'!$K$2:$K$151,$AI51),INDEX('Roadmap Calc (Don’t Touch)'!$B$2:$B$151,$AI51))))</f>
        <v/>
      </c>
      <c r="C51" s="159" t="str">
        <f>IF($AI51="","",IF(INDEX('Roadmap Calc (Don’t Touch)'!$E$2:$E$151,$AI51)="","",HYPERLINK("https://jira.bnh.com/browse/"&amp;INDEX('Roadmap Calc (Don’t Touch)'!$E$2:$E$151,$AI51),INDEX('Roadmap Calc (Don’t Touch)'!$E$2:$E$151,$AI51))))</f>
        <v/>
      </c>
      <c r="D51" s="161" t="str">
        <f>IF($AI51="","",INDEX('Roadmap Calc (Don’t Touch)'!$F$2:$F$151,$AI51))</f>
        <v/>
      </c>
      <c r="E51" s="155" t="str">
        <f>IF($AI51="","",IF(ISNUMBER(INDEX('Roadmap Calc (Don’t Touch)'!$G$2:$G$151,$AI51)),INDEX('Roadmap Calc (Don’t Touch)'!$G$2:$G$151,$AI51),""))</f>
        <v/>
      </c>
      <c r="F51" s="155" t="str">
        <f>IF($AI51="","",IF(ISNUMBER(INDEX('Roadmap Calc (Don’t Touch)'!$H$2:$H$151,$AI51)),INDEX('Roadmap Calc (Don’t Touch)'!$H$2:$H$151,$AI51),""))</f>
        <v/>
      </c>
      <c r="G51" s="156" t="str">
        <f>IF($AI51="","",INDEX('Roadmap Calc (Don’t Touch)'!$T$2:$T$151,$AI51))</f>
        <v/>
      </c>
      <c r="H51" s="157" t="str">
        <f>IF($AI51="","",IF(ISNUMBER(INDEX('Roadmap Calc (Don’t Touch)'!$I$2:$I$151,$AI51)),INDEX('Roadmap Calc (Don’t Touch)'!$I$2:$I$151,$AI51),""))</f>
        <v/>
      </c>
      <c r="I51" s="157" t="str">
        <f>IF($AI51="","",IF(ISNUMBER(INDEX('Roadmap Calc (Don’t Touch)'!$J$2:$J$151,$AI51)),INDEX('Roadmap Calc (Don’t Touch)'!$J$2:$J$151,$AI51),""))</f>
        <v/>
      </c>
      <c r="J51" s="158" t="str">
        <f>IF($AI51="","",IF(AND($AN51&lt;&gt;"",$AN51&lt;=EOMONTH(J$12,0),$AO51&gt;=J$12),IF(AND(INDEX('Roadmap Calc (Don’t Touch)'!$AA$2:$AX$151,$AI51,COLUMN()-COLUMN($J$16)+1)&gt;0,OR($D51="03. UX Discovery",$D51="04. UX Design")),IF(AND($H51&lt;&gt;"",$H51&lt;=EOMONTH(J$12,0),$I51&gt;=J$12),"ALL","PD+UX"),IF(AND($H51&lt;&gt;"",$H51&lt;=EOMONTH(J$12,0),$I51&gt;=J$12),"PD+DEV","PD")),IF(AND(INDEX('Roadmap Calc (Don’t Touch)'!$AA$2:$AX$151,$AI51,COLUMN()-COLUMN($J$16)+1)&gt;0,OR($D51="03. UX Discovery",$D51="04. UX Design")),IF(AND($H51&lt;&gt;"",$H51&lt;=EOMONTH(J$12,0),$I51&gt;=J$12),"UX+DEV","UX"),IF(AND($H51&lt;&gt;"",$H51&lt;=EOMONTH(J$12,0),$I51&gt;=J$12),"DEV",""))))</f>
      </c>
      <c r="K51" s="158" t="str">
        <f>IF($AI51="","",IF(AND($AN51&lt;&gt;"",$AN51&lt;=EOMONTH(K$12,0),$AO51&gt;=K$12),IF(AND(INDEX('Roadmap Calc (Don’t Touch)'!$AA$2:$AX$151,$AI51,COLUMN()-COLUMN($J$16)+1)&gt;0,OR($D51="03. UX Discovery",$D51="04. UX Design")),IF(AND($H51&lt;&gt;"",$H51&lt;=EOMONTH(K$12,0),$I51&gt;=K$12),"ALL","PD+UX"),IF(AND($H51&lt;&gt;"",$H51&lt;=EOMONTH(K$12,0),$I51&gt;=K$12),"PD+DEV","PD")),IF(AND(INDEX('Roadmap Calc (Don’t Touch)'!$AA$2:$AX$151,$AI51,COLUMN()-COLUMN($J$16)+1)&gt;0,OR($D51="03. UX Discovery",$D51="04. UX Design")),IF(AND($H51&lt;&gt;"",$H51&lt;=EOMONTH(K$12,0),$I51&gt;=K$12),"UX+DEV","UX"),IF(AND($H51&lt;&gt;"",$H51&lt;=EOMONTH(K$12,0),$I51&gt;=K$12),"DEV",""))))</f>
      </c>
      <c r="L51" s="158" t="str">
        <f>IF($AI51="","",IF(AND($AN51&lt;&gt;"",$AN51&lt;=EOMONTH(L$12,0),$AO51&gt;=L$12),IF(AND(INDEX('Roadmap Calc (Don’t Touch)'!$AA$2:$AX$151,$AI51,COLUMN()-COLUMN($J$16)+1)&gt;0,OR($D51="03. UX Discovery",$D51="04. UX Design")),IF(AND($H51&lt;&gt;"",$H51&lt;=EOMONTH(L$12,0),$I51&gt;=L$12),"ALL","PD+UX"),IF(AND($H51&lt;&gt;"",$H51&lt;=EOMONTH(L$12,0),$I51&gt;=L$12),"PD+DEV","PD")),IF(AND(INDEX('Roadmap Calc (Don’t Touch)'!$AA$2:$AX$151,$AI51,COLUMN()-COLUMN($J$16)+1)&gt;0,OR($D51="03. UX Discovery",$D51="04. UX Design")),IF(AND($H51&lt;&gt;"",$H51&lt;=EOMONTH(L$12,0),$I51&gt;=L$12),"UX+DEV","UX"),IF(AND($H51&lt;&gt;"",$H51&lt;=EOMONTH(L$12,0),$I51&gt;=L$12),"DEV",""))))</f>
      </c>
      <c r="M51" s="158" t="str">
        <f>IF($AI51="","",IF(AND($AN51&lt;&gt;"",$AN51&lt;=EOMONTH(M$12,0),$AO51&gt;=M$12),IF(AND(INDEX('Roadmap Calc (Don’t Touch)'!$AA$2:$AX$151,$AI51,COLUMN()-COLUMN($J$16)+1)&gt;0,OR($D51="03. UX Discovery",$D51="04. UX Design")),IF(AND($H51&lt;&gt;"",$H51&lt;=EOMONTH(M$12,0),$I51&gt;=M$12),"ALL","PD+UX"),IF(AND($H51&lt;&gt;"",$H51&lt;=EOMONTH(M$12,0),$I51&gt;=M$12),"PD+DEV","PD")),IF(AND(INDEX('Roadmap Calc (Don’t Touch)'!$AA$2:$AX$151,$AI51,COLUMN()-COLUMN($J$16)+1)&gt;0,OR($D51="03. UX Discovery",$D51="04. UX Design")),IF(AND($H51&lt;&gt;"",$H51&lt;=EOMONTH(M$12,0),$I51&gt;=M$12),"UX+DEV","UX"),IF(AND($H51&lt;&gt;"",$H51&lt;=EOMONTH(M$12,0),$I51&gt;=M$12),"DEV",""))))</f>
      </c>
      <c r="N51" s="158" t="str">
        <f>IF($AI51="","",IF(AND($AN51&lt;&gt;"",$AN51&lt;=EOMONTH(N$12,0),$AO51&gt;=N$12),IF(AND(INDEX('Roadmap Calc (Don’t Touch)'!$AA$2:$AX$151,$AI51,COLUMN()-COLUMN($J$16)+1)&gt;0,OR($D51="03. UX Discovery",$D51="04. UX Design")),IF(AND($H51&lt;&gt;"",$H51&lt;=EOMONTH(N$12,0),$I51&gt;=N$12),"ALL","PD+UX"),IF(AND($H51&lt;&gt;"",$H51&lt;=EOMONTH(N$12,0),$I51&gt;=N$12),"PD+DEV","PD")),IF(AND(INDEX('Roadmap Calc (Don’t Touch)'!$AA$2:$AX$151,$AI51,COLUMN()-COLUMN($J$16)+1)&gt;0,OR($D51="03. UX Discovery",$D51="04. UX Design")),IF(AND($H51&lt;&gt;"",$H51&lt;=EOMONTH(N$12,0),$I51&gt;=N$12),"UX+DEV","UX"),IF(AND($H51&lt;&gt;"",$H51&lt;=EOMONTH(N$12,0),$I51&gt;=N$12),"DEV",""))))</f>
      </c>
      <c r="O51" s="158" t="str">
        <f>IF($AI51="","",IF(AND($AN51&lt;&gt;"",$AN51&lt;=EOMONTH(O$12,0),$AO51&gt;=O$12),IF(AND(INDEX('Roadmap Calc (Don’t Touch)'!$AA$2:$AX$151,$AI51,COLUMN()-COLUMN($J$16)+1)&gt;0,OR($D51="03. UX Discovery",$D51="04. UX Design")),IF(AND($H51&lt;&gt;"",$H51&lt;=EOMONTH(O$12,0),$I51&gt;=O$12),"ALL","PD+UX"),IF(AND($H51&lt;&gt;"",$H51&lt;=EOMONTH(O$12,0),$I51&gt;=O$12),"PD+DEV","PD")),IF(AND(INDEX('Roadmap Calc (Don’t Touch)'!$AA$2:$AX$151,$AI51,COLUMN()-COLUMN($J$16)+1)&gt;0,OR($D51="03. UX Discovery",$D51="04. UX Design")),IF(AND($H51&lt;&gt;"",$H51&lt;=EOMONTH(O$12,0),$I51&gt;=O$12),"UX+DEV","UX"),IF(AND($H51&lt;&gt;"",$H51&lt;=EOMONTH(O$12,0),$I51&gt;=O$12),"DEV",""))))</f>
      </c>
      <c r="P51" s="158" t="str">
        <f>IF($AI51="","",IF(AND($AN51&lt;&gt;"",$AN51&lt;=EOMONTH(P$12,0),$AO51&gt;=P$12),IF(AND(INDEX('Roadmap Calc (Don’t Touch)'!$AA$2:$AX$151,$AI51,COLUMN()-COLUMN($J$16)+1)&gt;0,OR($D51="03. UX Discovery",$D51="04. UX Design")),IF(AND($H51&lt;&gt;"",$H51&lt;=EOMONTH(P$12,0),$I51&gt;=P$12),"ALL","PD+UX"),IF(AND($H51&lt;&gt;"",$H51&lt;=EOMONTH(P$12,0),$I51&gt;=P$12),"PD+DEV","PD")),IF(AND(INDEX('Roadmap Calc (Don’t Touch)'!$AA$2:$AX$151,$AI51,COLUMN()-COLUMN($J$16)+1)&gt;0,OR($D51="03. UX Discovery",$D51="04. UX Design")),IF(AND($H51&lt;&gt;"",$H51&lt;=EOMONTH(P$12,0),$I51&gt;=P$12),"UX+DEV","UX"),IF(AND($H51&lt;&gt;"",$H51&lt;=EOMONTH(P$12,0),$I51&gt;=P$12),"DEV",""))))</f>
      </c>
      <c r="Q51" s="158" t="str">
        <f>IF($AI51="","",IF(AND($AN51&lt;&gt;"",$AN51&lt;=EOMONTH(Q$12,0),$AO51&gt;=Q$12),IF(AND(INDEX('Roadmap Calc (Don’t Touch)'!$AA$2:$AX$151,$AI51,COLUMN()-COLUMN($J$16)+1)&gt;0,OR($D51="03. UX Discovery",$D51="04. UX Design")),IF(AND($H51&lt;&gt;"",$H51&lt;=EOMONTH(Q$12,0),$I51&gt;=Q$12),"ALL","PD+UX"),IF(AND($H51&lt;&gt;"",$H51&lt;=EOMONTH(Q$12,0),$I51&gt;=Q$12),"PD+DEV","PD")),IF(AND(INDEX('Roadmap Calc (Don’t Touch)'!$AA$2:$AX$151,$AI51,COLUMN()-COLUMN($J$16)+1)&gt;0,OR($D51="03. UX Discovery",$D51="04. UX Design")),IF(AND($H51&lt;&gt;"",$H51&lt;=EOMONTH(Q$12,0),$I51&gt;=Q$12),"UX+DEV","UX"),IF(AND($H51&lt;&gt;"",$H51&lt;=EOMONTH(Q$12,0),$I51&gt;=Q$12),"DEV",""))))</f>
      </c>
      <c r="R51" s="158" t="str">
        <f>IF($AI51="","",IF(AND($AN51&lt;&gt;"",$AN51&lt;=EOMONTH(R$12,0),$AO51&gt;=R$12),IF(AND(INDEX('Roadmap Calc (Don’t Touch)'!$AA$2:$AX$151,$AI51,COLUMN()-COLUMN($J$16)+1)&gt;0,OR($D51="03. UX Discovery",$D51="04. UX Design")),IF(AND($H51&lt;&gt;"",$H51&lt;=EOMONTH(R$12,0),$I51&gt;=R$12),"ALL","PD+UX"),IF(AND($H51&lt;&gt;"",$H51&lt;=EOMONTH(R$12,0),$I51&gt;=R$12),"PD+DEV","PD")),IF(AND(INDEX('Roadmap Calc (Don’t Touch)'!$AA$2:$AX$151,$AI51,COLUMN()-COLUMN($J$16)+1)&gt;0,OR($D51="03. UX Discovery",$D51="04. UX Design")),IF(AND($H51&lt;&gt;"",$H51&lt;=EOMONTH(R$12,0),$I51&gt;=R$12),"UX+DEV","UX"),IF(AND($H51&lt;&gt;"",$H51&lt;=EOMONTH(R$12,0),$I51&gt;=R$12),"DEV",""))))</f>
      </c>
      <c r="S51" s="158" t="str">
        <f>IF($AI51="","",IF(AND($AN51&lt;&gt;"",$AN51&lt;=EOMONTH(S$12,0),$AO51&gt;=S$12),IF(AND(INDEX('Roadmap Calc (Don’t Touch)'!$AA$2:$AX$151,$AI51,COLUMN()-COLUMN($J$16)+1)&gt;0,OR($D51="03. UX Discovery",$D51="04. UX Design")),IF(AND($H51&lt;&gt;"",$H51&lt;=EOMONTH(S$12,0),$I51&gt;=S$12),"ALL","PD+UX"),IF(AND($H51&lt;&gt;"",$H51&lt;=EOMONTH(S$12,0),$I51&gt;=S$12),"PD+DEV","PD")),IF(AND(INDEX('Roadmap Calc (Don’t Touch)'!$AA$2:$AX$151,$AI51,COLUMN()-COLUMN($J$16)+1)&gt;0,OR($D51="03. UX Discovery",$D51="04. UX Design")),IF(AND($H51&lt;&gt;"",$H51&lt;=EOMONTH(S$12,0),$I51&gt;=S$12),"UX+DEV","UX"),IF(AND($H51&lt;&gt;"",$H51&lt;=EOMONTH(S$12,0),$I51&gt;=S$12),"DEV",""))))</f>
      </c>
      <c r="T51" s="158" t="str">
        <f>IF($AI51="","",IF(AND($AN51&lt;&gt;"",$AN51&lt;=EOMONTH(T$12,0),$AO51&gt;=T$12),IF(AND(INDEX('Roadmap Calc (Don’t Touch)'!$AA$2:$AX$151,$AI51,COLUMN()-COLUMN($J$16)+1)&gt;0,OR($D51="03. UX Discovery",$D51="04. UX Design")),IF(AND($H51&lt;&gt;"",$H51&lt;=EOMONTH(T$12,0),$I51&gt;=T$12),"ALL","PD+UX"),IF(AND($H51&lt;&gt;"",$H51&lt;=EOMONTH(T$12,0),$I51&gt;=T$12),"PD+DEV","PD")),IF(AND(INDEX('Roadmap Calc (Don’t Touch)'!$AA$2:$AX$151,$AI51,COLUMN()-COLUMN($J$16)+1)&gt;0,OR($D51="03. UX Discovery",$D51="04. UX Design")),IF(AND($H51&lt;&gt;"",$H51&lt;=EOMONTH(T$12,0),$I51&gt;=T$12),"UX+DEV","UX"),IF(AND($H51&lt;&gt;"",$H51&lt;=EOMONTH(T$12,0),$I51&gt;=T$12),"DEV",""))))</f>
      </c>
      <c r="U51" s="158" t="str">
        <f>IF($AI51="","",IF(AND($AN51&lt;&gt;"",$AN51&lt;=EOMONTH(U$12,0),$AO51&gt;=U$12),IF(AND(INDEX('Roadmap Calc (Don’t Touch)'!$AA$2:$AX$151,$AI51,COLUMN()-COLUMN($J$16)+1)&gt;0,OR($D51="03. UX Discovery",$D51="04. UX Design")),IF(AND($H51&lt;&gt;"",$H51&lt;=EOMONTH(U$12,0),$I51&gt;=U$12),"ALL","PD+UX"),IF(AND($H51&lt;&gt;"",$H51&lt;=EOMONTH(U$12,0),$I51&gt;=U$12),"PD+DEV","PD")),IF(AND(INDEX('Roadmap Calc (Don’t Touch)'!$AA$2:$AX$151,$AI51,COLUMN()-COLUMN($J$16)+1)&gt;0,OR($D51="03. UX Discovery",$D51="04. UX Design")),IF(AND($H51&lt;&gt;"",$H51&lt;=EOMONTH(U$12,0),$I51&gt;=U$12),"UX+DEV","UX"),IF(AND($H51&lt;&gt;"",$H51&lt;=EOMONTH(U$12,0),$I51&gt;=U$12),"DEV",""))))</f>
      </c>
      <c r="V51" s="158" t="str">
        <f>IF($AI51="","",IF(AND($AN51&lt;&gt;"",$AN51&lt;=EOMONTH(V$12,0),$AO51&gt;=V$12),IF(AND(INDEX('Roadmap Calc (Don’t Touch)'!$AA$2:$AX$151,$AI51,COLUMN()-COLUMN($J$16)+1)&gt;0,OR($D51="03. UX Discovery",$D51="04. UX Design")),IF(AND($H51&lt;&gt;"",$H51&lt;=EOMONTH(V$12,0),$I51&gt;=V$12),"ALL","PD+UX"),IF(AND($H51&lt;&gt;"",$H51&lt;=EOMONTH(V$12,0),$I51&gt;=V$12),"PD+DEV","PD")),IF(AND(INDEX('Roadmap Calc (Don’t Touch)'!$AA$2:$AX$151,$AI51,COLUMN()-COLUMN($J$16)+1)&gt;0,OR($D51="03. UX Discovery",$D51="04. UX Design")),IF(AND($H51&lt;&gt;"",$H51&lt;=EOMONTH(V$12,0),$I51&gt;=V$12),"UX+DEV","UX"),IF(AND($H51&lt;&gt;"",$H51&lt;=EOMONTH(V$12,0),$I51&gt;=V$12),"DEV",""))))</f>
      </c>
      <c r="W51" s="158" t="str">
        <f>IF($AI51="","",IF(AND($AN51&lt;&gt;"",$AN51&lt;=EOMONTH(W$12,0),$AO51&gt;=W$12),IF(AND(INDEX('Roadmap Calc (Don’t Touch)'!$AA$2:$AX$151,$AI51,COLUMN()-COLUMN($J$16)+1)&gt;0,OR($D51="03. UX Discovery",$D51="04. UX Design")),IF(AND($H51&lt;&gt;"",$H51&lt;=EOMONTH(W$12,0),$I51&gt;=W$12),"ALL","PD+UX"),IF(AND($H51&lt;&gt;"",$H51&lt;=EOMONTH(W$12,0),$I51&gt;=W$12),"PD+DEV","PD")),IF(AND(INDEX('Roadmap Calc (Don’t Touch)'!$AA$2:$AX$151,$AI51,COLUMN()-COLUMN($J$16)+1)&gt;0,OR($D51="03. UX Discovery",$D51="04. UX Design")),IF(AND($H51&lt;&gt;"",$H51&lt;=EOMONTH(W$12,0),$I51&gt;=W$12),"UX+DEV","UX"),IF(AND($H51&lt;&gt;"",$H51&lt;=EOMONTH(W$12,0),$I51&gt;=W$12),"DEV",""))))</f>
      </c>
      <c r="X51" s="158" t="str">
        <f>IF($AI51="","",IF(AND($AN51&lt;&gt;"",$AN51&lt;=EOMONTH(X$12,0),$AO51&gt;=X$12),IF(AND(INDEX('Roadmap Calc (Don’t Touch)'!$AA$2:$AX$151,$AI51,COLUMN()-COLUMN($J$16)+1)&gt;0,OR($D51="03. UX Discovery",$D51="04. UX Design")),IF(AND($H51&lt;&gt;"",$H51&lt;=EOMONTH(X$12,0),$I51&gt;=X$12),"ALL","PD+UX"),IF(AND($H51&lt;&gt;"",$H51&lt;=EOMONTH(X$12,0),$I51&gt;=X$12),"PD+DEV","PD")),IF(AND(INDEX('Roadmap Calc (Don’t Touch)'!$AA$2:$AX$151,$AI51,COLUMN()-COLUMN($J$16)+1)&gt;0,OR($D51="03. UX Discovery",$D51="04. UX Design")),IF(AND($H51&lt;&gt;"",$H51&lt;=EOMONTH(X$12,0),$I51&gt;=X$12),"UX+DEV","UX"),IF(AND($H51&lt;&gt;"",$H51&lt;=EOMONTH(X$12,0),$I51&gt;=X$12),"DEV",""))))</f>
      </c>
      <c r="Y51" s="158" t="str">
        <f>IF($AI51="","",IF(AND($AN51&lt;&gt;"",$AN51&lt;=EOMONTH(Y$12,0),$AO51&gt;=Y$12),IF(AND(INDEX('Roadmap Calc (Don’t Touch)'!$AA$2:$AX$151,$AI51,COLUMN()-COLUMN($J$16)+1)&gt;0,OR($D51="03. UX Discovery",$D51="04. UX Design")),IF(AND($H51&lt;&gt;"",$H51&lt;=EOMONTH(Y$12,0),$I51&gt;=Y$12),"ALL","PD+UX"),IF(AND($H51&lt;&gt;"",$H51&lt;=EOMONTH(Y$12,0),$I51&gt;=Y$12),"PD+DEV","PD")),IF(AND(INDEX('Roadmap Calc (Don’t Touch)'!$AA$2:$AX$151,$AI51,COLUMN()-COLUMN($J$16)+1)&gt;0,OR($D51="03. UX Discovery",$D51="04. UX Design")),IF(AND($H51&lt;&gt;"",$H51&lt;=EOMONTH(Y$12,0),$I51&gt;=Y$12),"UX+DEV","UX"),IF(AND($H51&lt;&gt;"",$H51&lt;=EOMONTH(Y$12,0),$I51&gt;=Y$12),"DEV",""))))</f>
      </c>
      <c r="Z51" s="158" t="str">
        <f>IF($AI51="","",IF(AND($AN51&lt;&gt;"",$AN51&lt;=EOMONTH(Z$12,0),$AO51&gt;=Z$12),IF(AND(INDEX('Roadmap Calc (Don’t Touch)'!$AA$2:$AX$151,$AI51,COLUMN()-COLUMN($J$16)+1)&gt;0,OR($D51="03. UX Discovery",$D51="04. UX Design")),IF(AND($H51&lt;&gt;"",$H51&lt;=EOMONTH(Z$12,0),$I51&gt;=Z$12),"ALL","PD+UX"),IF(AND($H51&lt;&gt;"",$H51&lt;=EOMONTH(Z$12,0),$I51&gt;=Z$12),"PD+DEV","PD")),IF(AND(INDEX('Roadmap Calc (Don’t Touch)'!$AA$2:$AX$151,$AI51,COLUMN()-COLUMN($J$16)+1)&gt;0,OR($D51="03. UX Discovery",$D51="04. UX Design")),IF(AND($H51&lt;&gt;"",$H51&lt;=EOMONTH(Z$12,0),$I51&gt;=Z$12),"UX+DEV","UX"),IF(AND($H51&lt;&gt;"",$H51&lt;=EOMONTH(Z$12,0),$I51&gt;=Z$12),"DEV",""))))</f>
      </c>
      <c r="AA51" s="158" t="str">
        <f>IF($AI51="","",IF(AND($AN51&lt;&gt;"",$AN51&lt;=EOMONTH(AA$12,0),$AO51&gt;=AA$12),IF(AND(INDEX('Roadmap Calc (Don’t Touch)'!$AA$2:$AX$151,$AI51,COLUMN()-COLUMN($J$16)+1)&gt;0,OR($D51="03. UX Discovery",$D51="04. UX Design")),IF(AND($H51&lt;&gt;"",$H51&lt;=EOMONTH(AA$12,0),$I51&gt;=AA$12),"ALL","PD+UX"),IF(AND($H51&lt;&gt;"",$H51&lt;=EOMONTH(AA$12,0),$I51&gt;=AA$12),"PD+DEV","PD")),IF(AND(INDEX('Roadmap Calc (Don’t Touch)'!$AA$2:$AX$151,$AI51,COLUMN()-COLUMN($J$16)+1)&gt;0,OR($D51="03. UX Discovery",$D51="04. UX Design")),IF(AND($H51&lt;&gt;"",$H51&lt;=EOMONTH(AA$12,0),$I51&gt;=AA$12),"UX+DEV","UX"),IF(AND($H51&lt;&gt;"",$H51&lt;=EOMONTH(AA$12,0),$I51&gt;=AA$12),"DEV",""))))</f>
      </c>
      <c r="AB51" s="158" t="str">
        <f>IF($AI51="","",IF(AND($AN51&lt;&gt;"",$AN51&lt;=EOMONTH(AB$12,0),$AO51&gt;=AB$12),IF(AND(INDEX('Roadmap Calc (Don’t Touch)'!$AA$2:$AX$151,$AI51,COLUMN()-COLUMN($J$16)+1)&gt;0,OR($D51="03. UX Discovery",$D51="04. UX Design")),IF(AND($H51&lt;&gt;"",$H51&lt;=EOMONTH(AB$12,0),$I51&gt;=AB$12),"ALL","PD+UX"),IF(AND($H51&lt;&gt;"",$H51&lt;=EOMONTH(AB$12,0),$I51&gt;=AB$12),"PD+DEV","PD")),IF(AND(INDEX('Roadmap Calc (Don’t Touch)'!$AA$2:$AX$151,$AI51,COLUMN()-COLUMN($J$16)+1)&gt;0,OR($D51="03. UX Discovery",$D51="04. UX Design")),IF(AND($H51&lt;&gt;"",$H51&lt;=EOMONTH(AB$12,0),$I51&gt;=AB$12),"UX+DEV","UX"),IF(AND($H51&lt;&gt;"",$H51&lt;=EOMONTH(AB$12,0),$I51&gt;=AB$12),"DEV",""))))</f>
      </c>
      <c r="AC51" s="158" t="str">
        <f>IF($AI51="","",IF(AND($AN51&lt;&gt;"",$AN51&lt;=EOMONTH(AC$12,0),$AO51&gt;=AC$12),IF(AND(INDEX('Roadmap Calc (Don’t Touch)'!$AA$2:$AX$151,$AI51,COLUMN()-COLUMN($J$16)+1)&gt;0,OR($D51="03. UX Discovery",$D51="04. UX Design")),IF(AND($H51&lt;&gt;"",$H51&lt;=EOMONTH(AC$12,0),$I51&gt;=AC$12),"ALL","PD+UX"),IF(AND($H51&lt;&gt;"",$H51&lt;=EOMONTH(AC$12,0),$I51&gt;=AC$12),"PD+DEV","PD")),IF(AND(INDEX('Roadmap Calc (Don’t Touch)'!$AA$2:$AX$151,$AI51,COLUMN()-COLUMN($J$16)+1)&gt;0,OR($D51="03. UX Discovery",$D51="04. UX Design")),IF(AND($H51&lt;&gt;"",$H51&lt;=EOMONTH(AC$12,0),$I51&gt;=AC$12),"UX+DEV","UX"),IF(AND($H51&lt;&gt;"",$H51&lt;=EOMONTH(AC$12,0),$I51&gt;=AC$12),"DEV",""))))</f>
      </c>
      <c r="AD51" s="158" t="str">
        <f>IF($AI51="","",IF(AND($AN51&lt;&gt;"",$AN51&lt;=EOMONTH(AD$12,0),$AO51&gt;=AD$12),IF(AND(INDEX('Roadmap Calc (Don’t Touch)'!$AA$2:$AX$151,$AI51,COLUMN()-COLUMN($J$16)+1)&gt;0,OR($D51="03. UX Discovery",$D51="04. UX Design")),IF(AND($H51&lt;&gt;"",$H51&lt;=EOMONTH(AD$12,0),$I51&gt;=AD$12),"ALL","PD+UX"),IF(AND($H51&lt;&gt;"",$H51&lt;=EOMONTH(AD$12,0),$I51&gt;=AD$12),"PD+DEV","PD")),IF(AND(INDEX('Roadmap Calc (Don’t Touch)'!$AA$2:$AX$151,$AI51,COLUMN()-COLUMN($J$16)+1)&gt;0,OR($D51="03. UX Discovery",$D51="04. UX Design")),IF(AND($H51&lt;&gt;"",$H51&lt;=EOMONTH(AD$12,0),$I51&gt;=AD$12),"UX+DEV","UX"),IF(AND($H51&lt;&gt;"",$H51&lt;=EOMONTH(AD$12,0),$I51&gt;=AD$12),"DEV",""))))</f>
      </c>
      <c r="AE51" s="158" t="str">
        <f>IF($AI51="","",IF(AND($AN51&lt;&gt;"",$AN51&lt;=EOMONTH(AE$12,0),$AO51&gt;=AE$12),IF(AND(INDEX('Roadmap Calc (Don’t Touch)'!$AA$2:$AX$151,$AI51,COLUMN()-COLUMN($J$16)+1)&gt;0,OR($D51="03. UX Discovery",$D51="04. UX Design")),IF(AND($H51&lt;&gt;"",$H51&lt;=EOMONTH(AE$12,0),$I51&gt;=AE$12),"ALL","PD+UX"),IF(AND($H51&lt;&gt;"",$H51&lt;=EOMONTH(AE$12,0),$I51&gt;=AE$12),"PD+DEV","PD")),IF(AND(INDEX('Roadmap Calc (Don’t Touch)'!$AA$2:$AX$151,$AI51,COLUMN()-COLUMN($J$16)+1)&gt;0,OR($D51="03. UX Discovery",$D51="04. UX Design")),IF(AND($H51&lt;&gt;"",$H51&lt;=EOMONTH(AE$12,0),$I51&gt;=AE$12),"UX+DEV","UX"),IF(AND($H51&lt;&gt;"",$H51&lt;=EOMONTH(AE$12,0),$I51&gt;=AE$12),"DEV",""))))</f>
      </c>
      <c r="AF51" s="158" t="str">
        <f>IF($AI51="","",IF(AND($AN51&lt;&gt;"",$AN51&lt;=EOMONTH(AF$12,0),$AO51&gt;=AF$12),IF(AND(INDEX('Roadmap Calc (Don’t Touch)'!$AA$2:$AX$151,$AI51,COLUMN()-COLUMN($J$16)+1)&gt;0,OR($D51="03. UX Discovery",$D51="04. UX Design")),IF(AND($H51&lt;&gt;"",$H51&lt;=EOMONTH(AF$12,0),$I51&gt;=AF$12),"ALL","PD+UX"),IF(AND($H51&lt;&gt;"",$H51&lt;=EOMONTH(AF$12,0),$I51&gt;=AF$12),"PD+DEV","PD")),IF(AND(INDEX('Roadmap Calc (Don’t Touch)'!$AA$2:$AX$151,$AI51,COLUMN()-COLUMN($J$16)+1)&gt;0,OR($D51="03. UX Discovery",$D51="04. UX Design")),IF(AND($H51&lt;&gt;"",$H51&lt;=EOMONTH(AF$12,0),$I51&gt;=AF$12),"UX+DEV","UX"),IF(AND($H51&lt;&gt;"",$H51&lt;=EOMONTH(AF$12,0),$I51&gt;=AF$12),"DEV",""))))</f>
      </c>
      <c r="AG51" s="158" t="str">
        <f>IF($AI51="","",IF(AND($AN51&lt;&gt;"",$AN51&lt;=EOMONTH(AG$12,0),$AO51&gt;=AG$12),IF(AND(INDEX('Roadmap Calc (Don’t Touch)'!$AA$2:$AX$151,$AI51,COLUMN()-COLUMN($J$16)+1)&gt;0,OR($D51="03. UX Discovery",$D51="04. UX Design")),IF(AND($H51&lt;&gt;"",$H51&lt;=EOMONTH(AG$12,0),$I51&gt;=AG$12),"ALL","PD+UX"),IF(AND($H51&lt;&gt;"",$H51&lt;=EOMONTH(AG$12,0),$I51&gt;=AG$12),"PD+DEV","PD")),IF(AND(INDEX('Roadmap Calc (Don’t Touch)'!$AA$2:$AX$151,$AI51,COLUMN()-COLUMN($J$16)+1)&gt;0,OR($D51="03. UX Discovery",$D51="04. UX Design")),IF(AND($H51&lt;&gt;"",$H51&lt;=EOMONTH(AG$12,0),$I51&gt;=AG$12),"UX+DEV","UX"),IF(AND($H51&lt;&gt;"",$H51&lt;=EOMONTH(AG$12,0),$I51&gt;=AG$12),"DEV",""))))</f>
      </c>
      <c r="AH51" s="145" t="str">
        <f>IF($AI51="","",INDEX('Roadmap Calc (Don’t Touch)'!$D$2:$D$151,$AI51))</f>
        <v/>
      </c>
      <c r="AI51" s="145" t="str">
        <f>IFERROR(MATCH(36,'Roadmap Calc (Don’t Touch)'!$O$2:$O$151,0),"")</f>
        <v/>
      </c>
      <c r="AJ51" s="145"/>
      <c r="AK51" s="145"/>
      <c r="AL51" s="145"/>
      <c r="AM51" s="145"/>
      <c r="AN51">
        <f>IF($AI51="","",IF(ISNUMBER(INDEX('Roadmap Calc (Don’t Touch)'!$BB$2:$BB$151,$AI51)),INDEX('Roadmap Calc (Don’t Touch)'!$BB$2:$BB$151,$AI51),""))</f>
      </c>
      <c r="AO51">
        <f>IF($AI51="","",IF(ISNUMBER(INDEX('Roadmap Calc (Don’t Touch)'!$BC$2:$BC$151,$AI51)),INDEX('Roadmap Calc (Don’t Touch)'!$BC$2:$BC$151,$AI51),""))</f>
      </c>
    </row>
    <row r="52" spans="1:41" ht="20" customHeight="1" x14ac:dyDescent="0.25">
      <c r="A52" s="198" t="str">
        <f>IF($AI52="","",IF($AH52=$AH51,"",IF(INDEX('Roadmap Calc (Don’t Touch)'!$U$2:$U$151,$AI52)=0,$AH52,HYPERLINK("#'Control (Don’t Touch)'!E"&amp;INDEX('Roadmap Calc (Don’t Touch)'!$U$2:$U$151,$AI52),$AH52))))</f>
        <v/>
      </c>
      <c r="B52" s="159" t="str">
        <f>IF($AI52="","",IF(INDEX('Roadmap Calc (Don’t Touch)'!$K$2:$K$151,$AI52)="",INDEX('Roadmap Calc (Don’t Touch)'!$B$2:$B$151,$AI52),HYPERLINK("https://jira.bnh.com/browse/"&amp;INDEX('Roadmap Calc (Don’t Touch)'!$K$2:$K$151,$AI52),INDEX('Roadmap Calc (Don’t Touch)'!$B$2:$B$151,$AI52))))</f>
        <v/>
      </c>
      <c r="C52" s="159" t="str">
        <f>IF($AI52="","",IF(INDEX('Roadmap Calc (Don’t Touch)'!$E$2:$E$151,$AI52)="","",HYPERLINK("https://jira.bnh.com/browse/"&amp;INDEX('Roadmap Calc (Don’t Touch)'!$E$2:$E$151,$AI52),INDEX('Roadmap Calc (Don’t Touch)'!$E$2:$E$151,$AI52))))</f>
        <v/>
      </c>
      <c r="D52" s="161" t="str">
        <f>IF($AI52="","",INDEX('Roadmap Calc (Don’t Touch)'!$F$2:$F$151,$AI52))</f>
        <v/>
      </c>
      <c r="E52" s="155" t="str">
        <f>IF($AI52="","",IF(ISNUMBER(INDEX('Roadmap Calc (Don’t Touch)'!$G$2:$G$151,$AI52)),INDEX('Roadmap Calc (Don’t Touch)'!$G$2:$G$151,$AI52),""))</f>
        <v/>
      </c>
      <c r="F52" s="155" t="str">
        <f>IF($AI52="","",IF(ISNUMBER(INDEX('Roadmap Calc (Don’t Touch)'!$H$2:$H$151,$AI52)),INDEX('Roadmap Calc (Don’t Touch)'!$H$2:$H$151,$AI52),""))</f>
        <v/>
      </c>
      <c r="G52" s="156" t="str">
        <f>IF($AI52="","",INDEX('Roadmap Calc (Don’t Touch)'!$T$2:$T$151,$AI52))</f>
        <v/>
      </c>
      <c r="H52" s="157" t="str">
        <f>IF($AI52="","",IF(ISNUMBER(INDEX('Roadmap Calc (Don’t Touch)'!$I$2:$I$151,$AI52)),INDEX('Roadmap Calc (Don’t Touch)'!$I$2:$I$151,$AI52),""))</f>
        <v/>
      </c>
      <c r="I52" s="157" t="str">
        <f>IF($AI52="","",IF(ISNUMBER(INDEX('Roadmap Calc (Don’t Touch)'!$J$2:$J$151,$AI52)),INDEX('Roadmap Calc (Don’t Touch)'!$J$2:$J$151,$AI52),""))</f>
        <v/>
      </c>
      <c r="J52" s="158" t="str">
        <f>IF($AI52="","",IF(AND($AN52&lt;&gt;"",$AN52&lt;=EOMONTH(J$12,0),$AO52&gt;=J$12),IF(AND(INDEX('Roadmap Calc (Don’t Touch)'!$AA$2:$AX$151,$AI52,COLUMN()-COLUMN($J$16)+1)&gt;0,OR($D52="03. UX Discovery",$D52="04. UX Design")),IF(AND($H52&lt;&gt;"",$H52&lt;=EOMONTH(J$12,0),$I52&gt;=J$12),"ALL","PD+UX"),IF(AND($H52&lt;&gt;"",$H52&lt;=EOMONTH(J$12,0),$I52&gt;=J$12),"PD+DEV","PD")),IF(AND(INDEX('Roadmap Calc (Don’t Touch)'!$AA$2:$AX$151,$AI52,COLUMN()-COLUMN($J$16)+1)&gt;0,OR($D52="03. UX Discovery",$D52="04. UX Design")),IF(AND($H52&lt;&gt;"",$H52&lt;=EOMONTH(J$12,0),$I52&gt;=J$12),"UX+DEV","UX"),IF(AND($H52&lt;&gt;"",$H52&lt;=EOMONTH(J$12,0),$I52&gt;=J$12),"DEV",""))))</f>
      </c>
      <c r="K52" s="158" t="str">
        <f>IF($AI52="","",IF(AND($AN52&lt;&gt;"",$AN52&lt;=EOMONTH(K$12,0),$AO52&gt;=K$12),IF(AND(INDEX('Roadmap Calc (Don’t Touch)'!$AA$2:$AX$151,$AI52,COLUMN()-COLUMN($J$16)+1)&gt;0,OR($D52="03. UX Discovery",$D52="04. UX Design")),IF(AND($H52&lt;&gt;"",$H52&lt;=EOMONTH(K$12,0),$I52&gt;=K$12),"ALL","PD+UX"),IF(AND($H52&lt;&gt;"",$H52&lt;=EOMONTH(K$12,0),$I52&gt;=K$12),"PD+DEV","PD")),IF(AND(INDEX('Roadmap Calc (Don’t Touch)'!$AA$2:$AX$151,$AI52,COLUMN()-COLUMN($J$16)+1)&gt;0,OR($D52="03. UX Discovery",$D52="04. UX Design")),IF(AND($H52&lt;&gt;"",$H52&lt;=EOMONTH(K$12,0),$I52&gt;=K$12),"UX+DEV","UX"),IF(AND($H52&lt;&gt;"",$H52&lt;=EOMONTH(K$12,0),$I52&gt;=K$12),"DEV",""))))</f>
      </c>
      <c r="L52" s="158" t="str">
        <f>IF($AI52="","",IF(AND($AN52&lt;&gt;"",$AN52&lt;=EOMONTH(L$12,0),$AO52&gt;=L$12),IF(AND(INDEX('Roadmap Calc (Don’t Touch)'!$AA$2:$AX$151,$AI52,COLUMN()-COLUMN($J$16)+1)&gt;0,OR($D52="03. UX Discovery",$D52="04. UX Design")),IF(AND($H52&lt;&gt;"",$H52&lt;=EOMONTH(L$12,0),$I52&gt;=L$12),"ALL","PD+UX"),IF(AND($H52&lt;&gt;"",$H52&lt;=EOMONTH(L$12,0),$I52&gt;=L$12),"PD+DEV","PD")),IF(AND(INDEX('Roadmap Calc (Don’t Touch)'!$AA$2:$AX$151,$AI52,COLUMN()-COLUMN($J$16)+1)&gt;0,OR($D52="03. UX Discovery",$D52="04. UX Design")),IF(AND($H52&lt;&gt;"",$H52&lt;=EOMONTH(L$12,0),$I52&gt;=L$12),"UX+DEV","UX"),IF(AND($H52&lt;&gt;"",$H52&lt;=EOMONTH(L$12,0),$I52&gt;=L$12),"DEV",""))))</f>
      </c>
      <c r="M52" s="158" t="str">
        <f>IF($AI52="","",IF(AND($AN52&lt;&gt;"",$AN52&lt;=EOMONTH(M$12,0),$AO52&gt;=M$12),IF(AND(INDEX('Roadmap Calc (Don’t Touch)'!$AA$2:$AX$151,$AI52,COLUMN()-COLUMN($J$16)+1)&gt;0,OR($D52="03. UX Discovery",$D52="04. UX Design")),IF(AND($H52&lt;&gt;"",$H52&lt;=EOMONTH(M$12,0),$I52&gt;=M$12),"ALL","PD+UX"),IF(AND($H52&lt;&gt;"",$H52&lt;=EOMONTH(M$12,0),$I52&gt;=M$12),"PD+DEV","PD")),IF(AND(INDEX('Roadmap Calc (Don’t Touch)'!$AA$2:$AX$151,$AI52,COLUMN()-COLUMN($J$16)+1)&gt;0,OR($D52="03. UX Discovery",$D52="04. UX Design")),IF(AND($H52&lt;&gt;"",$H52&lt;=EOMONTH(M$12,0),$I52&gt;=M$12),"UX+DEV","UX"),IF(AND($H52&lt;&gt;"",$H52&lt;=EOMONTH(M$12,0),$I52&gt;=M$12),"DEV",""))))</f>
      </c>
      <c r="N52" s="158" t="str">
        <f>IF($AI52="","",IF(AND($AN52&lt;&gt;"",$AN52&lt;=EOMONTH(N$12,0),$AO52&gt;=N$12),IF(AND(INDEX('Roadmap Calc (Don’t Touch)'!$AA$2:$AX$151,$AI52,COLUMN()-COLUMN($J$16)+1)&gt;0,OR($D52="03. UX Discovery",$D52="04. UX Design")),IF(AND($H52&lt;&gt;"",$H52&lt;=EOMONTH(N$12,0),$I52&gt;=N$12),"ALL","PD+UX"),IF(AND($H52&lt;&gt;"",$H52&lt;=EOMONTH(N$12,0),$I52&gt;=N$12),"PD+DEV","PD")),IF(AND(INDEX('Roadmap Calc (Don’t Touch)'!$AA$2:$AX$151,$AI52,COLUMN()-COLUMN($J$16)+1)&gt;0,OR($D52="03. UX Discovery",$D52="04. UX Design")),IF(AND($H52&lt;&gt;"",$H52&lt;=EOMONTH(N$12,0),$I52&gt;=N$12),"UX+DEV","UX"),IF(AND($H52&lt;&gt;"",$H52&lt;=EOMONTH(N$12,0),$I52&gt;=N$12),"DEV",""))))</f>
      </c>
      <c r="O52" s="158" t="str">
        <f>IF($AI52="","",IF(AND($AN52&lt;&gt;"",$AN52&lt;=EOMONTH(O$12,0),$AO52&gt;=O$12),IF(AND(INDEX('Roadmap Calc (Don’t Touch)'!$AA$2:$AX$151,$AI52,COLUMN()-COLUMN($J$16)+1)&gt;0,OR($D52="03. UX Discovery",$D52="04. UX Design")),IF(AND($H52&lt;&gt;"",$H52&lt;=EOMONTH(O$12,0),$I52&gt;=O$12),"ALL","PD+UX"),IF(AND($H52&lt;&gt;"",$H52&lt;=EOMONTH(O$12,0),$I52&gt;=O$12),"PD+DEV","PD")),IF(AND(INDEX('Roadmap Calc (Don’t Touch)'!$AA$2:$AX$151,$AI52,COLUMN()-COLUMN($J$16)+1)&gt;0,OR($D52="03. UX Discovery",$D52="04. UX Design")),IF(AND($H52&lt;&gt;"",$H52&lt;=EOMONTH(O$12,0),$I52&gt;=O$12),"UX+DEV","UX"),IF(AND($H52&lt;&gt;"",$H52&lt;=EOMONTH(O$12,0),$I52&gt;=O$12),"DEV",""))))</f>
      </c>
      <c r="P52" s="158" t="str">
        <f>IF($AI52="","",IF(AND($AN52&lt;&gt;"",$AN52&lt;=EOMONTH(P$12,0),$AO52&gt;=P$12),IF(AND(INDEX('Roadmap Calc (Don’t Touch)'!$AA$2:$AX$151,$AI52,COLUMN()-COLUMN($J$16)+1)&gt;0,OR($D52="03. UX Discovery",$D52="04. UX Design")),IF(AND($H52&lt;&gt;"",$H52&lt;=EOMONTH(P$12,0),$I52&gt;=P$12),"ALL","PD+UX"),IF(AND($H52&lt;&gt;"",$H52&lt;=EOMONTH(P$12,0),$I52&gt;=P$12),"PD+DEV","PD")),IF(AND(INDEX('Roadmap Calc (Don’t Touch)'!$AA$2:$AX$151,$AI52,COLUMN()-COLUMN($J$16)+1)&gt;0,OR($D52="03. UX Discovery",$D52="04. UX Design")),IF(AND($H52&lt;&gt;"",$H52&lt;=EOMONTH(P$12,0),$I52&gt;=P$12),"UX+DEV","UX"),IF(AND($H52&lt;&gt;"",$H52&lt;=EOMONTH(P$12,0),$I52&gt;=P$12),"DEV",""))))</f>
      </c>
      <c r="Q52" s="158" t="str">
        <f>IF($AI52="","",IF(AND($AN52&lt;&gt;"",$AN52&lt;=EOMONTH(Q$12,0),$AO52&gt;=Q$12),IF(AND(INDEX('Roadmap Calc (Don’t Touch)'!$AA$2:$AX$151,$AI52,COLUMN()-COLUMN($J$16)+1)&gt;0,OR($D52="03. UX Discovery",$D52="04. UX Design")),IF(AND($H52&lt;&gt;"",$H52&lt;=EOMONTH(Q$12,0),$I52&gt;=Q$12),"ALL","PD+UX"),IF(AND($H52&lt;&gt;"",$H52&lt;=EOMONTH(Q$12,0),$I52&gt;=Q$12),"PD+DEV","PD")),IF(AND(INDEX('Roadmap Calc (Don’t Touch)'!$AA$2:$AX$151,$AI52,COLUMN()-COLUMN($J$16)+1)&gt;0,OR($D52="03. UX Discovery",$D52="04. UX Design")),IF(AND($H52&lt;&gt;"",$H52&lt;=EOMONTH(Q$12,0),$I52&gt;=Q$12),"UX+DEV","UX"),IF(AND($H52&lt;&gt;"",$H52&lt;=EOMONTH(Q$12,0),$I52&gt;=Q$12),"DEV",""))))</f>
      </c>
      <c r="R52" s="158" t="str">
        <f>IF($AI52="","",IF(AND($AN52&lt;&gt;"",$AN52&lt;=EOMONTH(R$12,0),$AO52&gt;=R$12),IF(AND(INDEX('Roadmap Calc (Don’t Touch)'!$AA$2:$AX$151,$AI52,COLUMN()-COLUMN($J$16)+1)&gt;0,OR($D52="03. UX Discovery",$D52="04. UX Design")),IF(AND($H52&lt;&gt;"",$H52&lt;=EOMONTH(R$12,0),$I52&gt;=R$12),"ALL","PD+UX"),IF(AND($H52&lt;&gt;"",$H52&lt;=EOMONTH(R$12,0),$I52&gt;=R$12),"PD+DEV","PD")),IF(AND(INDEX('Roadmap Calc (Don’t Touch)'!$AA$2:$AX$151,$AI52,COLUMN()-COLUMN($J$16)+1)&gt;0,OR($D52="03. UX Discovery",$D52="04. UX Design")),IF(AND($H52&lt;&gt;"",$H52&lt;=EOMONTH(R$12,0),$I52&gt;=R$12),"UX+DEV","UX"),IF(AND($H52&lt;&gt;"",$H52&lt;=EOMONTH(R$12,0),$I52&gt;=R$12),"DEV",""))))</f>
      </c>
      <c r="S52" s="158" t="str">
        <f>IF($AI52="","",IF(AND($AN52&lt;&gt;"",$AN52&lt;=EOMONTH(S$12,0),$AO52&gt;=S$12),IF(AND(INDEX('Roadmap Calc (Don’t Touch)'!$AA$2:$AX$151,$AI52,COLUMN()-COLUMN($J$16)+1)&gt;0,OR($D52="03. UX Discovery",$D52="04. UX Design")),IF(AND($H52&lt;&gt;"",$H52&lt;=EOMONTH(S$12,0),$I52&gt;=S$12),"ALL","PD+UX"),IF(AND($H52&lt;&gt;"",$H52&lt;=EOMONTH(S$12,0),$I52&gt;=S$12),"PD+DEV","PD")),IF(AND(INDEX('Roadmap Calc (Don’t Touch)'!$AA$2:$AX$151,$AI52,COLUMN()-COLUMN($J$16)+1)&gt;0,OR($D52="03. UX Discovery",$D52="04. UX Design")),IF(AND($H52&lt;&gt;"",$H52&lt;=EOMONTH(S$12,0),$I52&gt;=S$12),"UX+DEV","UX"),IF(AND($H52&lt;&gt;"",$H52&lt;=EOMONTH(S$12,0),$I52&gt;=S$12),"DEV",""))))</f>
      </c>
      <c r="T52" s="158" t="str">
        <f>IF($AI52="","",IF(AND($AN52&lt;&gt;"",$AN52&lt;=EOMONTH(T$12,0),$AO52&gt;=T$12),IF(AND(INDEX('Roadmap Calc (Don’t Touch)'!$AA$2:$AX$151,$AI52,COLUMN()-COLUMN($J$16)+1)&gt;0,OR($D52="03. UX Discovery",$D52="04. UX Design")),IF(AND($H52&lt;&gt;"",$H52&lt;=EOMONTH(T$12,0),$I52&gt;=T$12),"ALL","PD+UX"),IF(AND($H52&lt;&gt;"",$H52&lt;=EOMONTH(T$12,0),$I52&gt;=T$12),"PD+DEV","PD")),IF(AND(INDEX('Roadmap Calc (Don’t Touch)'!$AA$2:$AX$151,$AI52,COLUMN()-COLUMN($J$16)+1)&gt;0,OR($D52="03. UX Discovery",$D52="04. UX Design")),IF(AND($H52&lt;&gt;"",$H52&lt;=EOMONTH(T$12,0),$I52&gt;=T$12),"UX+DEV","UX"),IF(AND($H52&lt;&gt;"",$H52&lt;=EOMONTH(T$12,0),$I52&gt;=T$12),"DEV",""))))</f>
      </c>
      <c r="U52" s="158" t="str">
        <f>IF($AI52="","",IF(AND($AN52&lt;&gt;"",$AN52&lt;=EOMONTH(U$12,0),$AO52&gt;=U$12),IF(AND(INDEX('Roadmap Calc (Don’t Touch)'!$AA$2:$AX$151,$AI52,COLUMN()-COLUMN($J$16)+1)&gt;0,OR($D52="03. UX Discovery",$D52="04. UX Design")),IF(AND($H52&lt;&gt;"",$H52&lt;=EOMONTH(U$12,0),$I52&gt;=U$12),"ALL","PD+UX"),IF(AND($H52&lt;&gt;"",$H52&lt;=EOMONTH(U$12,0),$I52&gt;=U$12),"PD+DEV","PD")),IF(AND(INDEX('Roadmap Calc (Don’t Touch)'!$AA$2:$AX$151,$AI52,COLUMN()-COLUMN($J$16)+1)&gt;0,OR($D52="03. UX Discovery",$D52="04. UX Design")),IF(AND($H52&lt;&gt;"",$H52&lt;=EOMONTH(U$12,0),$I52&gt;=U$12),"UX+DEV","UX"),IF(AND($H52&lt;&gt;"",$H52&lt;=EOMONTH(U$12,0),$I52&gt;=U$12),"DEV",""))))</f>
      </c>
      <c r="V52" s="158" t="str">
        <f>IF($AI52="","",IF(AND($AN52&lt;&gt;"",$AN52&lt;=EOMONTH(V$12,0),$AO52&gt;=V$12),IF(AND(INDEX('Roadmap Calc (Don’t Touch)'!$AA$2:$AX$151,$AI52,COLUMN()-COLUMN($J$16)+1)&gt;0,OR($D52="03. UX Discovery",$D52="04. UX Design")),IF(AND($H52&lt;&gt;"",$H52&lt;=EOMONTH(V$12,0),$I52&gt;=V$12),"ALL","PD+UX"),IF(AND($H52&lt;&gt;"",$H52&lt;=EOMONTH(V$12,0),$I52&gt;=V$12),"PD+DEV","PD")),IF(AND(INDEX('Roadmap Calc (Don’t Touch)'!$AA$2:$AX$151,$AI52,COLUMN()-COLUMN($J$16)+1)&gt;0,OR($D52="03. UX Discovery",$D52="04. UX Design")),IF(AND($H52&lt;&gt;"",$H52&lt;=EOMONTH(V$12,0),$I52&gt;=V$12),"UX+DEV","UX"),IF(AND($H52&lt;&gt;"",$H52&lt;=EOMONTH(V$12,0),$I52&gt;=V$12),"DEV",""))))</f>
      </c>
      <c r="W52" s="158" t="str">
        <f>IF($AI52="","",IF(AND($AN52&lt;&gt;"",$AN52&lt;=EOMONTH(W$12,0),$AO52&gt;=W$12),IF(AND(INDEX('Roadmap Calc (Don’t Touch)'!$AA$2:$AX$151,$AI52,COLUMN()-COLUMN($J$16)+1)&gt;0,OR($D52="03. UX Discovery",$D52="04. UX Design")),IF(AND($H52&lt;&gt;"",$H52&lt;=EOMONTH(W$12,0),$I52&gt;=W$12),"ALL","PD+UX"),IF(AND($H52&lt;&gt;"",$H52&lt;=EOMONTH(W$12,0),$I52&gt;=W$12),"PD+DEV","PD")),IF(AND(INDEX('Roadmap Calc (Don’t Touch)'!$AA$2:$AX$151,$AI52,COLUMN()-COLUMN($J$16)+1)&gt;0,OR($D52="03. UX Discovery",$D52="04. UX Design")),IF(AND($H52&lt;&gt;"",$H52&lt;=EOMONTH(W$12,0),$I52&gt;=W$12),"UX+DEV","UX"),IF(AND($H52&lt;&gt;"",$H52&lt;=EOMONTH(W$12,0),$I52&gt;=W$12),"DEV",""))))</f>
      </c>
      <c r="X52" s="158" t="str">
        <f>IF($AI52="","",IF(AND($AN52&lt;&gt;"",$AN52&lt;=EOMONTH(X$12,0),$AO52&gt;=X$12),IF(AND(INDEX('Roadmap Calc (Don’t Touch)'!$AA$2:$AX$151,$AI52,COLUMN()-COLUMN($J$16)+1)&gt;0,OR($D52="03. UX Discovery",$D52="04. UX Design")),IF(AND($H52&lt;&gt;"",$H52&lt;=EOMONTH(X$12,0),$I52&gt;=X$12),"ALL","PD+UX"),IF(AND($H52&lt;&gt;"",$H52&lt;=EOMONTH(X$12,0),$I52&gt;=X$12),"PD+DEV","PD")),IF(AND(INDEX('Roadmap Calc (Don’t Touch)'!$AA$2:$AX$151,$AI52,COLUMN()-COLUMN($J$16)+1)&gt;0,OR($D52="03. UX Discovery",$D52="04. UX Design")),IF(AND($H52&lt;&gt;"",$H52&lt;=EOMONTH(X$12,0),$I52&gt;=X$12),"UX+DEV","UX"),IF(AND($H52&lt;&gt;"",$H52&lt;=EOMONTH(X$12,0),$I52&gt;=X$12),"DEV",""))))</f>
      </c>
      <c r="Y52" s="158" t="str">
        <f>IF($AI52="","",IF(AND($AN52&lt;&gt;"",$AN52&lt;=EOMONTH(Y$12,0),$AO52&gt;=Y$12),IF(AND(INDEX('Roadmap Calc (Don’t Touch)'!$AA$2:$AX$151,$AI52,COLUMN()-COLUMN($J$16)+1)&gt;0,OR($D52="03. UX Discovery",$D52="04. UX Design")),IF(AND($H52&lt;&gt;"",$H52&lt;=EOMONTH(Y$12,0),$I52&gt;=Y$12),"ALL","PD+UX"),IF(AND($H52&lt;&gt;"",$H52&lt;=EOMONTH(Y$12,0),$I52&gt;=Y$12),"PD+DEV","PD")),IF(AND(INDEX('Roadmap Calc (Don’t Touch)'!$AA$2:$AX$151,$AI52,COLUMN()-COLUMN($J$16)+1)&gt;0,OR($D52="03. UX Discovery",$D52="04. UX Design")),IF(AND($H52&lt;&gt;"",$H52&lt;=EOMONTH(Y$12,0),$I52&gt;=Y$12),"UX+DEV","UX"),IF(AND($H52&lt;&gt;"",$H52&lt;=EOMONTH(Y$12,0),$I52&gt;=Y$12),"DEV",""))))</f>
      </c>
      <c r="Z52" s="158" t="str">
        <f>IF($AI52="","",IF(AND($AN52&lt;&gt;"",$AN52&lt;=EOMONTH(Z$12,0),$AO52&gt;=Z$12),IF(AND(INDEX('Roadmap Calc (Don’t Touch)'!$AA$2:$AX$151,$AI52,COLUMN()-COLUMN($J$16)+1)&gt;0,OR($D52="03. UX Discovery",$D52="04. UX Design")),IF(AND($H52&lt;&gt;"",$H52&lt;=EOMONTH(Z$12,0),$I52&gt;=Z$12),"ALL","PD+UX"),IF(AND($H52&lt;&gt;"",$H52&lt;=EOMONTH(Z$12,0),$I52&gt;=Z$12),"PD+DEV","PD")),IF(AND(INDEX('Roadmap Calc (Don’t Touch)'!$AA$2:$AX$151,$AI52,COLUMN()-COLUMN($J$16)+1)&gt;0,OR($D52="03. UX Discovery",$D52="04. UX Design")),IF(AND($H52&lt;&gt;"",$H52&lt;=EOMONTH(Z$12,0),$I52&gt;=Z$12),"UX+DEV","UX"),IF(AND($H52&lt;&gt;"",$H52&lt;=EOMONTH(Z$12,0),$I52&gt;=Z$12),"DEV",""))))</f>
      </c>
      <c r="AA52" s="158" t="str">
        <f>IF($AI52="","",IF(AND($AN52&lt;&gt;"",$AN52&lt;=EOMONTH(AA$12,0),$AO52&gt;=AA$12),IF(AND(INDEX('Roadmap Calc (Don’t Touch)'!$AA$2:$AX$151,$AI52,COLUMN()-COLUMN($J$16)+1)&gt;0,OR($D52="03. UX Discovery",$D52="04. UX Design")),IF(AND($H52&lt;&gt;"",$H52&lt;=EOMONTH(AA$12,0),$I52&gt;=AA$12),"ALL","PD+UX"),IF(AND($H52&lt;&gt;"",$H52&lt;=EOMONTH(AA$12,0),$I52&gt;=AA$12),"PD+DEV","PD")),IF(AND(INDEX('Roadmap Calc (Don’t Touch)'!$AA$2:$AX$151,$AI52,COLUMN()-COLUMN($J$16)+1)&gt;0,OR($D52="03. UX Discovery",$D52="04. UX Design")),IF(AND($H52&lt;&gt;"",$H52&lt;=EOMONTH(AA$12,0),$I52&gt;=AA$12),"UX+DEV","UX"),IF(AND($H52&lt;&gt;"",$H52&lt;=EOMONTH(AA$12,0),$I52&gt;=AA$12),"DEV",""))))</f>
      </c>
      <c r="AB52" s="158" t="str">
        <f>IF($AI52="","",IF(AND($AN52&lt;&gt;"",$AN52&lt;=EOMONTH(AB$12,0),$AO52&gt;=AB$12),IF(AND(INDEX('Roadmap Calc (Don’t Touch)'!$AA$2:$AX$151,$AI52,COLUMN()-COLUMN($J$16)+1)&gt;0,OR($D52="03. UX Discovery",$D52="04. UX Design")),IF(AND($H52&lt;&gt;"",$H52&lt;=EOMONTH(AB$12,0),$I52&gt;=AB$12),"ALL","PD+UX"),IF(AND($H52&lt;&gt;"",$H52&lt;=EOMONTH(AB$12,0),$I52&gt;=AB$12),"PD+DEV","PD")),IF(AND(INDEX('Roadmap Calc (Don’t Touch)'!$AA$2:$AX$151,$AI52,COLUMN()-COLUMN($J$16)+1)&gt;0,OR($D52="03. UX Discovery",$D52="04. UX Design")),IF(AND($H52&lt;&gt;"",$H52&lt;=EOMONTH(AB$12,0),$I52&gt;=AB$12),"UX+DEV","UX"),IF(AND($H52&lt;&gt;"",$H52&lt;=EOMONTH(AB$12,0),$I52&gt;=AB$12),"DEV",""))))</f>
      </c>
      <c r="AC52" s="158" t="str">
        <f>IF($AI52="","",IF(AND($AN52&lt;&gt;"",$AN52&lt;=EOMONTH(AC$12,0),$AO52&gt;=AC$12),IF(AND(INDEX('Roadmap Calc (Don’t Touch)'!$AA$2:$AX$151,$AI52,COLUMN()-COLUMN($J$16)+1)&gt;0,OR($D52="03. UX Discovery",$D52="04. UX Design")),IF(AND($H52&lt;&gt;"",$H52&lt;=EOMONTH(AC$12,0),$I52&gt;=AC$12),"ALL","PD+UX"),IF(AND($H52&lt;&gt;"",$H52&lt;=EOMONTH(AC$12,0),$I52&gt;=AC$12),"PD+DEV","PD")),IF(AND(INDEX('Roadmap Calc (Don’t Touch)'!$AA$2:$AX$151,$AI52,COLUMN()-COLUMN($J$16)+1)&gt;0,OR($D52="03. UX Discovery",$D52="04. UX Design")),IF(AND($H52&lt;&gt;"",$H52&lt;=EOMONTH(AC$12,0),$I52&gt;=AC$12),"UX+DEV","UX"),IF(AND($H52&lt;&gt;"",$H52&lt;=EOMONTH(AC$12,0),$I52&gt;=AC$12),"DEV",""))))</f>
      </c>
      <c r="AD52" s="158" t="str">
        <f>IF($AI52="","",IF(AND($AN52&lt;&gt;"",$AN52&lt;=EOMONTH(AD$12,0),$AO52&gt;=AD$12),IF(AND(INDEX('Roadmap Calc (Don’t Touch)'!$AA$2:$AX$151,$AI52,COLUMN()-COLUMN($J$16)+1)&gt;0,OR($D52="03. UX Discovery",$D52="04. UX Design")),IF(AND($H52&lt;&gt;"",$H52&lt;=EOMONTH(AD$12,0),$I52&gt;=AD$12),"ALL","PD+UX"),IF(AND($H52&lt;&gt;"",$H52&lt;=EOMONTH(AD$12,0),$I52&gt;=AD$12),"PD+DEV","PD")),IF(AND(INDEX('Roadmap Calc (Don’t Touch)'!$AA$2:$AX$151,$AI52,COLUMN()-COLUMN($J$16)+1)&gt;0,OR($D52="03. UX Discovery",$D52="04. UX Design")),IF(AND($H52&lt;&gt;"",$H52&lt;=EOMONTH(AD$12,0),$I52&gt;=AD$12),"UX+DEV","UX"),IF(AND($H52&lt;&gt;"",$H52&lt;=EOMONTH(AD$12,0),$I52&gt;=AD$12),"DEV",""))))</f>
      </c>
      <c r="AE52" s="158" t="str">
        <f>IF($AI52="","",IF(AND($AN52&lt;&gt;"",$AN52&lt;=EOMONTH(AE$12,0),$AO52&gt;=AE$12),IF(AND(INDEX('Roadmap Calc (Don’t Touch)'!$AA$2:$AX$151,$AI52,COLUMN()-COLUMN($J$16)+1)&gt;0,OR($D52="03. UX Discovery",$D52="04. UX Design")),IF(AND($H52&lt;&gt;"",$H52&lt;=EOMONTH(AE$12,0),$I52&gt;=AE$12),"ALL","PD+UX"),IF(AND($H52&lt;&gt;"",$H52&lt;=EOMONTH(AE$12,0),$I52&gt;=AE$12),"PD+DEV","PD")),IF(AND(INDEX('Roadmap Calc (Don’t Touch)'!$AA$2:$AX$151,$AI52,COLUMN()-COLUMN($J$16)+1)&gt;0,OR($D52="03. UX Discovery",$D52="04. UX Design")),IF(AND($H52&lt;&gt;"",$H52&lt;=EOMONTH(AE$12,0),$I52&gt;=AE$12),"UX+DEV","UX"),IF(AND($H52&lt;&gt;"",$H52&lt;=EOMONTH(AE$12,0),$I52&gt;=AE$12),"DEV",""))))</f>
      </c>
      <c r="AF52" s="158" t="str">
        <f>IF($AI52="","",IF(AND($AN52&lt;&gt;"",$AN52&lt;=EOMONTH(AF$12,0),$AO52&gt;=AF$12),IF(AND(INDEX('Roadmap Calc (Don’t Touch)'!$AA$2:$AX$151,$AI52,COLUMN()-COLUMN($J$16)+1)&gt;0,OR($D52="03. UX Discovery",$D52="04. UX Design")),IF(AND($H52&lt;&gt;"",$H52&lt;=EOMONTH(AF$12,0),$I52&gt;=AF$12),"ALL","PD+UX"),IF(AND($H52&lt;&gt;"",$H52&lt;=EOMONTH(AF$12,0),$I52&gt;=AF$12),"PD+DEV","PD")),IF(AND(INDEX('Roadmap Calc (Don’t Touch)'!$AA$2:$AX$151,$AI52,COLUMN()-COLUMN($J$16)+1)&gt;0,OR($D52="03. UX Discovery",$D52="04. UX Design")),IF(AND($H52&lt;&gt;"",$H52&lt;=EOMONTH(AF$12,0),$I52&gt;=AF$12),"UX+DEV","UX"),IF(AND($H52&lt;&gt;"",$H52&lt;=EOMONTH(AF$12,0),$I52&gt;=AF$12),"DEV",""))))</f>
      </c>
      <c r="AG52" s="158" t="str">
        <f>IF($AI52="","",IF(AND($AN52&lt;&gt;"",$AN52&lt;=EOMONTH(AG$12,0),$AO52&gt;=AG$12),IF(AND(INDEX('Roadmap Calc (Don’t Touch)'!$AA$2:$AX$151,$AI52,COLUMN()-COLUMN($J$16)+1)&gt;0,OR($D52="03. UX Discovery",$D52="04. UX Design")),IF(AND($H52&lt;&gt;"",$H52&lt;=EOMONTH(AG$12,0),$I52&gt;=AG$12),"ALL","PD+UX"),IF(AND($H52&lt;&gt;"",$H52&lt;=EOMONTH(AG$12,0),$I52&gt;=AG$12),"PD+DEV","PD")),IF(AND(INDEX('Roadmap Calc (Don’t Touch)'!$AA$2:$AX$151,$AI52,COLUMN()-COLUMN($J$16)+1)&gt;0,OR($D52="03. UX Discovery",$D52="04. UX Design")),IF(AND($H52&lt;&gt;"",$H52&lt;=EOMONTH(AG$12,0),$I52&gt;=AG$12),"UX+DEV","UX"),IF(AND($H52&lt;&gt;"",$H52&lt;=EOMONTH(AG$12,0),$I52&gt;=AG$12),"DEV",""))))</f>
      </c>
      <c r="AH52" s="145" t="str">
        <f>IF($AI52="","",INDEX('Roadmap Calc (Don’t Touch)'!$D$2:$D$151,$AI52))</f>
        <v/>
      </c>
      <c r="AI52" s="145" t="str">
        <f>IFERROR(MATCH(37,'Roadmap Calc (Don’t Touch)'!$O$2:$O$151,0),"")</f>
        <v/>
      </c>
      <c r="AJ52" s="145"/>
      <c r="AK52" s="145"/>
      <c r="AL52" s="145"/>
      <c r="AM52" s="145"/>
      <c r="AN52">
        <f>IF($AI52="","",IF(ISNUMBER(INDEX('Roadmap Calc (Don’t Touch)'!$BB$2:$BB$151,$AI52)),INDEX('Roadmap Calc (Don’t Touch)'!$BB$2:$BB$151,$AI52),""))</f>
      </c>
      <c r="AO52">
        <f>IF($AI52="","",IF(ISNUMBER(INDEX('Roadmap Calc (Don’t Touch)'!$BC$2:$BC$151,$AI52)),INDEX('Roadmap Calc (Don’t Touch)'!$BC$2:$BC$151,$AI52),""))</f>
      </c>
    </row>
    <row r="53" spans="1:41" ht="20" customHeight="1" x14ac:dyDescent="0.25">
      <c r="A53" s="198" t="str">
        <f>IF($AI53="","",IF($AH53=$AH52,"",IF(INDEX('Roadmap Calc (Don’t Touch)'!$U$2:$U$151,$AI53)=0,$AH53,HYPERLINK("#'Control (Don’t Touch)'!E"&amp;INDEX('Roadmap Calc (Don’t Touch)'!$U$2:$U$151,$AI53),$AH53))))</f>
        <v/>
      </c>
      <c r="B53" s="159" t="str">
        <f>IF($AI53="","",IF(INDEX('Roadmap Calc (Don’t Touch)'!$K$2:$K$151,$AI53)="",INDEX('Roadmap Calc (Don’t Touch)'!$B$2:$B$151,$AI53),HYPERLINK("https://jira.bnh.com/browse/"&amp;INDEX('Roadmap Calc (Don’t Touch)'!$K$2:$K$151,$AI53),INDEX('Roadmap Calc (Don’t Touch)'!$B$2:$B$151,$AI53))))</f>
        <v/>
      </c>
      <c r="C53" s="159" t="str">
        <f>IF($AI53="","",IF(INDEX('Roadmap Calc (Don’t Touch)'!$E$2:$E$151,$AI53)="","",HYPERLINK("https://jira.bnh.com/browse/"&amp;INDEX('Roadmap Calc (Don’t Touch)'!$E$2:$E$151,$AI53),INDEX('Roadmap Calc (Don’t Touch)'!$E$2:$E$151,$AI53))))</f>
        <v/>
      </c>
      <c r="D53" s="161" t="str">
        <f>IF($AI53="","",INDEX('Roadmap Calc (Don’t Touch)'!$F$2:$F$151,$AI53))</f>
        <v/>
      </c>
      <c r="E53" s="155" t="str">
        <f>IF($AI53="","",IF(ISNUMBER(INDEX('Roadmap Calc (Don’t Touch)'!$G$2:$G$151,$AI53)),INDEX('Roadmap Calc (Don’t Touch)'!$G$2:$G$151,$AI53),""))</f>
        <v/>
      </c>
      <c r="F53" s="155" t="str">
        <f>IF($AI53="","",IF(ISNUMBER(INDEX('Roadmap Calc (Don’t Touch)'!$H$2:$H$151,$AI53)),INDEX('Roadmap Calc (Don’t Touch)'!$H$2:$H$151,$AI53),""))</f>
        <v/>
      </c>
      <c r="G53" s="156" t="str">
        <f>IF($AI53="","",INDEX('Roadmap Calc (Don’t Touch)'!$T$2:$T$151,$AI53))</f>
        <v/>
      </c>
      <c r="H53" s="157" t="str">
        <f>IF($AI53="","",IF(ISNUMBER(INDEX('Roadmap Calc (Don’t Touch)'!$I$2:$I$151,$AI53)),INDEX('Roadmap Calc (Don’t Touch)'!$I$2:$I$151,$AI53),""))</f>
        <v/>
      </c>
      <c r="I53" s="157" t="str">
        <f>IF($AI53="","",IF(ISNUMBER(INDEX('Roadmap Calc (Don’t Touch)'!$J$2:$J$151,$AI53)),INDEX('Roadmap Calc (Don’t Touch)'!$J$2:$J$151,$AI53),""))</f>
        <v/>
      </c>
      <c r="J53" s="158" t="str">
        <f>IF($AI53="","",IF(AND($AN53&lt;&gt;"",$AN53&lt;=EOMONTH(J$12,0),$AO53&gt;=J$12),IF(AND(INDEX('Roadmap Calc (Don’t Touch)'!$AA$2:$AX$151,$AI53,COLUMN()-COLUMN($J$16)+1)&gt;0,OR($D53="03. UX Discovery",$D53="04. UX Design")),IF(AND($H53&lt;&gt;"",$H53&lt;=EOMONTH(J$12,0),$I53&gt;=J$12),"ALL","PD+UX"),IF(AND($H53&lt;&gt;"",$H53&lt;=EOMONTH(J$12,0),$I53&gt;=J$12),"PD+DEV","PD")),IF(AND(INDEX('Roadmap Calc (Don’t Touch)'!$AA$2:$AX$151,$AI53,COLUMN()-COLUMN($J$16)+1)&gt;0,OR($D53="03. UX Discovery",$D53="04. UX Design")),IF(AND($H53&lt;&gt;"",$H53&lt;=EOMONTH(J$12,0),$I53&gt;=J$12),"UX+DEV","UX"),IF(AND($H53&lt;&gt;"",$H53&lt;=EOMONTH(J$12,0),$I53&gt;=J$12),"DEV",""))))</f>
      </c>
      <c r="K53" s="158" t="str">
        <f>IF($AI53="","",IF(AND($AN53&lt;&gt;"",$AN53&lt;=EOMONTH(K$12,0),$AO53&gt;=K$12),IF(AND(INDEX('Roadmap Calc (Don’t Touch)'!$AA$2:$AX$151,$AI53,COLUMN()-COLUMN($J$16)+1)&gt;0,OR($D53="03. UX Discovery",$D53="04. UX Design")),IF(AND($H53&lt;&gt;"",$H53&lt;=EOMONTH(K$12,0),$I53&gt;=K$12),"ALL","PD+UX"),IF(AND($H53&lt;&gt;"",$H53&lt;=EOMONTH(K$12,0),$I53&gt;=K$12),"PD+DEV","PD")),IF(AND(INDEX('Roadmap Calc (Don’t Touch)'!$AA$2:$AX$151,$AI53,COLUMN()-COLUMN($J$16)+1)&gt;0,OR($D53="03. UX Discovery",$D53="04. UX Design")),IF(AND($H53&lt;&gt;"",$H53&lt;=EOMONTH(K$12,0),$I53&gt;=K$12),"UX+DEV","UX"),IF(AND($H53&lt;&gt;"",$H53&lt;=EOMONTH(K$12,0),$I53&gt;=K$12),"DEV",""))))</f>
      </c>
      <c r="L53" s="158" t="str">
        <f>IF($AI53="","",IF(AND($AN53&lt;&gt;"",$AN53&lt;=EOMONTH(L$12,0),$AO53&gt;=L$12),IF(AND(INDEX('Roadmap Calc (Don’t Touch)'!$AA$2:$AX$151,$AI53,COLUMN()-COLUMN($J$16)+1)&gt;0,OR($D53="03. UX Discovery",$D53="04. UX Design")),IF(AND($H53&lt;&gt;"",$H53&lt;=EOMONTH(L$12,0),$I53&gt;=L$12),"ALL","PD+UX"),IF(AND($H53&lt;&gt;"",$H53&lt;=EOMONTH(L$12,0),$I53&gt;=L$12),"PD+DEV","PD")),IF(AND(INDEX('Roadmap Calc (Don’t Touch)'!$AA$2:$AX$151,$AI53,COLUMN()-COLUMN($J$16)+1)&gt;0,OR($D53="03. UX Discovery",$D53="04. UX Design")),IF(AND($H53&lt;&gt;"",$H53&lt;=EOMONTH(L$12,0),$I53&gt;=L$12),"UX+DEV","UX"),IF(AND($H53&lt;&gt;"",$H53&lt;=EOMONTH(L$12,0),$I53&gt;=L$12),"DEV",""))))</f>
      </c>
      <c r="M53" s="158" t="str">
        <f>IF($AI53="","",IF(AND($AN53&lt;&gt;"",$AN53&lt;=EOMONTH(M$12,0),$AO53&gt;=M$12),IF(AND(INDEX('Roadmap Calc (Don’t Touch)'!$AA$2:$AX$151,$AI53,COLUMN()-COLUMN($J$16)+1)&gt;0,OR($D53="03. UX Discovery",$D53="04. UX Design")),IF(AND($H53&lt;&gt;"",$H53&lt;=EOMONTH(M$12,0),$I53&gt;=M$12),"ALL","PD+UX"),IF(AND($H53&lt;&gt;"",$H53&lt;=EOMONTH(M$12,0),$I53&gt;=M$12),"PD+DEV","PD")),IF(AND(INDEX('Roadmap Calc (Don’t Touch)'!$AA$2:$AX$151,$AI53,COLUMN()-COLUMN($J$16)+1)&gt;0,OR($D53="03. UX Discovery",$D53="04. UX Design")),IF(AND($H53&lt;&gt;"",$H53&lt;=EOMONTH(M$12,0),$I53&gt;=M$12),"UX+DEV","UX"),IF(AND($H53&lt;&gt;"",$H53&lt;=EOMONTH(M$12,0),$I53&gt;=M$12),"DEV",""))))</f>
      </c>
      <c r="N53" s="158" t="str">
        <f>IF($AI53="","",IF(AND($AN53&lt;&gt;"",$AN53&lt;=EOMONTH(N$12,0),$AO53&gt;=N$12),IF(AND(INDEX('Roadmap Calc (Don’t Touch)'!$AA$2:$AX$151,$AI53,COLUMN()-COLUMN($J$16)+1)&gt;0,OR($D53="03. UX Discovery",$D53="04. UX Design")),IF(AND($H53&lt;&gt;"",$H53&lt;=EOMONTH(N$12,0),$I53&gt;=N$12),"ALL","PD+UX"),IF(AND($H53&lt;&gt;"",$H53&lt;=EOMONTH(N$12,0),$I53&gt;=N$12),"PD+DEV","PD")),IF(AND(INDEX('Roadmap Calc (Don’t Touch)'!$AA$2:$AX$151,$AI53,COLUMN()-COLUMN($J$16)+1)&gt;0,OR($D53="03. UX Discovery",$D53="04. UX Design")),IF(AND($H53&lt;&gt;"",$H53&lt;=EOMONTH(N$12,0),$I53&gt;=N$12),"UX+DEV","UX"),IF(AND($H53&lt;&gt;"",$H53&lt;=EOMONTH(N$12,0),$I53&gt;=N$12),"DEV",""))))</f>
      </c>
      <c r="O53" s="158" t="str">
        <f>IF($AI53="","",IF(AND($AN53&lt;&gt;"",$AN53&lt;=EOMONTH(O$12,0),$AO53&gt;=O$12),IF(AND(INDEX('Roadmap Calc (Don’t Touch)'!$AA$2:$AX$151,$AI53,COLUMN()-COLUMN($J$16)+1)&gt;0,OR($D53="03. UX Discovery",$D53="04. UX Design")),IF(AND($H53&lt;&gt;"",$H53&lt;=EOMONTH(O$12,0),$I53&gt;=O$12),"ALL","PD+UX"),IF(AND($H53&lt;&gt;"",$H53&lt;=EOMONTH(O$12,0),$I53&gt;=O$12),"PD+DEV","PD")),IF(AND(INDEX('Roadmap Calc (Don’t Touch)'!$AA$2:$AX$151,$AI53,COLUMN()-COLUMN($J$16)+1)&gt;0,OR($D53="03. UX Discovery",$D53="04. UX Design")),IF(AND($H53&lt;&gt;"",$H53&lt;=EOMONTH(O$12,0),$I53&gt;=O$12),"UX+DEV","UX"),IF(AND($H53&lt;&gt;"",$H53&lt;=EOMONTH(O$12,0),$I53&gt;=O$12),"DEV",""))))</f>
      </c>
      <c r="P53" s="158" t="str">
        <f>IF($AI53="","",IF(AND($AN53&lt;&gt;"",$AN53&lt;=EOMONTH(P$12,0),$AO53&gt;=P$12),IF(AND(INDEX('Roadmap Calc (Don’t Touch)'!$AA$2:$AX$151,$AI53,COLUMN()-COLUMN($J$16)+1)&gt;0,OR($D53="03. UX Discovery",$D53="04. UX Design")),IF(AND($H53&lt;&gt;"",$H53&lt;=EOMONTH(P$12,0),$I53&gt;=P$12),"ALL","PD+UX"),IF(AND($H53&lt;&gt;"",$H53&lt;=EOMONTH(P$12,0),$I53&gt;=P$12),"PD+DEV","PD")),IF(AND(INDEX('Roadmap Calc (Don’t Touch)'!$AA$2:$AX$151,$AI53,COLUMN()-COLUMN($J$16)+1)&gt;0,OR($D53="03. UX Discovery",$D53="04. UX Design")),IF(AND($H53&lt;&gt;"",$H53&lt;=EOMONTH(P$12,0),$I53&gt;=P$12),"UX+DEV","UX"),IF(AND($H53&lt;&gt;"",$H53&lt;=EOMONTH(P$12,0),$I53&gt;=P$12),"DEV",""))))</f>
      </c>
      <c r="Q53" s="158" t="str">
        <f>IF($AI53="","",IF(AND($AN53&lt;&gt;"",$AN53&lt;=EOMONTH(Q$12,0),$AO53&gt;=Q$12),IF(AND(INDEX('Roadmap Calc (Don’t Touch)'!$AA$2:$AX$151,$AI53,COLUMN()-COLUMN($J$16)+1)&gt;0,OR($D53="03. UX Discovery",$D53="04. UX Design")),IF(AND($H53&lt;&gt;"",$H53&lt;=EOMONTH(Q$12,0),$I53&gt;=Q$12),"ALL","PD+UX"),IF(AND($H53&lt;&gt;"",$H53&lt;=EOMONTH(Q$12,0),$I53&gt;=Q$12),"PD+DEV","PD")),IF(AND(INDEX('Roadmap Calc (Don’t Touch)'!$AA$2:$AX$151,$AI53,COLUMN()-COLUMN($J$16)+1)&gt;0,OR($D53="03. UX Discovery",$D53="04. UX Design")),IF(AND($H53&lt;&gt;"",$H53&lt;=EOMONTH(Q$12,0),$I53&gt;=Q$12),"UX+DEV","UX"),IF(AND($H53&lt;&gt;"",$H53&lt;=EOMONTH(Q$12,0),$I53&gt;=Q$12),"DEV",""))))</f>
      </c>
      <c r="R53" s="158" t="str">
        <f>IF($AI53="","",IF(AND($AN53&lt;&gt;"",$AN53&lt;=EOMONTH(R$12,0),$AO53&gt;=R$12),IF(AND(INDEX('Roadmap Calc (Don’t Touch)'!$AA$2:$AX$151,$AI53,COLUMN()-COLUMN($J$16)+1)&gt;0,OR($D53="03. UX Discovery",$D53="04. UX Design")),IF(AND($H53&lt;&gt;"",$H53&lt;=EOMONTH(R$12,0),$I53&gt;=R$12),"ALL","PD+UX"),IF(AND($H53&lt;&gt;"",$H53&lt;=EOMONTH(R$12,0),$I53&gt;=R$12),"PD+DEV","PD")),IF(AND(INDEX('Roadmap Calc (Don’t Touch)'!$AA$2:$AX$151,$AI53,COLUMN()-COLUMN($J$16)+1)&gt;0,OR($D53="03. UX Discovery",$D53="04. UX Design")),IF(AND($H53&lt;&gt;"",$H53&lt;=EOMONTH(R$12,0),$I53&gt;=R$12),"UX+DEV","UX"),IF(AND($H53&lt;&gt;"",$H53&lt;=EOMONTH(R$12,0),$I53&gt;=R$12),"DEV",""))))</f>
      </c>
      <c r="S53" s="158" t="str">
        <f>IF($AI53="","",IF(AND($AN53&lt;&gt;"",$AN53&lt;=EOMONTH(S$12,0),$AO53&gt;=S$12),IF(AND(INDEX('Roadmap Calc (Don’t Touch)'!$AA$2:$AX$151,$AI53,COLUMN()-COLUMN($J$16)+1)&gt;0,OR($D53="03. UX Discovery",$D53="04. UX Design")),IF(AND($H53&lt;&gt;"",$H53&lt;=EOMONTH(S$12,0),$I53&gt;=S$12),"ALL","PD+UX"),IF(AND($H53&lt;&gt;"",$H53&lt;=EOMONTH(S$12,0),$I53&gt;=S$12),"PD+DEV","PD")),IF(AND(INDEX('Roadmap Calc (Don’t Touch)'!$AA$2:$AX$151,$AI53,COLUMN()-COLUMN($J$16)+1)&gt;0,OR($D53="03. UX Discovery",$D53="04. UX Design")),IF(AND($H53&lt;&gt;"",$H53&lt;=EOMONTH(S$12,0),$I53&gt;=S$12),"UX+DEV","UX"),IF(AND($H53&lt;&gt;"",$H53&lt;=EOMONTH(S$12,0),$I53&gt;=S$12),"DEV",""))))</f>
      </c>
      <c r="T53" s="158" t="str">
        <f>IF($AI53="","",IF(AND($AN53&lt;&gt;"",$AN53&lt;=EOMONTH(T$12,0),$AO53&gt;=T$12),IF(AND(INDEX('Roadmap Calc (Don’t Touch)'!$AA$2:$AX$151,$AI53,COLUMN()-COLUMN($J$16)+1)&gt;0,OR($D53="03. UX Discovery",$D53="04. UX Design")),IF(AND($H53&lt;&gt;"",$H53&lt;=EOMONTH(T$12,0),$I53&gt;=T$12),"ALL","PD+UX"),IF(AND($H53&lt;&gt;"",$H53&lt;=EOMONTH(T$12,0),$I53&gt;=T$12),"PD+DEV","PD")),IF(AND(INDEX('Roadmap Calc (Don’t Touch)'!$AA$2:$AX$151,$AI53,COLUMN()-COLUMN($J$16)+1)&gt;0,OR($D53="03. UX Discovery",$D53="04. UX Design")),IF(AND($H53&lt;&gt;"",$H53&lt;=EOMONTH(T$12,0),$I53&gt;=T$12),"UX+DEV","UX"),IF(AND($H53&lt;&gt;"",$H53&lt;=EOMONTH(T$12,0),$I53&gt;=T$12),"DEV",""))))</f>
      </c>
      <c r="U53" s="158" t="str">
        <f>IF($AI53="","",IF(AND($AN53&lt;&gt;"",$AN53&lt;=EOMONTH(U$12,0),$AO53&gt;=U$12),IF(AND(INDEX('Roadmap Calc (Don’t Touch)'!$AA$2:$AX$151,$AI53,COLUMN()-COLUMN($J$16)+1)&gt;0,OR($D53="03. UX Discovery",$D53="04. UX Design")),IF(AND($H53&lt;&gt;"",$H53&lt;=EOMONTH(U$12,0),$I53&gt;=U$12),"ALL","PD+UX"),IF(AND($H53&lt;&gt;"",$H53&lt;=EOMONTH(U$12,0),$I53&gt;=U$12),"PD+DEV","PD")),IF(AND(INDEX('Roadmap Calc (Don’t Touch)'!$AA$2:$AX$151,$AI53,COLUMN()-COLUMN($J$16)+1)&gt;0,OR($D53="03. UX Discovery",$D53="04. UX Design")),IF(AND($H53&lt;&gt;"",$H53&lt;=EOMONTH(U$12,0),$I53&gt;=U$12),"UX+DEV","UX"),IF(AND($H53&lt;&gt;"",$H53&lt;=EOMONTH(U$12,0),$I53&gt;=U$12),"DEV",""))))</f>
      </c>
      <c r="V53" s="158" t="str">
        <f>IF($AI53="","",IF(AND($AN53&lt;&gt;"",$AN53&lt;=EOMONTH(V$12,0),$AO53&gt;=V$12),IF(AND(INDEX('Roadmap Calc (Don’t Touch)'!$AA$2:$AX$151,$AI53,COLUMN()-COLUMN($J$16)+1)&gt;0,OR($D53="03. UX Discovery",$D53="04. UX Design")),IF(AND($H53&lt;&gt;"",$H53&lt;=EOMONTH(V$12,0),$I53&gt;=V$12),"ALL","PD+UX"),IF(AND($H53&lt;&gt;"",$H53&lt;=EOMONTH(V$12,0),$I53&gt;=V$12),"PD+DEV","PD")),IF(AND(INDEX('Roadmap Calc (Don’t Touch)'!$AA$2:$AX$151,$AI53,COLUMN()-COLUMN($J$16)+1)&gt;0,OR($D53="03. UX Discovery",$D53="04. UX Design")),IF(AND($H53&lt;&gt;"",$H53&lt;=EOMONTH(V$12,0),$I53&gt;=V$12),"UX+DEV","UX"),IF(AND($H53&lt;&gt;"",$H53&lt;=EOMONTH(V$12,0),$I53&gt;=V$12),"DEV",""))))</f>
      </c>
      <c r="W53" s="158" t="str">
        <f>IF($AI53="","",IF(AND($AN53&lt;&gt;"",$AN53&lt;=EOMONTH(W$12,0),$AO53&gt;=W$12),IF(AND(INDEX('Roadmap Calc (Don’t Touch)'!$AA$2:$AX$151,$AI53,COLUMN()-COLUMN($J$16)+1)&gt;0,OR($D53="03. UX Discovery",$D53="04. UX Design")),IF(AND($H53&lt;&gt;"",$H53&lt;=EOMONTH(W$12,0),$I53&gt;=W$12),"ALL","PD+UX"),IF(AND($H53&lt;&gt;"",$H53&lt;=EOMONTH(W$12,0),$I53&gt;=W$12),"PD+DEV","PD")),IF(AND(INDEX('Roadmap Calc (Don’t Touch)'!$AA$2:$AX$151,$AI53,COLUMN()-COLUMN($J$16)+1)&gt;0,OR($D53="03. UX Discovery",$D53="04. UX Design")),IF(AND($H53&lt;&gt;"",$H53&lt;=EOMONTH(W$12,0),$I53&gt;=W$12),"UX+DEV","UX"),IF(AND($H53&lt;&gt;"",$H53&lt;=EOMONTH(W$12,0),$I53&gt;=W$12),"DEV",""))))</f>
      </c>
      <c r="X53" s="158" t="str">
        <f>IF($AI53="","",IF(AND($AN53&lt;&gt;"",$AN53&lt;=EOMONTH(X$12,0),$AO53&gt;=X$12),IF(AND(INDEX('Roadmap Calc (Don’t Touch)'!$AA$2:$AX$151,$AI53,COLUMN()-COLUMN($J$16)+1)&gt;0,OR($D53="03. UX Discovery",$D53="04. UX Design")),IF(AND($H53&lt;&gt;"",$H53&lt;=EOMONTH(X$12,0),$I53&gt;=X$12),"ALL","PD+UX"),IF(AND($H53&lt;&gt;"",$H53&lt;=EOMONTH(X$12,0),$I53&gt;=X$12),"PD+DEV","PD")),IF(AND(INDEX('Roadmap Calc (Don’t Touch)'!$AA$2:$AX$151,$AI53,COLUMN()-COLUMN($J$16)+1)&gt;0,OR($D53="03. UX Discovery",$D53="04. UX Design")),IF(AND($H53&lt;&gt;"",$H53&lt;=EOMONTH(X$12,0),$I53&gt;=X$12),"UX+DEV","UX"),IF(AND($H53&lt;&gt;"",$H53&lt;=EOMONTH(X$12,0),$I53&gt;=X$12),"DEV",""))))</f>
      </c>
      <c r="Y53" s="158" t="str">
        <f>IF($AI53="","",IF(AND($AN53&lt;&gt;"",$AN53&lt;=EOMONTH(Y$12,0),$AO53&gt;=Y$12),IF(AND(INDEX('Roadmap Calc (Don’t Touch)'!$AA$2:$AX$151,$AI53,COLUMN()-COLUMN($J$16)+1)&gt;0,OR($D53="03. UX Discovery",$D53="04. UX Design")),IF(AND($H53&lt;&gt;"",$H53&lt;=EOMONTH(Y$12,0),$I53&gt;=Y$12),"ALL","PD+UX"),IF(AND($H53&lt;&gt;"",$H53&lt;=EOMONTH(Y$12,0),$I53&gt;=Y$12),"PD+DEV","PD")),IF(AND(INDEX('Roadmap Calc (Don’t Touch)'!$AA$2:$AX$151,$AI53,COLUMN()-COLUMN($J$16)+1)&gt;0,OR($D53="03. UX Discovery",$D53="04. UX Design")),IF(AND($H53&lt;&gt;"",$H53&lt;=EOMONTH(Y$12,0),$I53&gt;=Y$12),"UX+DEV","UX"),IF(AND($H53&lt;&gt;"",$H53&lt;=EOMONTH(Y$12,0),$I53&gt;=Y$12),"DEV",""))))</f>
      </c>
      <c r="Z53" s="158" t="str">
        <f>IF($AI53="","",IF(AND($AN53&lt;&gt;"",$AN53&lt;=EOMONTH(Z$12,0),$AO53&gt;=Z$12),IF(AND(INDEX('Roadmap Calc (Don’t Touch)'!$AA$2:$AX$151,$AI53,COLUMN()-COLUMN($J$16)+1)&gt;0,OR($D53="03. UX Discovery",$D53="04. UX Design")),IF(AND($H53&lt;&gt;"",$H53&lt;=EOMONTH(Z$12,0),$I53&gt;=Z$12),"ALL","PD+UX"),IF(AND($H53&lt;&gt;"",$H53&lt;=EOMONTH(Z$12,0),$I53&gt;=Z$12),"PD+DEV","PD")),IF(AND(INDEX('Roadmap Calc (Don’t Touch)'!$AA$2:$AX$151,$AI53,COLUMN()-COLUMN($J$16)+1)&gt;0,OR($D53="03. UX Discovery",$D53="04. UX Design")),IF(AND($H53&lt;&gt;"",$H53&lt;=EOMONTH(Z$12,0),$I53&gt;=Z$12),"UX+DEV","UX"),IF(AND($H53&lt;&gt;"",$H53&lt;=EOMONTH(Z$12,0),$I53&gt;=Z$12),"DEV",""))))</f>
      </c>
      <c r="AA53" s="158" t="str">
        <f>IF($AI53="","",IF(AND($AN53&lt;&gt;"",$AN53&lt;=EOMONTH(AA$12,0),$AO53&gt;=AA$12),IF(AND(INDEX('Roadmap Calc (Don’t Touch)'!$AA$2:$AX$151,$AI53,COLUMN()-COLUMN($J$16)+1)&gt;0,OR($D53="03. UX Discovery",$D53="04. UX Design")),IF(AND($H53&lt;&gt;"",$H53&lt;=EOMONTH(AA$12,0),$I53&gt;=AA$12),"ALL","PD+UX"),IF(AND($H53&lt;&gt;"",$H53&lt;=EOMONTH(AA$12,0),$I53&gt;=AA$12),"PD+DEV","PD")),IF(AND(INDEX('Roadmap Calc (Don’t Touch)'!$AA$2:$AX$151,$AI53,COLUMN()-COLUMN($J$16)+1)&gt;0,OR($D53="03. UX Discovery",$D53="04. UX Design")),IF(AND($H53&lt;&gt;"",$H53&lt;=EOMONTH(AA$12,0),$I53&gt;=AA$12),"UX+DEV","UX"),IF(AND($H53&lt;&gt;"",$H53&lt;=EOMONTH(AA$12,0),$I53&gt;=AA$12),"DEV",""))))</f>
      </c>
      <c r="AB53" s="158" t="str">
        <f>IF($AI53="","",IF(AND($AN53&lt;&gt;"",$AN53&lt;=EOMONTH(AB$12,0),$AO53&gt;=AB$12),IF(AND(INDEX('Roadmap Calc (Don’t Touch)'!$AA$2:$AX$151,$AI53,COLUMN()-COLUMN($J$16)+1)&gt;0,OR($D53="03. UX Discovery",$D53="04. UX Design")),IF(AND($H53&lt;&gt;"",$H53&lt;=EOMONTH(AB$12,0),$I53&gt;=AB$12),"ALL","PD+UX"),IF(AND($H53&lt;&gt;"",$H53&lt;=EOMONTH(AB$12,0),$I53&gt;=AB$12),"PD+DEV","PD")),IF(AND(INDEX('Roadmap Calc (Don’t Touch)'!$AA$2:$AX$151,$AI53,COLUMN()-COLUMN($J$16)+1)&gt;0,OR($D53="03. UX Discovery",$D53="04. UX Design")),IF(AND($H53&lt;&gt;"",$H53&lt;=EOMONTH(AB$12,0),$I53&gt;=AB$12),"UX+DEV","UX"),IF(AND($H53&lt;&gt;"",$H53&lt;=EOMONTH(AB$12,0),$I53&gt;=AB$12),"DEV",""))))</f>
      </c>
      <c r="AC53" s="158" t="str">
        <f>IF($AI53="","",IF(AND($AN53&lt;&gt;"",$AN53&lt;=EOMONTH(AC$12,0),$AO53&gt;=AC$12),IF(AND(INDEX('Roadmap Calc (Don’t Touch)'!$AA$2:$AX$151,$AI53,COLUMN()-COLUMN($J$16)+1)&gt;0,OR($D53="03. UX Discovery",$D53="04. UX Design")),IF(AND($H53&lt;&gt;"",$H53&lt;=EOMONTH(AC$12,0),$I53&gt;=AC$12),"ALL","PD+UX"),IF(AND($H53&lt;&gt;"",$H53&lt;=EOMONTH(AC$12,0),$I53&gt;=AC$12),"PD+DEV","PD")),IF(AND(INDEX('Roadmap Calc (Don’t Touch)'!$AA$2:$AX$151,$AI53,COLUMN()-COLUMN($J$16)+1)&gt;0,OR($D53="03. UX Discovery",$D53="04. UX Design")),IF(AND($H53&lt;&gt;"",$H53&lt;=EOMONTH(AC$12,0),$I53&gt;=AC$12),"UX+DEV","UX"),IF(AND($H53&lt;&gt;"",$H53&lt;=EOMONTH(AC$12,0),$I53&gt;=AC$12),"DEV",""))))</f>
      </c>
      <c r="AD53" s="158" t="str">
        <f>IF($AI53="","",IF(AND($AN53&lt;&gt;"",$AN53&lt;=EOMONTH(AD$12,0),$AO53&gt;=AD$12),IF(AND(INDEX('Roadmap Calc (Don’t Touch)'!$AA$2:$AX$151,$AI53,COLUMN()-COLUMN($J$16)+1)&gt;0,OR($D53="03. UX Discovery",$D53="04. UX Design")),IF(AND($H53&lt;&gt;"",$H53&lt;=EOMONTH(AD$12,0),$I53&gt;=AD$12),"ALL","PD+UX"),IF(AND($H53&lt;&gt;"",$H53&lt;=EOMONTH(AD$12,0),$I53&gt;=AD$12),"PD+DEV","PD")),IF(AND(INDEX('Roadmap Calc (Don’t Touch)'!$AA$2:$AX$151,$AI53,COLUMN()-COLUMN($J$16)+1)&gt;0,OR($D53="03. UX Discovery",$D53="04. UX Design")),IF(AND($H53&lt;&gt;"",$H53&lt;=EOMONTH(AD$12,0),$I53&gt;=AD$12),"UX+DEV","UX"),IF(AND($H53&lt;&gt;"",$H53&lt;=EOMONTH(AD$12,0),$I53&gt;=AD$12),"DEV",""))))</f>
      </c>
      <c r="AE53" s="158" t="str">
        <f>IF($AI53="","",IF(AND($AN53&lt;&gt;"",$AN53&lt;=EOMONTH(AE$12,0),$AO53&gt;=AE$12),IF(AND(INDEX('Roadmap Calc (Don’t Touch)'!$AA$2:$AX$151,$AI53,COLUMN()-COLUMN($J$16)+1)&gt;0,OR($D53="03. UX Discovery",$D53="04. UX Design")),IF(AND($H53&lt;&gt;"",$H53&lt;=EOMONTH(AE$12,0),$I53&gt;=AE$12),"ALL","PD+UX"),IF(AND($H53&lt;&gt;"",$H53&lt;=EOMONTH(AE$12,0),$I53&gt;=AE$12),"PD+DEV","PD")),IF(AND(INDEX('Roadmap Calc (Don’t Touch)'!$AA$2:$AX$151,$AI53,COLUMN()-COLUMN($J$16)+1)&gt;0,OR($D53="03. UX Discovery",$D53="04. UX Design")),IF(AND($H53&lt;&gt;"",$H53&lt;=EOMONTH(AE$12,0),$I53&gt;=AE$12),"UX+DEV","UX"),IF(AND($H53&lt;&gt;"",$H53&lt;=EOMONTH(AE$12,0),$I53&gt;=AE$12),"DEV",""))))</f>
      </c>
      <c r="AF53" s="158" t="str">
        <f>IF($AI53="","",IF(AND($AN53&lt;&gt;"",$AN53&lt;=EOMONTH(AF$12,0),$AO53&gt;=AF$12),IF(AND(INDEX('Roadmap Calc (Don’t Touch)'!$AA$2:$AX$151,$AI53,COLUMN()-COLUMN($J$16)+1)&gt;0,OR($D53="03. UX Discovery",$D53="04. UX Design")),IF(AND($H53&lt;&gt;"",$H53&lt;=EOMONTH(AF$12,0),$I53&gt;=AF$12),"ALL","PD+UX"),IF(AND($H53&lt;&gt;"",$H53&lt;=EOMONTH(AF$12,0),$I53&gt;=AF$12),"PD+DEV","PD")),IF(AND(INDEX('Roadmap Calc (Don’t Touch)'!$AA$2:$AX$151,$AI53,COLUMN()-COLUMN($J$16)+1)&gt;0,OR($D53="03. UX Discovery",$D53="04. UX Design")),IF(AND($H53&lt;&gt;"",$H53&lt;=EOMONTH(AF$12,0),$I53&gt;=AF$12),"UX+DEV","UX"),IF(AND($H53&lt;&gt;"",$H53&lt;=EOMONTH(AF$12,0),$I53&gt;=AF$12),"DEV",""))))</f>
      </c>
      <c r="AG53" s="158" t="str">
        <f>IF($AI53="","",IF(AND($AN53&lt;&gt;"",$AN53&lt;=EOMONTH(AG$12,0),$AO53&gt;=AG$12),IF(AND(INDEX('Roadmap Calc (Don’t Touch)'!$AA$2:$AX$151,$AI53,COLUMN()-COLUMN($J$16)+1)&gt;0,OR($D53="03. UX Discovery",$D53="04. UX Design")),IF(AND($H53&lt;&gt;"",$H53&lt;=EOMONTH(AG$12,0),$I53&gt;=AG$12),"ALL","PD+UX"),IF(AND($H53&lt;&gt;"",$H53&lt;=EOMONTH(AG$12,0),$I53&gt;=AG$12),"PD+DEV","PD")),IF(AND(INDEX('Roadmap Calc (Don’t Touch)'!$AA$2:$AX$151,$AI53,COLUMN()-COLUMN($J$16)+1)&gt;0,OR($D53="03. UX Discovery",$D53="04. UX Design")),IF(AND($H53&lt;&gt;"",$H53&lt;=EOMONTH(AG$12,0),$I53&gt;=AG$12),"UX+DEV","UX"),IF(AND($H53&lt;&gt;"",$H53&lt;=EOMONTH(AG$12,0),$I53&gt;=AG$12),"DEV",""))))</f>
      </c>
      <c r="AH53" s="145" t="str">
        <f>IF($AI53="","",INDEX('Roadmap Calc (Don’t Touch)'!$D$2:$D$151,$AI53))</f>
        <v/>
      </c>
      <c r="AI53" s="145" t="str">
        <f>IFERROR(MATCH(38,'Roadmap Calc (Don’t Touch)'!$O$2:$O$151,0),"")</f>
        <v/>
      </c>
      <c r="AJ53" s="145"/>
      <c r="AK53" s="145"/>
      <c r="AL53" s="145"/>
      <c r="AM53" s="145"/>
      <c r="AN53">
        <f>IF($AI53="","",IF(ISNUMBER(INDEX('Roadmap Calc (Don’t Touch)'!$BB$2:$BB$151,$AI53)),INDEX('Roadmap Calc (Don’t Touch)'!$BB$2:$BB$151,$AI53),""))</f>
      </c>
      <c r="AO53">
        <f>IF($AI53="","",IF(ISNUMBER(INDEX('Roadmap Calc (Don’t Touch)'!$BC$2:$BC$151,$AI53)),INDEX('Roadmap Calc (Don’t Touch)'!$BC$2:$BC$151,$AI53),""))</f>
      </c>
    </row>
    <row r="54" spans="1:41" ht="20" customHeight="1" x14ac:dyDescent="0.25">
      <c r="A54" s="198" t="str">
        <f>IF($AI54="","",IF($AH54=$AH53,"",IF(INDEX('Roadmap Calc (Don’t Touch)'!$U$2:$U$151,$AI54)=0,$AH54,HYPERLINK("#'Control (Don’t Touch)'!E"&amp;INDEX('Roadmap Calc (Don’t Touch)'!$U$2:$U$151,$AI54),$AH54))))</f>
        <v/>
      </c>
      <c r="B54" s="159" t="str">
        <f>IF($AI54="","",IF(INDEX('Roadmap Calc (Don’t Touch)'!$K$2:$K$151,$AI54)="",INDEX('Roadmap Calc (Don’t Touch)'!$B$2:$B$151,$AI54),HYPERLINK("https://jira.bnh.com/browse/"&amp;INDEX('Roadmap Calc (Don’t Touch)'!$K$2:$K$151,$AI54),INDEX('Roadmap Calc (Don’t Touch)'!$B$2:$B$151,$AI54))))</f>
        <v/>
      </c>
      <c r="C54" s="159" t="str">
        <f>IF($AI54="","",IF(INDEX('Roadmap Calc (Don’t Touch)'!$E$2:$E$151,$AI54)="","",HYPERLINK("https://jira.bnh.com/browse/"&amp;INDEX('Roadmap Calc (Don’t Touch)'!$E$2:$E$151,$AI54),INDEX('Roadmap Calc (Don’t Touch)'!$E$2:$E$151,$AI54))))</f>
        <v/>
      </c>
      <c r="D54" s="161" t="str">
        <f>IF($AI54="","",INDEX('Roadmap Calc (Don’t Touch)'!$F$2:$F$151,$AI54))</f>
        <v/>
      </c>
      <c r="E54" s="155" t="str">
        <f>IF($AI54="","",IF(ISNUMBER(INDEX('Roadmap Calc (Don’t Touch)'!$G$2:$G$151,$AI54)),INDEX('Roadmap Calc (Don’t Touch)'!$G$2:$G$151,$AI54),""))</f>
        <v/>
      </c>
      <c r="F54" s="155" t="str">
        <f>IF($AI54="","",IF(ISNUMBER(INDEX('Roadmap Calc (Don’t Touch)'!$H$2:$H$151,$AI54)),INDEX('Roadmap Calc (Don’t Touch)'!$H$2:$H$151,$AI54),""))</f>
        <v/>
      </c>
      <c r="G54" s="156" t="str">
        <f>IF($AI54="","",INDEX('Roadmap Calc (Don’t Touch)'!$T$2:$T$151,$AI54))</f>
        <v/>
      </c>
      <c r="H54" s="157" t="str">
        <f>IF($AI54="","",IF(ISNUMBER(INDEX('Roadmap Calc (Don’t Touch)'!$I$2:$I$151,$AI54)),INDEX('Roadmap Calc (Don’t Touch)'!$I$2:$I$151,$AI54),""))</f>
        <v/>
      </c>
      <c r="I54" s="157" t="str">
        <f>IF($AI54="","",IF(ISNUMBER(INDEX('Roadmap Calc (Don’t Touch)'!$J$2:$J$151,$AI54)),INDEX('Roadmap Calc (Don’t Touch)'!$J$2:$J$151,$AI54),""))</f>
        <v/>
      </c>
      <c r="J54" s="158" t="str">
        <f>IF($AI54="","",IF(AND($AN54&lt;&gt;"",$AN54&lt;=EOMONTH(J$12,0),$AO54&gt;=J$12),IF(AND(INDEX('Roadmap Calc (Don’t Touch)'!$AA$2:$AX$151,$AI54,COLUMN()-COLUMN($J$16)+1)&gt;0,OR($D54="03. UX Discovery",$D54="04. UX Design")),IF(AND($H54&lt;&gt;"",$H54&lt;=EOMONTH(J$12,0),$I54&gt;=J$12),"ALL","PD+UX"),IF(AND($H54&lt;&gt;"",$H54&lt;=EOMONTH(J$12,0),$I54&gt;=J$12),"PD+DEV","PD")),IF(AND(INDEX('Roadmap Calc (Don’t Touch)'!$AA$2:$AX$151,$AI54,COLUMN()-COLUMN($J$16)+1)&gt;0,OR($D54="03. UX Discovery",$D54="04. UX Design")),IF(AND($H54&lt;&gt;"",$H54&lt;=EOMONTH(J$12,0),$I54&gt;=J$12),"UX+DEV","UX"),IF(AND($H54&lt;&gt;"",$H54&lt;=EOMONTH(J$12,0),$I54&gt;=J$12),"DEV",""))))</f>
      </c>
      <c r="K54" s="158" t="str">
        <f>IF($AI54="","",IF(AND($AN54&lt;&gt;"",$AN54&lt;=EOMONTH(K$12,0),$AO54&gt;=K$12),IF(AND(INDEX('Roadmap Calc (Don’t Touch)'!$AA$2:$AX$151,$AI54,COLUMN()-COLUMN($J$16)+1)&gt;0,OR($D54="03. UX Discovery",$D54="04. UX Design")),IF(AND($H54&lt;&gt;"",$H54&lt;=EOMONTH(K$12,0),$I54&gt;=K$12),"ALL","PD+UX"),IF(AND($H54&lt;&gt;"",$H54&lt;=EOMONTH(K$12,0),$I54&gt;=K$12),"PD+DEV","PD")),IF(AND(INDEX('Roadmap Calc (Don’t Touch)'!$AA$2:$AX$151,$AI54,COLUMN()-COLUMN($J$16)+1)&gt;0,OR($D54="03. UX Discovery",$D54="04. UX Design")),IF(AND($H54&lt;&gt;"",$H54&lt;=EOMONTH(K$12,0),$I54&gt;=K$12),"UX+DEV","UX"),IF(AND($H54&lt;&gt;"",$H54&lt;=EOMONTH(K$12,0),$I54&gt;=K$12),"DEV",""))))</f>
      </c>
      <c r="L54" s="158" t="str">
        <f>IF($AI54="","",IF(AND($AN54&lt;&gt;"",$AN54&lt;=EOMONTH(L$12,0),$AO54&gt;=L$12),IF(AND(INDEX('Roadmap Calc (Don’t Touch)'!$AA$2:$AX$151,$AI54,COLUMN()-COLUMN($J$16)+1)&gt;0,OR($D54="03. UX Discovery",$D54="04. UX Design")),IF(AND($H54&lt;&gt;"",$H54&lt;=EOMONTH(L$12,0),$I54&gt;=L$12),"ALL","PD+UX"),IF(AND($H54&lt;&gt;"",$H54&lt;=EOMONTH(L$12,0),$I54&gt;=L$12),"PD+DEV","PD")),IF(AND(INDEX('Roadmap Calc (Don’t Touch)'!$AA$2:$AX$151,$AI54,COLUMN()-COLUMN($J$16)+1)&gt;0,OR($D54="03. UX Discovery",$D54="04. UX Design")),IF(AND($H54&lt;&gt;"",$H54&lt;=EOMONTH(L$12,0),$I54&gt;=L$12),"UX+DEV","UX"),IF(AND($H54&lt;&gt;"",$H54&lt;=EOMONTH(L$12,0),$I54&gt;=L$12),"DEV",""))))</f>
      </c>
      <c r="M54" s="158" t="str">
        <f>IF($AI54="","",IF(AND($AN54&lt;&gt;"",$AN54&lt;=EOMONTH(M$12,0),$AO54&gt;=M$12),IF(AND(INDEX('Roadmap Calc (Don’t Touch)'!$AA$2:$AX$151,$AI54,COLUMN()-COLUMN($J$16)+1)&gt;0,OR($D54="03. UX Discovery",$D54="04. UX Design")),IF(AND($H54&lt;&gt;"",$H54&lt;=EOMONTH(M$12,0),$I54&gt;=M$12),"ALL","PD+UX"),IF(AND($H54&lt;&gt;"",$H54&lt;=EOMONTH(M$12,0),$I54&gt;=M$12),"PD+DEV","PD")),IF(AND(INDEX('Roadmap Calc (Don’t Touch)'!$AA$2:$AX$151,$AI54,COLUMN()-COLUMN($J$16)+1)&gt;0,OR($D54="03. UX Discovery",$D54="04. UX Design")),IF(AND($H54&lt;&gt;"",$H54&lt;=EOMONTH(M$12,0),$I54&gt;=M$12),"UX+DEV","UX"),IF(AND($H54&lt;&gt;"",$H54&lt;=EOMONTH(M$12,0),$I54&gt;=M$12),"DEV",""))))</f>
      </c>
      <c r="N54" s="158" t="str">
        <f>IF($AI54="","",IF(AND($AN54&lt;&gt;"",$AN54&lt;=EOMONTH(N$12,0),$AO54&gt;=N$12),IF(AND(INDEX('Roadmap Calc (Don’t Touch)'!$AA$2:$AX$151,$AI54,COLUMN()-COLUMN($J$16)+1)&gt;0,OR($D54="03. UX Discovery",$D54="04. UX Design")),IF(AND($H54&lt;&gt;"",$H54&lt;=EOMONTH(N$12,0),$I54&gt;=N$12),"ALL","PD+UX"),IF(AND($H54&lt;&gt;"",$H54&lt;=EOMONTH(N$12,0),$I54&gt;=N$12),"PD+DEV","PD")),IF(AND(INDEX('Roadmap Calc (Don’t Touch)'!$AA$2:$AX$151,$AI54,COLUMN()-COLUMN($J$16)+1)&gt;0,OR($D54="03. UX Discovery",$D54="04. UX Design")),IF(AND($H54&lt;&gt;"",$H54&lt;=EOMONTH(N$12,0),$I54&gt;=N$12),"UX+DEV","UX"),IF(AND($H54&lt;&gt;"",$H54&lt;=EOMONTH(N$12,0),$I54&gt;=N$12),"DEV",""))))</f>
      </c>
      <c r="O54" s="158" t="str">
        <f>IF($AI54="","",IF(AND($AN54&lt;&gt;"",$AN54&lt;=EOMONTH(O$12,0),$AO54&gt;=O$12),IF(AND(INDEX('Roadmap Calc (Don’t Touch)'!$AA$2:$AX$151,$AI54,COLUMN()-COLUMN($J$16)+1)&gt;0,OR($D54="03. UX Discovery",$D54="04. UX Design")),IF(AND($H54&lt;&gt;"",$H54&lt;=EOMONTH(O$12,0),$I54&gt;=O$12),"ALL","PD+UX"),IF(AND($H54&lt;&gt;"",$H54&lt;=EOMONTH(O$12,0),$I54&gt;=O$12),"PD+DEV","PD")),IF(AND(INDEX('Roadmap Calc (Don’t Touch)'!$AA$2:$AX$151,$AI54,COLUMN()-COLUMN($J$16)+1)&gt;0,OR($D54="03. UX Discovery",$D54="04. UX Design")),IF(AND($H54&lt;&gt;"",$H54&lt;=EOMONTH(O$12,0),$I54&gt;=O$12),"UX+DEV","UX"),IF(AND($H54&lt;&gt;"",$H54&lt;=EOMONTH(O$12,0),$I54&gt;=O$12),"DEV",""))))</f>
      </c>
      <c r="P54" s="158" t="str">
        <f>IF($AI54="","",IF(AND($AN54&lt;&gt;"",$AN54&lt;=EOMONTH(P$12,0),$AO54&gt;=P$12),IF(AND(INDEX('Roadmap Calc (Don’t Touch)'!$AA$2:$AX$151,$AI54,COLUMN()-COLUMN($J$16)+1)&gt;0,OR($D54="03. UX Discovery",$D54="04. UX Design")),IF(AND($H54&lt;&gt;"",$H54&lt;=EOMONTH(P$12,0),$I54&gt;=P$12),"ALL","PD+UX"),IF(AND($H54&lt;&gt;"",$H54&lt;=EOMONTH(P$12,0),$I54&gt;=P$12),"PD+DEV","PD")),IF(AND(INDEX('Roadmap Calc (Don’t Touch)'!$AA$2:$AX$151,$AI54,COLUMN()-COLUMN($J$16)+1)&gt;0,OR($D54="03. UX Discovery",$D54="04. UX Design")),IF(AND($H54&lt;&gt;"",$H54&lt;=EOMONTH(P$12,0),$I54&gt;=P$12),"UX+DEV","UX"),IF(AND($H54&lt;&gt;"",$H54&lt;=EOMONTH(P$12,0),$I54&gt;=P$12),"DEV",""))))</f>
      </c>
      <c r="Q54" s="158" t="str">
        <f>IF($AI54="","",IF(AND($AN54&lt;&gt;"",$AN54&lt;=EOMONTH(Q$12,0),$AO54&gt;=Q$12),IF(AND(INDEX('Roadmap Calc (Don’t Touch)'!$AA$2:$AX$151,$AI54,COLUMN()-COLUMN($J$16)+1)&gt;0,OR($D54="03. UX Discovery",$D54="04. UX Design")),IF(AND($H54&lt;&gt;"",$H54&lt;=EOMONTH(Q$12,0),$I54&gt;=Q$12),"ALL","PD+UX"),IF(AND($H54&lt;&gt;"",$H54&lt;=EOMONTH(Q$12,0),$I54&gt;=Q$12),"PD+DEV","PD")),IF(AND(INDEX('Roadmap Calc (Don’t Touch)'!$AA$2:$AX$151,$AI54,COLUMN()-COLUMN($J$16)+1)&gt;0,OR($D54="03. UX Discovery",$D54="04. UX Design")),IF(AND($H54&lt;&gt;"",$H54&lt;=EOMONTH(Q$12,0),$I54&gt;=Q$12),"UX+DEV","UX"),IF(AND($H54&lt;&gt;"",$H54&lt;=EOMONTH(Q$12,0),$I54&gt;=Q$12),"DEV",""))))</f>
      </c>
      <c r="R54" s="158" t="str">
        <f>IF($AI54="","",IF(AND($AN54&lt;&gt;"",$AN54&lt;=EOMONTH(R$12,0),$AO54&gt;=R$12),IF(AND(INDEX('Roadmap Calc (Don’t Touch)'!$AA$2:$AX$151,$AI54,COLUMN()-COLUMN($J$16)+1)&gt;0,OR($D54="03. UX Discovery",$D54="04. UX Design")),IF(AND($H54&lt;&gt;"",$H54&lt;=EOMONTH(R$12,0),$I54&gt;=R$12),"ALL","PD+UX"),IF(AND($H54&lt;&gt;"",$H54&lt;=EOMONTH(R$12,0),$I54&gt;=R$12),"PD+DEV","PD")),IF(AND(INDEX('Roadmap Calc (Don’t Touch)'!$AA$2:$AX$151,$AI54,COLUMN()-COLUMN($J$16)+1)&gt;0,OR($D54="03. UX Discovery",$D54="04. UX Design")),IF(AND($H54&lt;&gt;"",$H54&lt;=EOMONTH(R$12,0),$I54&gt;=R$12),"UX+DEV","UX"),IF(AND($H54&lt;&gt;"",$H54&lt;=EOMONTH(R$12,0),$I54&gt;=R$12),"DEV",""))))</f>
      </c>
      <c r="S54" s="158" t="str">
        <f>IF($AI54="","",IF(AND($AN54&lt;&gt;"",$AN54&lt;=EOMONTH(S$12,0),$AO54&gt;=S$12),IF(AND(INDEX('Roadmap Calc (Don’t Touch)'!$AA$2:$AX$151,$AI54,COLUMN()-COLUMN($J$16)+1)&gt;0,OR($D54="03. UX Discovery",$D54="04. UX Design")),IF(AND($H54&lt;&gt;"",$H54&lt;=EOMONTH(S$12,0),$I54&gt;=S$12),"ALL","PD+UX"),IF(AND($H54&lt;&gt;"",$H54&lt;=EOMONTH(S$12,0),$I54&gt;=S$12),"PD+DEV","PD")),IF(AND(INDEX('Roadmap Calc (Don’t Touch)'!$AA$2:$AX$151,$AI54,COLUMN()-COLUMN($J$16)+1)&gt;0,OR($D54="03. UX Discovery",$D54="04. UX Design")),IF(AND($H54&lt;&gt;"",$H54&lt;=EOMONTH(S$12,0),$I54&gt;=S$12),"UX+DEV","UX"),IF(AND($H54&lt;&gt;"",$H54&lt;=EOMONTH(S$12,0),$I54&gt;=S$12),"DEV",""))))</f>
      </c>
      <c r="T54" s="158" t="str">
        <f>IF($AI54="","",IF(AND($AN54&lt;&gt;"",$AN54&lt;=EOMONTH(T$12,0),$AO54&gt;=T$12),IF(AND(INDEX('Roadmap Calc (Don’t Touch)'!$AA$2:$AX$151,$AI54,COLUMN()-COLUMN($J$16)+1)&gt;0,OR($D54="03. UX Discovery",$D54="04. UX Design")),IF(AND($H54&lt;&gt;"",$H54&lt;=EOMONTH(T$12,0),$I54&gt;=T$12),"ALL","PD+UX"),IF(AND($H54&lt;&gt;"",$H54&lt;=EOMONTH(T$12,0),$I54&gt;=T$12),"PD+DEV","PD")),IF(AND(INDEX('Roadmap Calc (Don’t Touch)'!$AA$2:$AX$151,$AI54,COLUMN()-COLUMN($J$16)+1)&gt;0,OR($D54="03. UX Discovery",$D54="04. UX Design")),IF(AND($H54&lt;&gt;"",$H54&lt;=EOMONTH(T$12,0),$I54&gt;=T$12),"UX+DEV","UX"),IF(AND($H54&lt;&gt;"",$H54&lt;=EOMONTH(T$12,0),$I54&gt;=T$12),"DEV",""))))</f>
      </c>
      <c r="U54" s="158" t="str">
        <f>IF($AI54="","",IF(AND($AN54&lt;&gt;"",$AN54&lt;=EOMONTH(U$12,0),$AO54&gt;=U$12),IF(AND(INDEX('Roadmap Calc (Don’t Touch)'!$AA$2:$AX$151,$AI54,COLUMN()-COLUMN($J$16)+1)&gt;0,OR($D54="03. UX Discovery",$D54="04. UX Design")),IF(AND($H54&lt;&gt;"",$H54&lt;=EOMONTH(U$12,0),$I54&gt;=U$12),"ALL","PD+UX"),IF(AND($H54&lt;&gt;"",$H54&lt;=EOMONTH(U$12,0),$I54&gt;=U$12),"PD+DEV","PD")),IF(AND(INDEX('Roadmap Calc (Don’t Touch)'!$AA$2:$AX$151,$AI54,COLUMN()-COLUMN($J$16)+1)&gt;0,OR($D54="03. UX Discovery",$D54="04. UX Design")),IF(AND($H54&lt;&gt;"",$H54&lt;=EOMONTH(U$12,0),$I54&gt;=U$12),"UX+DEV","UX"),IF(AND($H54&lt;&gt;"",$H54&lt;=EOMONTH(U$12,0),$I54&gt;=U$12),"DEV",""))))</f>
      </c>
      <c r="V54" s="158" t="str">
        <f>IF($AI54="","",IF(AND($AN54&lt;&gt;"",$AN54&lt;=EOMONTH(V$12,0),$AO54&gt;=V$12),IF(AND(INDEX('Roadmap Calc (Don’t Touch)'!$AA$2:$AX$151,$AI54,COLUMN()-COLUMN($J$16)+1)&gt;0,OR($D54="03. UX Discovery",$D54="04. UX Design")),IF(AND($H54&lt;&gt;"",$H54&lt;=EOMONTH(V$12,0),$I54&gt;=V$12),"ALL","PD+UX"),IF(AND($H54&lt;&gt;"",$H54&lt;=EOMONTH(V$12,0),$I54&gt;=V$12),"PD+DEV","PD")),IF(AND(INDEX('Roadmap Calc (Don’t Touch)'!$AA$2:$AX$151,$AI54,COLUMN()-COLUMN($J$16)+1)&gt;0,OR($D54="03. UX Discovery",$D54="04. UX Design")),IF(AND($H54&lt;&gt;"",$H54&lt;=EOMONTH(V$12,0),$I54&gt;=V$12),"UX+DEV","UX"),IF(AND($H54&lt;&gt;"",$H54&lt;=EOMONTH(V$12,0),$I54&gt;=V$12),"DEV",""))))</f>
      </c>
      <c r="W54" s="158" t="str">
        <f>IF($AI54="","",IF(AND($AN54&lt;&gt;"",$AN54&lt;=EOMONTH(W$12,0),$AO54&gt;=W$12),IF(AND(INDEX('Roadmap Calc (Don’t Touch)'!$AA$2:$AX$151,$AI54,COLUMN()-COLUMN($J$16)+1)&gt;0,OR($D54="03. UX Discovery",$D54="04. UX Design")),IF(AND($H54&lt;&gt;"",$H54&lt;=EOMONTH(W$12,0),$I54&gt;=W$12),"ALL","PD+UX"),IF(AND($H54&lt;&gt;"",$H54&lt;=EOMONTH(W$12,0),$I54&gt;=W$12),"PD+DEV","PD")),IF(AND(INDEX('Roadmap Calc (Don’t Touch)'!$AA$2:$AX$151,$AI54,COLUMN()-COLUMN($J$16)+1)&gt;0,OR($D54="03. UX Discovery",$D54="04. UX Design")),IF(AND($H54&lt;&gt;"",$H54&lt;=EOMONTH(W$12,0),$I54&gt;=W$12),"UX+DEV","UX"),IF(AND($H54&lt;&gt;"",$H54&lt;=EOMONTH(W$12,0),$I54&gt;=W$12),"DEV",""))))</f>
      </c>
      <c r="X54" s="158" t="str">
        <f>IF($AI54="","",IF(AND($AN54&lt;&gt;"",$AN54&lt;=EOMONTH(X$12,0),$AO54&gt;=X$12),IF(AND(INDEX('Roadmap Calc (Don’t Touch)'!$AA$2:$AX$151,$AI54,COLUMN()-COLUMN($J$16)+1)&gt;0,OR($D54="03. UX Discovery",$D54="04. UX Design")),IF(AND($H54&lt;&gt;"",$H54&lt;=EOMONTH(X$12,0),$I54&gt;=X$12),"ALL","PD+UX"),IF(AND($H54&lt;&gt;"",$H54&lt;=EOMONTH(X$12,0),$I54&gt;=X$12),"PD+DEV","PD")),IF(AND(INDEX('Roadmap Calc (Don’t Touch)'!$AA$2:$AX$151,$AI54,COLUMN()-COLUMN($J$16)+1)&gt;0,OR($D54="03. UX Discovery",$D54="04. UX Design")),IF(AND($H54&lt;&gt;"",$H54&lt;=EOMONTH(X$12,0),$I54&gt;=X$12),"UX+DEV","UX"),IF(AND($H54&lt;&gt;"",$H54&lt;=EOMONTH(X$12,0),$I54&gt;=X$12),"DEV",""))))</f>
      </c>
      <c r="Y54" s="158" t="str">
        <f>IF($AI54="","",IF(AND($AN54&lt;&gt;"",$AN54&lt;=EOMONTH(Y$12,0),$AO54&gt;=Y$12),IF(AND(INDEX('Roadmap Calc (Don’t Touch)'!$AA$2:$AX$151,$AI54,COLUMN()-COLUMN($J$16)+1)&gt;0,OR($D54="03. UX Discovery",$D54="04. UX Design")),IF(AND($H54&lt;&gt;"",$H54&lt;=EOMONTH(Y$12,0),$I54&gt;=Y$12),"ALL","PD+UX"),IF(AND($H54&lt;&gt;"",$H54&lt;=EOMONTH(Y$12,0),$I54&gt;=Y$12),"PD+DEV","PD")),IF(AND(INDEX('Roadmap Calc (Don’t Touch)'!$AA$2:$AX$151,$AI54,COLUMN()-COLUMN($J$16)+1)&gt;0,OR($D54="03. UX Discovery",$D54="04. UX Design")),IF(AND($H54&lt;&gt;"",$H54&lt;=EOMONTH(Y$12,0),$I54&gt;=Y$12),"UX+DEV","UX"),IF(AND($H54&lt;&gt;"",$H54&lt;=EOMONTH(Y$12,0),$I54&gt;=Y$12),"DEV",""))))</f>
      </c>
      <c r="Z54" s="158" t="str">
        <f>IF($AI54="","",IF(AND($AN54&lt;&gt;"",$AN54&lt;=EOMONTH(Z$12,0),$AO54&gt;=Z$12),IF(AND(INDEX('Roadmap Calc (Don’t Touch)'!$AA$2:$AX$151,$AI54,COLUMN()-COLUMN($J$16)+1)&gt;0,OR($D54="03. UX Discovery",$D54="04. UX Design")),IF(AND($H54&lt;&gt;"",$H54&lt;=EOMONTH(Z$12,0),$I54&gt;=Z$12),"ALL","PD+UX"),IF(AND($H54&lt;&gt;"",$H54&lt;=EOMONTH(Z$12,0),$I54&gt;=Z$12),"PD+DEV","PD")),IF(AND(INDEX('Roadmap Calc (Don’t Touch)'!$AA$2:$AX$151,$AI54,COLUMN()-COLUMN($J$16)+1)&gt;0,OR($D54="03. UX Discovery",$D54="04. UX Design")),IF(AND($H54&lt;&gt;"",$H54&lt;=EOMONTH(Z$12,0),$I54&gt;=Z$12),"UX+DEV","UX"),IF(AND($H54&lt;&gt;"",$H54&lt;=EOMONTH(Z$12,0),$I54&gt;=Z$12),"DEV",""))))</f>
      </c>
      <c r="AA54" s="158" t="str">
        <f>IF($AI54="","",IF(AND($AN54&lt;&gt;"",$AN54&lt;=EOMONTH(AA$12,0),$AO54&gt;=AA$12),IF(AND(INDEX('Roadmap Calc (Don’t Touch)'!$AA$2:$AX$151,$AI54,COLUMN()-COLUMN($J$16)+1)&gt;0,OR($D54="03. UX Discovery",$D54="04. UX Design")),IF(AND($H54&lt;&gt;"",$H54&lt;=EOMONTH(AA$12,0),$I54&gt;=AA$12),"ALL","PD+UX"),IF(AND($H54&lt;&gt;"",$H54&lt;=EOMONTH(AA$12,0),$I54&gt;=AA$12),"PD+DEV","PD")),IF(AND(INDEX('Roadmap Calc (Don’t Touch)'!$AA$2:$AX$151,$AI54,COLUMN()-COLUMN($J$16)+1)&gt;0,OR($D54="03. UX Discovery",$D54="04. UX Design")),IF(AND($H54&lt;&gt;"",$H54&lt;=EOMONTH(AA$12,0),$I54&gt;=AA$12),"UX+DEV","UX"),IF(AND($H54&lt;&gt;"",$H54&lt;=EOMONTH(AA$12,0),$I54&gt;=AA$12),"DEV",""))))</f>
      </c>
      <c r="AB54" s="158" t="str">
        <f>IF($AI54="","",IF(AND($AN54&lt;&gt;"",$AN54&lt;=EOMONTH(AB$12,0),$AO54&gt;=AB$12),IF(AND(INDEX('Roadmap Calc (Don’t Touch)'!$AA$2:$AX$151,$AI54,COLUMN()-COLUMN($J$16)+1)&gt;0,OR($D54="03. UX Discovery",$D54="04. UX Design")),IF(AND($H54&lt;&gt;"",$H54&lt;=EOMONTH(AB$12,0),$I54&gt;=AB$12),"ALL","PD+UX"),IF(AND($H54&lt;&gt;"",$H54&lt;=EOMONTH(AB$12,0),$I54&gt;=AB$12),"PD+DEV","PD")),IF(AND(INDEX('Roadmap Calc (Don’t Touch)'!$AA$2:$AX$151,$AI54,COLUMN()-COLUMN($J$16)+1)&gt;0,OR($D54="03. UX Discovery",$D54="04. UX Design")),IF(AND($H54&lt;&gt;"",$H54&lt;=EOMONTH(AB$12,0),$I54&gt;=AB$12),"UX+DEV","UX"),IF(AND($H54&lt;&gt;"",$H54&lt;=EOMONTH(AB$12,0),$I54&gt;=AB$12),"DEV",""))))</f>
      </c>
      <c r="AC54" s="158" t="str">
        <f>IF($AI54="","",IF(AND($AN54&lt;&gt;"",$AN54&lt;=EOMONTH(AC$12,0),$AO54&gt;=AC$12),IF(AND(INDEX('Roadmap Calc (Don’t Touch)'!$AA$2:$AX$151,$AI54,COLUMN()-COLUMN($J$16)+1)&gt;0,OR($D54="03. UX Discovery",$D54="04. UX Design")),IF(AND($H54&lt;&gt;"",$H54&lt;=EOMONTH(AC$12,0),$I54&gt;=AC$12),"ALL","PD+UX"),IF(AND($H54&lt;&gt;"",$H54&lt;=EOMONTH(AC$12,0),$I54&gt;=AC$12),"PD+DEV","PD")),IF(AND(INDEX('Roadmap Calc (Don’t Touch)'!$AA$2:$AX$151,$AI54,COLUMN()-COLUMN($J$16)+1)&gt;0,OR($D54="03. UX Discovery",$D54="04. UX Design")),IF(AND($H54&lt;&gt;"",$H54&lt;=EOMONTH(AC$12,0),$I54&gt;=AC$12),"UX+DEV","UX"),IF(AND($H54&lt;&gt;"",$H54&lt;=EOMONTH(AC$12,0),$I54&gt;=AC$12),"DEV",""))))</f>
      </c>
      <c r="AD54" s="158" t="str">
        <f>IF($AI54="","",IF(AND($AN54&lt;&gt;"",$AN54&lt;=EOMONTH(AD$12,0),$AO54&gt;=AD$12),IF(AND(INDEX('Roadmap Calc (Don’t Touch)'!$AA$2:$AX$151,$AI54,COLUMN()-COLUMN($J$16)+1)&gt;0,OR($D54="03. UX Discovery",$D54="04. UX Design")),IF(AND($H54&lt;&gt;"",$H54&lt;=EOMONTH(AD$12,0),$I54&gt;=AD$12),"ALL","PD+UX"),IF(AND($H54&lt;&gt;"",$H54&lt;=EOMONTH(AD$12,0),$I54&gt;=AD$12),"PD+DEV","PD")),IF(AND(INDEX('Roadmap Calc (Don’t Touch)'!$AA$2:$AX$151,$AI54,COLUMN()-COLUMN($J$16)+1)&gt;0,OR($D54="03. UX Discovery",$D54="04. UX Design")),IF(AND($H54&lt;&gt;"",$H54&lt;=EOMONTH(AD$12,0),$I54&gt;=AD$12),"UX+DEV","UX"),IF(AND($H54&lt;&gt;"",$H54&lt;=EOMONTH(AD$12,0),$I54&gt;=AD$12),"DEV",""))))</f>
      </c>
      <c r="AE54" s="158" t="str">
        <f>IF($AI54="","",IF(AND($AN54&lt;&gt;"",$AN54&lt;=EOMONTH(AE$12,0),$AO54&gt;=AE$12),IF(AND(INDEX('Roadmap Calc (Don’t Touch)'!$AA$2:$AX$151,$AI54,COLUMN()-COLUMN($J$16)+1)&gt;0,OR($D54="03. UX Discovery",$D54="04. UX Design")),IF(AND($H54&lt;&gt;"",$H54&lt;=EOMONTH(AE$12,0),$I54&gt;=AE$12),"ALL","PD+UX"),IF(AND($H54&lt;&gt;"",$H54&lt;=EOMONTH(AE$12,0),$I54&gt;=AE$12),"PD+DEV","PD")),IF(AND(INDEX('Roadmap Calc (Don’t Touch)'!$AA$2:$AX$151,$AI54,COLUMN()-COLUMN($J$16)+1)&gt;0,OR($D54="03. UX Discovery",$D54="04. UX Design")),IF(AND($H54&lt;&gt;"",$H54&lt;=EOMONTH(AE$12,0),$I54&gt;=AE$12),"UX+DEV","UX"),IF(AND($H54&lt;&gt;"",$H54&lt;=EOMONTH(AE$12,0),$I54&gt;=AE$12),"DEV",""))))</f>
      </c>
      <c r="AF54" s="158" t="str">
        <f>IF($AI54="","",IF(AND($AN54&lt;&gt;"",$AN54&lt;=EOMONTH(AF$12,0),$AO54&gt;=AF$12),IF(AND(INDEX('Roadmap Calc (Don’t Touch)'!$AA$2:$AX$151,$AI54,COLUMN()-COLUMN($J$16)+1)&gt;0,OR($D54="03. UX Discovery",$D54="04. UX Design")),IF(AND($H54&lt;&gt;"",$H54&lt;=EOMONTH(AF$12,0),$I54&gt;=AF$12),"ALL","PD+UX"),IF(AND($H54&lt;&gt;"",$H54&lt;=EOMONTH(AF$12,0),$I54&gt;=AF$12),"PD+DEV","PD")),IF(AND(INDEX('Roadmap Calc (Don’t Touch)'!$AA$2:$AX$151,$AI54,COLUMN()-COLUMN($J$16)+1)&gt;0,OR($D54="03. UX Discovery",$D54="04. UX Design")),IF(AND($H54&lt;&gt;"",$H54&lt;=EOMONTH(AF$12,0),$I54&gt;=AF$12),"UX+DEV","UX"),IF(AND($H54&lt;&gt;"",$H54&lt;=EOMONTH(AF$12,0),$I54&gt;=AF$12),"DEV",""))))</f>
      </c>
      <c r="AG54" s="158" t="str">
        <f>IF($AI54="","",IF(AND($AN54&lt;&gt;"",$AN54&lt;=EOMONTH(AG$12,0),$AO54&gt;=AG$12),IF(AND(INDEX('Roadmap Calc (Don’t Touch)'!$AA$2:$AX$151,$AI54,COLUMN()-COLUMN($J$16)+1)&gt;0,OR($D54="03. UX Discovery",$D54="04. UX Design")),IF(AND($H54&lt;&gt;"",$H54&lt;=EOMONTH(AG$12,0),$I54&gt;=AG$12),"ALL","PD+UX"),IF(AND($H54&lt;&gt;"",$H54&lt;=EOMONTH(AG$12,0),$I54&gt;=AG$12),"PD+DEV","PD")),IF(AND(INDEX('Roadmap Calc (Don’t Touch)'!$AA$2:$AX$151,$AI54,COLUMN()-COLUMN($J$16)+1)&gt;0,OR($D54="03. UX Discovery",$D54="04. UX Design")),IF(AND($H54&lt;&gt;"",$H54&lt;=EOMONTH(AG$12,0),$I54&gt;=AG$12),"UX+DEV","UX"),IF(AND($H54&lt;&gt;"",$H54&lt;=EOMONTH(AG$12,0),$I54&gt;=AG$12),"DEV",""))))</f>
      </c>
      <c r="AH54" s="145" t="str">
        <f>IF($AI54="","",INDEX('Roadmap Calc (Don’t Touch)'!$D$2:$D$151,$AI54))</f>
        <v/>
      </c>
      <c r="AI54" s="145" t="str">
        <f>IFERROR(MATCH(39,'Roadmap Calc (Don’t Touch)'!$O$2:$O$151,0),"")</f>
        <v/>
      </c>
      <c r="AJ54" s="145"/>
      <c r="AK54" s="145"/>
      <c r="AL54" s="145"/>
      <c r="AM54" s="145"/>
      <c r="AN54">
        <f>IF($AI54="","",IF(ISNUMBER(INDEX('Roadmap Calc (Don’t Touch)'!$BB$2:$BB$151,$AI54)),INDEX('Roadmap Calc (Don’t Touch)'!$BB$2:$BB$151,$AI54),""))</f>
      </c>
      <c r="AO54">
        <f>IF($AI54="","",IF(ISNUMBER(INDEX('Roadmap Calc (Don’t Touch)'!$BC$2:$BC$151,$AI54)),INDEX('Roadmap Calc (Don’t Touch)'!$BC$2:$BC$151,$AI54),""))</f>
      </c>
    </row>
    <row r="55" spans="1:41" ht="20" customHeight="1" x14ac:dyDescent="0.25">
      <c r="A55" s="198" t="str">
        <f>IF($AI55="","",IF($AH55=$AH54,"",IF(INDEX('Roadmap Calc (Don’t Touch)'!$U$2:$U$151,$AI55)=0,$AH55,HYPERLINK("#'Control (Don’t Touch)'!E"&amp;INDEX('Roadmap Calc (Don’t Touch)'!$U$2:$U$151,$AI55),$AH55))))</f>
        <v/>
      </c>
      <c r="B55" s="159" t="str">
        <f>IF($AI55="","",IF(INDEX('Roadmap Calc (Don’t Touch)'!$K$2:$K$151,$AI55)="",INDEX('Roadmap Calc (Don’t Touch)'!$B$2:$B$151,$AI55),HYPERLINK("https://jira.bnh.com/browse/"&amp;INDEX('Roadmap Calc (Don’t Touch)'!$K$2:$K$151,$AI55),INDEX('Roadmap Calc (Don’t Touch)'!$B$2:$B$151,$AI55))))</f>
        <v/>
      </c>
      <c r="C55" s="159" t="str">
        <f>IF($AI55="","",IF(INDEX('Roadmap Calc (Don’t Touch)'!$E$2:$E$151,$AI55)="","",HYPERLINK("https://jira.bnh.com/browse/"&amp;INDEX('Roadmap Calc (Don’t Touch)'!$E$2:$E$151,$AI55),INDEX('Roadmap Calc (Don’t Touch)'!$E$2:$E$151,$AI55))))</f>
        <v/>
      </c>
      <c r="D55" s="161" t="str">
        <f>IF($AI55="","",INDEX('Roadmap Calc (Don’t Touch)'!$F$2:$F$151,$AI55))</f>
        <v/>
      </c>
      <c r="E55" s="155" t="str">
        <f>IF($AI55="","",IF(ISNUMBER(INDEX('Roadmap Calc (Don’t Touch)'!$G$2:$G$151,$AI55)),INDEX('Roadmap Calc (Don’t Touch)'!$G$2:$G$151,$AI55),""))</f>
        <v/>
      </c>
      <c r="F55" s="155" t="str">
        <f>IF($AI55="","",IF(ISNUMBER(INDEX('Roadmap Calc (Don’t Touch)'!$H$2:$H$151,$AI55)),INDEX('Roadmap Calc (Don’t Touch)'!$H$2:$H$151,$AI55),""))</f>
        <v/>
      </c>
      <c r="G55" s="156" t="str">
        <f>IF($AI55="","",INDEX('Roadmap Calc (Don’t Touch)'!$T$2:$T$151,$AI55))</f>
        <v/>
      </c>
      <c r="H55" s="157" t="str">
        <f>IF($AI55="","",IF(ISNUMBER(INDEX('Roadmap Calc (Don’t Touch)'!$I$2:$I$151,$AI55)),INDEX('Roadmap Calc (Don’t Touch)'!$I$2:$I$151,$AI55),""))</f>
        <v/>
      </c>
      <c r="I55" s="157" t="str">
        <f>IF($AI55="","",IF(ISNUMBER(INDEX('Roadmap Calc (Don’t Touch)'!$J$2:$J$151,$AI55)),INDEX('Roadmap Calc (Don’t Touch)'!$J$2:$J$151,$AI55),""))</f>
        <v/>
      </c>
      <c r="J55" s="158" t="str">
        <f>IF($AI55="","",IF(AND($AN55&lt;&gt;"",$AN55&lt;=EOMONTH(J$12,0),$AO55&gt;=J$12),IF(AND(INDEX('Roadmap Calc (Don’t Touch)'!$AA$2:$AX$151,$AI55,COLUMN()-COLUMN($J$16)+1)&gt;0,OR($D55="03. UX Discovery",$D55="04. UX Design")),IF(AND($H55&lt;&gt;"",$H55&lt;=EOMONTH(J$12,0),$I55&gt;=J$12),"ALL","PD+UX"),IF(AND($H55&lt;&gt;"",$H55&lt;=EOMONTH(J$12,0),$I55&gt;=J$12),"PD+DEV","PD")),IF(AND(INDEX('Roadmap Calc (Don’t Touch)'!$AA$2:$AX$151,$AI55,COLUMN()-COLUMN($J$16)+1)&gt;0,OR($D55="03. UX Discovery",$D55="04. UX Design")),IF(AND($H55&lt;&gt;"",$H55&lt;=EOMONTH(J$12,0),$I55&gt;=J$12),"UX+DEV","UX"),IF(AND($H55&lt;&gt;"",$H55&lt;=EOMONTH(J$12,0),$I55&gt;=J$12),"DEV",""))))</f>
      </c>
      <c r="K55" s="158" t="str">
        <f>IF($AI55="","",IF(AND($AN55&lt;&gt;"",$AN55&lt;=EOMONTH(K$12,0),$AO55&gt;=K$12),IF(AND(INDEX('Roadmap Calc (Don’t Touch)'!$AA$2:$AX$151,$AI55,COLUMN()-COLUMN($J$16)+1)&gt;0,OR($D55="03. UX Discovery",$D55="04. UX Design")),IF(AND($H55&lt;&gt;"",$H55&lt;=EOMONTH(K$12,0),$I55&gt;=K$12),"ALL","PD+UX"),IF(AND($H55&lt;&gt;"",$H55&lt;=EOMONTH(K$12,0),$I55&gt;=K$12),"PD+DEV","PD")),IF(AND(INDEX('Roadmap Calc (Don’t Touch)'!$AA$2:$AX$151,$AI55,COLUMN()-COLUMN($J$16)+1)&gt;0,OR($D55="03. UX Discovery",$D55="04. UX Design")),IF(AND($H55&lt;&gt;"",$H55&lt;=EOMONTH(K$12,0),$I55&gt;=K$12),"UX+DEV","UX"),IF(AND($H55&lt;&gt;"",$H55&lt;=EOMONTH(K$12,0),$I55&gt;=K$12),"DEV",""))))</f>
      </c>
      <c r="L55" s="158" t="str">
        <f>IF($AI55="","",IF(AND($AN55&lt;&gt;"",$AN55&lt;=EOMONTH(L$12,0),$AO55&gt;=L$12),IF(AND(INDEX('Roadmap Calc (Don’t Touch)'!$AA$2:$AX$151,$AI55,COLUMN()-COLUMN($J$16)+1)&gt;0,OR($D55="03. UX Discovery",$D55="04. UX Design")),IF(AND($H55&lt;&gt;"",$H55&lt;=EOMONTH(L$12,0),$I55&gt;=L$12),"ALL","PD+UX"),IF(AND($H55&lt;&gt;"",$H55&lt;=EOMONTH(L$12,0),$I55&gt;=L$12),"PD+DEV","PD")),IF(AND(INDEX('Roadmap Calc (Don’t Touch)'!$AA$2:$AX$151,$AI55,COLUMN()-COLUMN($J$16)+1)&gt;0,OR($D55="03. UX Discovery",$D55="04. UX Design")),IF(AND($H55&lt;&gt;"",$H55&lt;=EOMONTH(L$12,0),$I55&gt;=L$12),"UX+DEV","UX"),IF(AND($H55&lt;&gt;"",$H55&lt;=EOMONTH(L$12,0),$I55&gt;=L$12),"DEV",""))))</f>
      </c>
      <c r="M55" s="158" t="str">
        <f>IF($AI55="","",IF(AND($AN55&lt;&gt;"",$AN55&lt;=EOMONTH(M$12,0),$AO55&gt;=M$12),IF(AND(INDEX('Roadmap Calc (Don’t Touch)'!$AA$2:$AX$151,$AI55,COLUMN()-COLUMN($J$16)+1)&gt;0,OR($D55="03. UX Discovery",$D55="04. UX Design")),IF(AND($H55&lt;&gt;"",$H55&lt;=EOMONTH(M$12,0),$I55&gt;=M$12),"ALL","PD+UX"),IF(AND($H55&lt;&gt;"",$H55&lt;=EOMONTH(M$12,0),$I55&gt;=M$12),"PD+DEV","PD")),IF(AND(INDEX('Roadmap Calc (Don’t Touch)'!$AA$2:$AX$151,$AI55,COLUMN()-COLUMN($J$16)+1)&gt;0,OR($D55="03. UX Discovery",$D55="04. UX Design")),IF(AND($H55&lt;&gt;"",$H55&lt;=EOMONTH(M$12,0),$I55&gt;=M$12),"UX+DEV","UX"),IF(AND($H55&lt;&gt;"",$H55&lt;=EOMONTH(M$12,0),$I55&gt;=M$12),"DEV",""))))</f>
      </c>
      <c r="N55" s="158" t="str">
        <f>IF($AI55="","",IF(AND($AN55&lt;&gt;"",$AN55&lt;=EOMONTH(N$12,0),$AO55&gt;=N$12),IF(AND(INDEX('Roadmap Calc (Don’t Touch)'!$AA$2:$AX$151,$AI55,COLUMN()-COLUMN($J$16)+1)&gt;0,OR($D55="03. UX Discovery",$D55="04. UX Design")),IF(AND($H55&lt;&gt;"",$H55&lt;=EOMONTH(N$12,0),$I55&gt;=N$12),"ALL","PD+UX"),IF(AND($H55&lt;&gt;"",$H55&lt;=EOMONTH(N$12,0),$I55&gt;=N$12),"PD+DEV","PD")),IF(AND(INDEX('Roadmap Calc (Don’t Touch)'!$AA$2:$AX$151,$AI55,COLUMN()-COLUMN($J$16)+1)&gt;0,OR($D55="03. UX Discovery",$D55="04. UX Design")),IF(AND($H55&lt;&gt;"",$H55&lt;=EOMONTH(N$12,0),$I55&gt;=N$12),"UX+DEV","UX"),IF(AND($H55&lt;&gt;"",$H55&lt;=EOMONTH(N$12,0),$I55&gt;=N$12),"DEV",""))))</f>
      </c>
      <c r="O55" s="158" t="str">
        <f>IF($AI55="","",IF(AND($AN55&lt;&gt;"",$AN55&lt;=EOMONTH(O$12,0),$AO55&gt;=O$12),IF(AND(INDEX('Roadmap Calc (Don’t Touch)'!$AA$2:$AX$151,$AI55,COLUMN()-COLUMN($J$16)+1)&gt;0,OR($D55="03. UX Discovery",$D55="04. UX Design")),IF(AND($H55&lt;&gt;"",$H55&lt;=EOMONTH(O$12,0),$I55&gt;=O$12),"ALL","PD+UX"),IF(AND($H55&lt;&gt;"",$H55&lt;=EOMONTH(O$12,0),$I55&gt;=O$12),"PD+DEV","PD")),IF(AND(INDEX('Roadmap Calc (Don’t Touch)'!$AA$2:$AX$151,$AI55,COLUMN()-COLUMN($J$16)+1)&gt;0,OR($D55="03. UX Discovery",$D55="04. UX Design")),IF(AND($H55&lt;&gt;"",$H55&lt;=EOMONTH(O$12,0),$I55&gt;=O$12),"UX+DEV","UX"),IF(AND($H55&lt;&gt;"",$H55&lt;=EOMONTH(O$12,0),$I55&gt;=O$12),"DEV",""))))</f>
      </c>
      <c r="P55" s="158" t="str">
        <f>IF($AI55="","",IF(AND($AN55&lt;&gt;"",$AN55&lt;=EOMONTH(P$12,0),$AO55&gt;=P$12),IF(AND(INDEX('Roadmap Calc (Don’t Touch)'!$AA$2:$AX$151,$AI55,COLUMN()-COLUMN($J$16)+1)&gt;0,OR($D55="03. UX Discovery",$D55="04. UX Design")),IF(AND($H55&lt;&gt;"",$H55&lt;=EOMONTH(P$12,0),$I55&gt;=P$12),"ALL","PD+UX"),IF(AND($H55&lt;&gt;"",$H55&lt;=EOMONTH(P$12,0),$I55&gt;=P$12),"PD+DEV","PD")),IF(AND(INDEX('Roadmap Calc (Don’t Touch)'!$AA$2:$AX$151,$AI55,COLUMN()-COLUMN($J$16)+1)&gt;0,OR($D55="03. UX Discovery",$D55="04. UX Design")),IF(AND($H55&lt;&gt;"",$H55&lt;=EOMONTH(P$12,0),$I55&gt;=P$12),"UX+DEV","UX"),IF(AND($H55&lt;&gt;"",$H55&lt;=EOMONTH(P$12,0),$I55&gt;=P$12),"DEV",""))))</f>
      </c>
      <c r="Q55" s="158" t="str">
        <f>IF($AI55="","",IF(AND($AN55&lt;&gt;"",$AN55&lt;=EOMONTH(Q$12,0),$AO55&gt;=Q$12),IF(AND(INDEX('Roadmap Calc (Don’t Touch)'!$AA$2:$AX$151,$AI55,COLUMN()-COLUMN($J$16)+1)&gt;0,OR($D55="03. UX Discovery",$D55="04. UX Design")),IF(AND($H55&lt;&gt;"",$H55&lt;=EOMONTH(Q$12,0),$I55&gt;=Q$12),"ALL","PD+UX"),IF(AND($H55&lt;&gt;"",$H55&lt;=EOMONTH(Q$12,0),$I55&gt;=Q$12),"PD+DEV","PD")),IF(AND(INDEX('Roadmap Calc (Don’t Touch)'!$AA$2:$AX$151,$AI55,COLUMN()-COLUMN($J$16)+1)&gt;0,OR($D55="03. UX Discovery",$D55="04. UX Design")),IF(AND($H55&lt;&gt;"",$H55&lt;=EOMONTH(Q$12,0),$I55&gt;=Q$12),"UX+DEV","UX"),IF(AND($H55&lt;&gt;"",$H55&lt;=EOMONTH(Q$12,0),$I55&gt;=Q$12),"DEV",""))))</f>
      </c>
      <c r="R55" s="158" t="str">
        <f>IF($AI55="","",IF(AND($AN55&lt;&gt;"",$AN55&lt;=EOMONTH(R$12,0),$AO55&gt;=R$12),IF(AND(INDEX('Roadmap Calc (Don’t Touch)'!$AA$2:$AX$151,$AI55,COLUMN()-COLUMN($J$16)+1)&gt;0,OR($D55="03. UX Discovery",$D55="04. UX Design")),IF(AND($H55&lt;&gt;"",$H55&lt;=EOMONTH(R$12,0),$I55&gt;=R$12),"ALL","PD+UX"),IF(AND($H55&lt;&gt;"",$H55&lt;=EOMONTH(R$12,0),$I55&gt;=R$12),"PD+DEV","PD")),IF(AND(INDEX('Roadmap Calc (Don’t Touch)'!$AA$2:$AX$151,$AI55,COLUMN()-COLUMN($J$16)+1)&gt;0,OR($D55="03. UX Discovery",$D55="04. UX Design")),IF(AND($H55&lt;&gt;"",$H55&lt;=EOMONTH(R$12,0),$I55&gt;=R$12),"UX+DEV","UX"),IF(AND($H55&lt;&gt;"",$H55&lt;=EOMONTH(R$12,0),$I55&gt;=R$12),"DEV",""))))</f>
      </c>
      <c r="S55" s="158" t="str">
        <f>IF($AI55="","",IF(AND($AN55&lt;&gt;"",$AN55&lt;=EOMONTH(S$12,0),$AO55&gt;=S$12),IF(AND(INDEX('Roadmap Calc (Don’t Touch)'!$AA$2:$AX$151,$AI55,COLUMN()-COLUMN($J$16)+1)&gt;0,OR($D55="03. UX Discovery",$D55="04. UX Design")),IF(AND($H55&lt;&gt;"",$H55&lt;=EOMONTH(S$12,0),$I55&gt;=S$12),"ALL","PD+UX"),IF(AND($H55&lt;&gt;"",$H55&lt;=EOMONTH(S$12,0),$I55&gt;=S$12),"PD+DEV","PD")),IF(AND(INDEX('Roadmap Calc (Don’t Touch)'!$AA$2:$AX$151,$AI55,COLUMN()-COLUMN($J$16)+1)&gt;0,OR($D55="03. UX Discovery",$D55="04. UX Design")),IF(AND($H55&lt;&gt;"",$H55&lt;=EOMONTH(S$12,0),$I55&gt;=S$12),"UX+DEV","UX"),IF(AND($H55&lt;&gt;"",$H55&lt;=EOMONTH(S$12,0),$I55&gt;=S$12),"DEV",""))))</f>
      </c>
      <c r="T55" s="158" t="str">
        <f>IF($AI55="","",IF(AND($AN55&lt;&gt;"",$AN55&lt;=EOMONTH(T$12,0),$AO55&gt;=T$12),IF(AND(INDEX('Roadmap Calc (Don’t Touch)'!$AA$2:$AX$151,$AI55,COLUMN()-COLUMN($J$16)+1)&gt;0,OR($D55="03. UX Discovery",$D55="04. UX Design")),IF(AND($H55&lt;&gt;"",$H55&lt;=EOMONTH(T$12,0),$I55&gt;=T$12),"ALL","PD+UX"),IF(AND($H55&lt;&gt;"",$H55&lt;=EOMONTH(T$12,0),$I55&gt;=T$12),"PD+DEV","PD")),IF(AND(INDEX('Roadmap Calc (Don’t Touch)'!$AA$2:$AX$151,$AI55,COLUMN()-COLUMN($J$16)+1)&gt;0,OR($D55="03. UX Discovery",$D55="04. UX Design")),IF(AND($H55&lt;&gt;"",$H55&lt;=EOMONTH(T$12,0),$I55&gt;=T$12),"UX+DEV","UX"),IF(AND($H55&lt;&gt;"",$H55&lt;=EOMONTH(T$12,0),$I55&gt;=T$12),"DEV",""))))</f>
      </c>
      <c r="U55" s="158" t="str">
        <f>IF($AI55="","",IF(AND($AN55&lt;&gt;"",$AN55&lt;=EOMONTH(U$12,0),$AO55&gt;=U$12),IF(AND(INDEX('Roadmap Calc (Don’t Touch)'!$AA$2:$AX$151,$AI55,COLUMN()-COLUMN($J$16)+1)&gt;0,OR($D55="03. UX Discovery",$D55="04. UX Design")),IF(AND($H55&lt;&gt;"",$H55&lt;=EOMONTH(U$12,0),$I55&gt;=U$12),"ALL","PD+UX"),IF(AND($H55&lt;&gt;"",$H55&lt;=EOMONTH(U$12,0),$I55&gt;=U$12),"PD+DEV","PD")),IF(AND(INDEX('Roadmap Calc (Don’t Touch)'!$AA$2:$AX$151,$AI55,COLUMN()-COLUMN($J$16)+1)&gt;0,OR($D55="03. UX Discovery",$D55="04. UX Design")),IF(AND($H55&lt;&gt;"",$H55&lt;=EOMONTH(U$12,0),$I55&gt;=U$12),"UX+DEV","UX"),IF(AND($H55&lt;&gt;"",$H55&lt;=EOMONTH(U$12,0),$I55&gt;=U$12),"DEV",""))))</f>
      </c>
      <c r="V55" s="158" t="str">
        <f>IF($AI55="","",IF(AND($AN55&lt;&gt;"",$AN55&lt;=EOMONTH(V$12,0),$AO55&gt;=V$12),IF(AND(INDEX('Roadmap Calc (Don’t Touch)'!$AA$2:$AX$151,$AI55,COLUMN()-COLUMN($J$16)+1)&gt;0,OR($D55="03. UX Discovery",$D55="04. UX Design")),IF(AND($H55&lt;&gt;"",$H55&lt;=EOMONTH(V$12,0),$I55&gt;=V$12),"ALL","PD+UX"),IF(AND($H55&lt;&gt;"",$H55&lt;=EOMONTH(V$12,0),$I55&gt;=V$12),"PD+DEV","PD")),IF(AND(INDEX('Roadmap Calc (Don’t Touch)'!$AA$2:$AX$151,$AI55,COLUMN()-COLUMN($J$16)+1)&gt;0,OR($D55="03. UX Discovery",$D55="04. UX Design")),IF(AND($H55&lt;&gt;"",$H55&lt;=EOMONTH(V$12,0),$I55&gt;=V$12),"UX+DEV","UX"),IF(AND($H55&lt;&gt;"",$H55&lt;=EOMONTH(V$12,0),$I55&gt;=V$12),"DEV",""))))</f>
      </c>
      <c r="W55" s="158" t="str">
        <f>IF($AI55="","",IF(AND($AN55&lt;&gt;"",$AN55&lt;=EOMONTH(W$12,0),$AO55&gt;=W$12),IF(AND(INDEX('Roadmap Calc (Don’t Touch)'!$AA$2:$AX$151,$AI55,COLUMN()-COLUMN($J$16)+1)&gt;0,OR($D55="03. UX Discovery",$D55="04. UX Design")),IF(AND($H55&lt;&gt;"",$H55&lt;=EOMONTH(W$12,0),$I55&gt;=W$12),"ALL","PD+UX"),IF(AND($H55&lt;&gt;"",$H55&lt;=EOMONTH(W$12,0),$I55&gt;=W$12),"PD+DEV","PD")),IF(AND(INDEX('Roadmap Calc (Don’t Touch)'!$AA$2:$AX$151,$AI55,COLUMN()-COLUMN($J$16)+1)&gt;0,OR($D55="03. UX Discovery",$D55="04. UX Design")),IF(AND($H55&lt;&gt;"",$H55&lt;=EOMONTH(W$12,0),$I55&gt;=W$12),"UX+DEV","UX"),IF(AND($H55&lt;&gt;"",$H55&lt;=EOMONTH(W$12,0),$I55&gt;=W$12),"DEV",""))))</f>
      </c>
      <c r="X55" s="158" t="str">
        <f>IF($AI55="","",IF(AND($AN55&lt;&gt;"",$AN55&lt;=EOMONTH(X$12,0),$AO55&gt;=X$12),IF(AND(INDEX('Roadmap Calc (Don’t Touch)'!$AA$2:$AX$151,$AI55,COLUMN()-COLUMN($J$16)+1)&gt;0,OR($D55="03. UX Discovery",$D55="04. UX Design")),IF(AND($H55&lt;&gt;"",$H55&lt;=EOMONTH(X$12,0),$I55&gt;=X$12),"ALL","PD+UX"),IF(AND($H55&lt;&gt;"",$H55&lt;=EOMONTH(X$12,0),$I55&gt;=X$12),"PD+DEV","PD")),IF(AND(INDEX('Roadmap Calc (Don’t Touch)'!$AA$2:$AX$151,$AI55,COLUMN()-COLUMN($J$16)+1)&gt;0,OR($D55="03. UX Discovery",$D55="04. UX Design")),IF(AND($H55&lt;&gt;"",$H55&lt;=EOMONTH(X$12,0),$I55&gt;=X$12),"UX+DEV","UX"),IF(AND($H55&lt;&gt;"",$H55&lt;=EOMONTH(X$12,0),$I55&gt;=X$12),"DEV",""))))</f>
      </c>
      <c r="Y55" s="158" t="str">
        <f>IF($AI55="","",IF(AND($AN55&lt;&gt;"",$AN55&lt;=EOMONTH(Y$12,0),$AO55&gt;=Y$12),IF(AND(INDEX('Roadmap Calc (Don’t Touch)'!$AA$2:$AX$151,$AI55,COLUMN()-COLUMN($J$16)+1)&gt;0,OR($D55="03. UX Discovery",$D55="04. UX Design")),IF(AND($H55&lt;&gt;"",$H55&lt;=EOMONTH(Y$12,0),$I55&gt;=Y$12),"ALL","PD+UX"),IF(AND($H55&lt;&gt;"",$H55&lt;=EOMONTH(Y$12,0),$I55&gt;=Y$12),"PD+DEV","PD")),IF(AND(INDEX('Roadmap Calc (Don’t Touch)'!$AA$2:$AX$151,$AI55,COLUMN()-COLUMN($J$16)+1)&gt;0,OR($D55="03. UX Discovery",$D55="04. UX Design")),IF(AND($H55&lt;&gt;"",$H55&lt;=EOMONTH(Y$12,0),$I55&gt;=Y$12),"UX+DEV","UX"),IF(AND($H55&lt;&gt;"",$H55&lt;=EOMONTH(Y$12,0),$I55&gt;=Y$12),"DEV",""))))</f>
      </c>
      <c r="Z55" s="158" t="str">
        <f>IF($AI55="","",IF(AND($AN55&lt;&gt;"",$AN55&lt;=EOMONTH(Z$12,0),$AO55&gt;=Z$12),IF(AND(INDEX('Roadmap Calc (Don’t Touch)'!$AA$2:$AX$151,$AI55,COLUMN()-COLUMN($J$16)+1)&gt;0,OR($D55="03. UX Discovery",$D55="04. UX Design")),IF(AND($H55&lt;&gt;"",$H55&lt;=EOMONTH(Z$12,0),$I55&gt;=Z$12),"ALL","PD+UX"),IF(AND($H55&lt;&gt;"",$H55&lt;=EOMONTH(Z$12,0),$I55&gt;=Z$12),"PD+DEV","PD")),IF(AND(INDEX('Roadmap Calc (Don’t Touch)'!$AA$2:$AX$151,$AI55,COLUMN()-COLUMN($J$16)+1)&gt;0,OR($D55="03. UX Discovery",$D55="04. UX Design")),IF(AND($H55&lt;&gt;"",$H55&lt;=EOMONTH(Z$12,0),$I55&gt;=Z$12),"UX+DEV","UX"),IF(AND($H55&lt;&gt;"",$H55&lt;=EOMONTH(Z$12,0),$I55&gt;=Z$12),"DEV",""))))</f>
      </c>
      <c r="AA55" s="158" t="str">
        <f>IF($AI55="","",IF(AND($AN55&lt;&gt;"",$AN55&lt;=EOMONTH(AA$12,0),$AO55&gt;=AA$12),IF(AND(INDEX('Roadmap Calc (Don’t Touch)'!$AA$2:$AX$151,$AI55,COLUMN()-COLUMN($J$16)+1)&gt;0,OR($D55="03. UX Discovery",$D55="04. UX Design")),IF(AND($H55&lt;&gt;"",$H55&lt;=EOMONTH(AA$12,0),$I55&gt;=AA$12),"ALL","PD+UX"),IF(AND($H55&lt;&gt;"",$H55&lt;=EOMONTH(AA$12,0),$I55&gt;=AA$12),"PD+DEV","PD")),IF(AND(INDEX('Roadmap Calc (Don’t Touch)'!$AA$2:$AX$151,$AI55,COLUMN()-COLUMN($J$16)+1)&gt;0,OR($D55="03. UX Discovery",$D55="04. UX Design")),IF(AND($H55&lt;&gt;"",$H55&lt;=EOMONTH(AA$12,0),$I55&gt;=AA$12),"UX+DEV","UX"),IF(AND($H55&lt;&gt;"",$H55&lt;=EOMONTH(AA$12,0),$I55&gt;=AA$12),"DEV",""))))</f>
      </c>
      <c r="AB55" s="158" t="str">
        <f>IF($AI55="","",IF(AND($AN55&lt;&gt;"",$AN55&lt;=EOMONTH(AB$12,0),$AO55&gt;=AB$12),IF(AND(INDEX('Roadmap Calc (Don’t Touch)'!$AA$2:$AX$151,$AI55,COLUMN()-COLUMN($J$16)+1)&gt;0,OR($D55="03. UX Discovery",$D55="04. UX Design")),IF(AND($H55&lt;&gt;"",$H55&lt;=EOMONTH(AB$12,0),$I55&gt;=AB$12),"ALL","PD+UX"),IF(AND($H55&lt;&gt;"",$H55&lt;=EOMONTH(AB$12,0),$I55&gt;=AB$12),"PD+DEV","PD")),IF(AND(INDEX('Roadmap Calc (Don’t Touch)'!$AA$2:$AX$151,$AI55,COLUMN()-COLUMN($J$16)+1)&gt;0,OR($D55="03. UX Discovery",$D55="04. UX Design")),IF(AND($H55&lt;&gt;"",$H55&lt;=EOMONTH(AB$12,0),$I55&gt;=AB$12),"UX+DEV","UX"),IF(AND($H55&lt;&gt;"",$H55&lt;=EOMONTH(AB$12,0),$I55&gt;=AB$12),"DEV",""))))</f>
      </c>
      <c r="AC55" s="158" t="str">
        <f>IF($AI55="","",IF(AND($AN55&lt;&gt;"",$AN55&lt;=EOMONTH(AC$12,0),$AO55&gt;=AC$12),IF(AND(INDEX('Roadmap Calc (Don’t Touch)'!$AA$2:$AX$151,$AI55,COLUMN()-COLUMN($J$16)+1)&gt;0,OR($D55="03. UX Discovery",$D55="04. UX Design")),IF(AND($H55&lt;&gt;"",$H55&lt;=EOMONTH(AC$12,0),$I55&gt;=AC$12),"ALL","PD+UX"),IF(AND($H55&lt;&gt;"",$H55&lt;=EOMONTH(AC$12,0),$I55&gt;=AC$12),"PD+DEV","PD")),IF(AND(INDEX('Roadmap Calc (Don’t Touch)'!$AA$2:$AX$151,$AI55,COLUMN()-COLUMN($J$16)+1)&gt;0,OR($D55="03. UX Discovery",$D55="04. UX Design")),IF(AND($H55&lt;&gt;"",$H55&lt;=EOMONTH(AC$12,0),$I55&gt;=AC$12),"UX+DEV","UX"),IF(AND($H55&lt;&gt;"",$H55&lt;=EOMONTH(AC$12,0),$I55&gt;=AC$12),"DEV",""))))</f>
      </c>
      <c r="AD55" s="158" t="str">
        <f>IF($AI55="","",IF(AND($AN55&lt;&gt;"",$AN55&lt;=EOMONTH(AD$12,0),$AO55&gt;=AD$12),IF(AND(INDEX('Roadmap Calc (Don’t Touch)'!$AA$2:$AX$151,$AI55,COLUMN()-COLUMN($J$16)+1)&gt;0,OR($D55="03. UX Discovery",$D55="04. UX Design")),IF(AND($H55&lt;&gt;"",$H55&lt;=EOMONTH(AD$12,0),$I55&gt;=AD$12),"ALL","PD+UX"),IF(AND($H55&lt;&gt;"",$H55&lt;=EOMONTH(AD$12,0),$I55&gt;=AD$12),"PD+DEV","PD")),IF(AND(INDEX('Roadmap Calc (Don’t Touch)'!$AA$2:$AX$151,$AI55,COLUMN()-COLUMN($J$16)+1)&gt;0,OR($D55="03. UX Discovery",$D55="04. UX Design")),IF(AND($H55&lt;&gt;"",$H55&lt;=EOMONTH(AD$12,0),$I55&gt;=AD$12),"UX+DEV","UX"),IF(AND($H55&lt;&gt;"",$H55&lt;=EOMONTH(AD$12,0),$I55&gt;=AD$12),"DEV",""))))</f>
      </c>
      <c r="AE55" s="158" t="str">
        <f>IF($AI55="","",IF(AND($AN55&lt;&gt;"",$AN55&lt;=EOMONTH(AE$12,0),$AO55&gt;=AE$12),IF(AND(INDEX('Roadmap Calc (Don’t Touch)'!$AA$2:$AX$151,$AI55,COLUMN()-COLUMN($J$16)+1)&gt;0,OR($D55="03. UX Discovery",$D55="04. UX Design")),IF(AND($H55&lt;&gt;"",$H55&lt;=EOMONTH(AE$12,0),$I55&gt;=AE$12),"ALL","PD+UX"),IF(AND($H55&lt;&gt;"",$H55&lt;=EOMONTH(AE$12,0),$I55&gt;=AE$12),"PD+DEV","PD")),IF(AND(INDEX('Roadmap Calc (Don’t Touch)'!$AA$2:$AX$151,$AI55,COLUMN()-COLUMN($J$16)+1)&gt;0,OR($D55="03. UX Discovery",$D55="04. UX Design")),IF(AND($H55&lt;&gt;"",$H55&lt;=EOMONTH(AE$12,0),$I55&gt;=AE$12),"UX+DEV","UX"),IF(AND($H55&lt;&gt;"",$H55&lt;=EOMONTH(AE$12,0),$I55&gt;=AE$12),"DEV",""))))</f>
      </c>
      <c r="AF55" s="158" t="str">
        <f>IF($AI55="","",IF(AND($AN55&lt;&gt;"",$AN55&lt;=EOMONTH(AF$12,0),$AO55&gt;=AF$12),IF(AND(INDEX('Roadmap Calc (Don’t Touch)'!$AA$2:$AX$151,$AI55,COLUMN()-COLUMN($J$16)+1)&gt;0,OR($D55="03. UX Discovery",$D55="04. UX Design")),IF(AND($H55&lt;&gt;"",$H55&lt;=EOMONTH(AF$12,0),$I55&gt;=AF$12),"ALL","PD+UX"),IF(AND($H55&lt;&gt;"",$H55&lt;=EOMONTH(AF$12,0),$I55&gt;=AF$12),"PD+DEV","PD")),IF(AND(INDEX('Roadmap Calc (Don’t Touch)'!$AA$2:$AX$151,$AI55,COLUMN()-COLUMN($J$16)+1)&gt;0,OR($D55="03. UX Discovery",$D55="04. UX Design")),IF(AND($H55&lt;&gt;"",$H55&lt;=EOMONTH(AF$12,0),$I55&gt;=AF$12),"UX+DEV","UX"),IF(AND($H55&lt;&gt;"",$H55&lt;=EOMONTH(AF$12,0),$I55&gt;=AF$12),"DEV",""))))</f>
      </c>
      <c r="AG55" s="158" t="str">
        <f>IF($AI55="","",IF(AND($AN55&lt;&gt;"",$AN55&lt;=EOMONTH(AG$12,0),$AO55&gt;=AG$12),IF(AND(INDEX('Roadmap Calc (Don’t Touch)'!$AA$2:$AX$151,$AI55,COLUMN()-COLUMN($J$16)+1)&gt;0,OR($D55="03. UX Discovery",$D55="04. UX Design")),IF(AND($H55&lt;&gt;"",$H55&lt;=EOMONTH(AG$12,0),$I55&gt;=AG$12),"ALL","PD+UX"),IF(AND($H55&lt;&gt;"",$H55&lt;=EOMONTH(AG$12,0),$I55&gt;=AG$12),"PD+DEV","PD")),IF(AND(INDEX('Roadmap Calc (Don’t Touch)'!$AA$2:$AX$151,$AI55,COLUMN()-COLUMN($J$16)+1)&gt;0,OR($D55="03. UX Discovery",$D55="04. UX Design")),IF(AND($H55&lt;&gt;"",$H55&lt;=EOMONTH(AG$12,0),$I55&gt;=AG$12),"UX+DEV","UX"),IF(AND($H55&lt;&gt;"",$H55&lt;=EOMONTH(AG$12,0),$I55&gt;=AG$12),"DEV",""))))</f>
      </c>
      <c r="AH55" s="145" t="str">
        <f>IF($AI55="","",INDEX('Roadmap Calc (Don’t Touch)'!$D$2:$D$151,$AI55))</f>
        <v/>
      </c>
      <c r="AI55" s="145" t="str">
        <f>IFERROR(MATCH(40,'Roadmap Calc (Don’t Touch)'!$O$2:$O$151,0),"")</f>
        <v/>
      </c>
      <c r="AJ55" s="145"/>
      <c r="AK55" s="145"/>
      <c r="AL55" s="145"/>
      <c r="AM55" s="145"/>
      <c r="AN55">
        <f>IF($AI55="","",IF(ISNUMBER(INDEX('Roadmap Calc (Don’t Touch)'!$BB$2:$BB$151,$AI55)),INDEX('Roadmap Calc (Don’t Touch)'!$BB$2:$BB$151,$AI55),""))</f>
      </c>
      <c r="AO55">
        <f>IF($AI55="","",IF(ISNUMBER(INDEX('Roadmap Calc (Don’t Touch)'!$BC$2:$BC$151,$AI55)),INDEX('Roadmap Calc (Don’t Touch)'!$BC$2:$BC$151,$AI55),""))</f>
      </c>
    </row>
    <row r="56" spans="1:41" ht="20" customHeight="1" x14ac:dyDescent="0.25">
      <c r="A56" s="198" t="str">
        <f>IF($AI56="","",IF($AH56=$AH55,"",IF(INDEX('Roadmap Calc (Don’t Touch)'!$U$2:$U$151,$AI56)=0,$AH56,HYPERLINK("#'Control (Don’t Touch)'!E"&amp;INDEX('Roadmap Calc (Don’t Touch)'!$U$2:$U$151,$AI56),$AH56))))</f>
        <v/>
      </c>
      <c r="B56" s="159" t="str">
        <f>IF($AI56="","",IF(INDEX('Roadmap Calc (Don’t Touch)'!$K$2:$K$151,$AI56)="",INDEX('Roadmap Calc (Don’t Touch)'!$B$2:$B$151,$AI56),HYPERLINK("https://jira.bnh.com/browse/"&amp;INDEX('Roadmap Calc (Don’t Touch)'!$K$2:$K$151,$AI56),INDEX('Roadmap Calc (Don’t Touch)'!$B$2:$B$151,$AI56))))</f>
        <v/>
      </c>
      <c r="C56" s="159" t="str">
        <f>IF($AI56="","",IF(INDEX('Roadmap Calc (Don’t Touch)'!$E$2:$E$151,$AI56)="","",HYPERLINK("https://jira.bnh.com/browse/"&amp;INDEX('Roadmap Calc (Don’t Touch)'!$E$2:$E$151,$AI56),INDEX('Roadmap Calc (Don’t Touch)'!$E$2:$E$151,$AI56))))</f>
        <v/>
      </c>
      <c r="D56" s="161" t="str">
        <f>IF($AI56="","",INDEX('Roadmap Calc (Don’t Touch)'!$F$2:$F$151,$AI56))</f>
        <v/>
      </c>
      <c r="E56" s="155" t="str">
        <f>IF($AI56="","",IF(ISNUMBER(INDEX('Roadmap Calc (Don’t Touch)'!$G$2:$G$151,$AI56)),INDEX('Roadmap Calc (Don’t Touch)'!$G$2:$G$151,$AI56),""))</f>
        <v/>
      </c>
      <c r="F56" s="155" t="str">
        <f>IF($AI56="","",IF(ISNUMBER(INDEX('Roadmap Calc (Don’t Touch)'!$H$2:$H$151,$AI56)),INDEX('Roadmap Calc (Don’t Touch)'!$H$2:$H$151,$AI56),""))</f>
        <v/>
      </c>
      <c r="G56" s="156" t="str">
        <f>IF($AI56="","",INDEX('Roadmap Calc (Don’t Touch)'!$T$2:$T$151,$AI56))</f>
        <v/>
      </c>
      <c r="H56" s="157" t="str">
        <f>IF($AI56="","",IF(ISNUMBER(INDEX('Roadmap Calc (Don’t Touch)'!$I$2:$I$151,$AI56)),INDEX('Roadmap Calc (Don’t Touch)'!$I$2:$I$151,$AI56),""))</f>
        <v/>
      </c>
      <c r="I56" s="157" t="str">
        <f>IF($AI56="","",IF(ISNUMBER(INDEX('Roadmap Calc (Don’t Touch)'!$J$2:$J$151,$AI56)),INDEX('Roadmap Calc (Don’t Touch)'!$J$2:$J$151,$AI56),""))</f>
        <v/>
      </c>
      <c r="J56" s="158" t="str">
        <f>IF($AI56="","",IF(AND($AN56&lt;&gt;"",$AN56&lt;=EOMONTH(J$12,0),$AO56&gt;=J$12),IF(AND(INDEX('Roadmap Calc (Don’t Touch)'!$AA$2:$AX$151,$AI56,COLUMN()-COLUMN($J$16)+1)&gt;0,OR($D56="03. UX Discovery",$D56="04. UX Design")),IF(AND($H56&lt;&gt;"",$H56&lt;=EOMONTH(J$12,0),$I56&gt;=J$12),"ALL","PD+UX"),IF(AND($H56&lt;&gt;"",$H56&lt;=EOMONTH(J$12,0),$I56&gt;=J$12),"PD+DEV","PD")),IF(AND(INDEX('Roadmap Calc (Don’t Touch)'!$AA$2:$AX$151,$AI56,COLUMN()-COLUMN($J$16)+1)&gt;0,OR($D56="03. UX Discovery",$D56="04. UX Design")),IF(AND($H56&lt;&gt;"",$H56&lt;=EOMONTH(J$12,0),$I56&gt;=J$12),"UX+DEV","UX"),IF(AND($H56&lt;&gt;"",$H56&lt;=EOMONTH(J$12,0),$I56&gt;=J$12),"DEV",""))))</f>
      </c>
      <c r="K56" s="158" t="str">
        <f>IF($AI56="","",IF(AND($AN56&lt;&gt;"",$AN56&lt;=EOMONTH(K$12,0),$AO56&gt;=K$12),IF(AND(INDEX('Roadmap Calc (Don’t Touch)'!$AA$2:$AX$151,$AI56,COLUMN()-COLUMN($J$16)+1)&gt;0,OR($D56="03. UX Discovery",$D56="04. UX Design")),IF(AND($H56&lt;&gt;"",$H56&lt;=EOMONTH(K$12,0),$I56&gt;=K$12),"ALL","PD+UX"),IF(AND($H56&lt;&gt;"",$H56&lt;=EOMONTH(K$12,0),$I56&gt;=K$12),"PD+DEV","PD")),IF(AND(INDEX('Roadmap Calc (Don’t Touch)'!$AA$2:$AX$151,$AI56,COLUMN()-COLUMN($J$16)+1)&gt;0,OR($D56="03. UX Discovery",$D56="04. UX Design")),IF(AND($H56&lt;&gt;"",$H56&lt;=EOMONTH(K$12,0),$I56&gt;=K$12),"UX+DEV","UX"),IF(AND($H56&lt;&gt;"",$H56&lt;=EOMONTH(K$12,0),$I56&gt;=K$12),"DEV",""))))</f>
      </c>
      <c r="L56" s="158" t="str">
        <f>IF($AI56="","",IF(AND($AN56&lt;&gt;"",$AN56&lt;=EOMONTH(L$12,0),$AO56&gt;=L$12),IF(AND(INDEX('Roadmap Calc (Don’t Touch)'!$AA$2:$AX$151,$AI56,COLUMN()-COLUMN($J$16)+1)&gt;0,OR($D56="03. UX Discovery",$D56="04. UX Design")),IF(AND($H56&lt;&gt;"",$H56&lt;=EOMONTH(L$12,0),$I56&gt;=L$12),"ALL","PD+UX"),IF(AND($H56&lt;&gt;"",$H56&lt;=EOMONTH(L$12,0),$I56&gt;=L$12),"PD+DEV","PD")),IF(AND(INDEX('Roadmap Calc (Don’t Touch)'!$AA$2:$AX$151,$AI56,COLUMN()-COLUMN($J$16)+1)&gt;0,OR($D56="03. UX Discovery",$D56="04. UX Design")),IF(AND($H56&lt;&gt;"",$H56&lt;=EOMONTH(L$12,0),$I56&gt;=L$12),"UX+DEV","UX"),IF(AND($H56&lt;&gt;"",$H56&lt;=EOMONTH(L$12,0),$I56&gt;=L$12),"DEV",""))))</f>
      </c>
      <c r="M56" s="158" t="str">
        <f>IF($AI56="","",IF(AND($AN56&lt;&gt;"",$AN56&lt;=EOMONTH(M$12,0),$AO56&gt;=M$12),IF(AND(INDEX('Roadmap Calc (Don’t Touch)'!$AA$2:$AX$151,$AI56,COLUMN()-COLUMN($J$16)+1)&gt;0,OR($D56="03. UX Discovery",$D56="04. UX Design")),IF(AND($H56&lt;&gt;"",$H56&lt;=EOMONTH(M$12,0),$I56&gt;=M$12),"ALL","PD+UX"),IF(AND($H56&lt;&gt;"",$H56&lt;=EOMONTH(M$12,0),$I56&gt;=M$12),"PD+DEV","PD")),IF(AND(INDEX('Roadmap Calc (Don’t Touch)'!$AA$2:$AX$151,$AI56,COLUMN()-COLUMN($J$16)+1)&gt;0,OR($D56="03. UX Discovery",$D56="04. UX Design")),IF(AND($H56&lt;&gt;"",$H56&lt;=EOMONTH(M$12,0),$I56&gt;=M$12),"UX+DEV","UX"),IF(AND($H56&lt;&gt;"",$H56&lt;=EOMONTH(M$12,0),$I56&gt;=M$12),"DEV",""))))</f>
      </c>
      <c r="N56" s="158" t="str">
        <f>IF($AI56="","",IF(AND($AN56&lt;&gt;"",$AN56&lt;=EOMONTH(N$12,0),$AO56&gt;=N$12),IF(AND(INDEX('Roadmap Calc (Don’t Touch)'!$AA$2:$AX$151,$AI56,COLUMN()-COLUMN($J$16)+1)&gt;0,OR($D56="03. UX Discovery",$D56="04. UX Design")),IF(AND($H56&lt;&gt;"",$H56&lt;=EOMONTH(N$12,0),$I56&gt;=N$12),"ALL","PD+UX"),IF(AND($H56&lt;&gt;"",$H56&lt;=EOMONTH(N$12,0),$I56&gt;=N$12),"PD+DEV","PD")),IF(AND(INDEX('Roadmap Calc (Don’t Touch)'!$AA$2:$AX$151,$AI56,COLUMN()-COLUMN($J$16)+1)&gt;0,OR($D56="03. UX Discovery",$D56="04. UX Design")),IF(AND($H56&lt;&gt;"",$H56&lt;=EOMONTH(N$12,0),$I56&gt;=N$12),"UX+DEV","UX"),IF(AND($H56&lt;&gt;"",$H56&lt;=EOMONTH(N$12,0),$I56&gt;=N$12),"DEV",""))))</f>
      </c>
      <c r="O56" s="158" t="str">
        <f>IF($AI56="","",IF(AND($AN56&lt;&gt;"",$AN56&lt;=EOMONTH(O$12,0),$AO56&gt;=O$12),IF(AND(INDEX('Roadmap Calc (Don’t Touch)'!$AA$2:$AX$151,$AI56,COLUMN()-COLUMN($J$16)+1)&gt;0,OR($D56="03. UX Discovery",$D56="04. UX Design")),IF(AND($H56&lt;&gt;"",$H56&lt;=EOMONTH(O$12,0),$I56&gt;=O$12),"ALL","PD+UX"),IF(AND($H56&lt;&gt;"",$H56&lt;=EOMONTH(O$12,0),$I56&gt;=O$12),"PD+DEV","PD")),IF(AND(INDEX('Roadmap Calc (Don’t Touch)'!$AA$2:$AX$151,$AI56,COLUMN()-COLUMN($J$16)+1)&gt;0,OR($D56="03. UX Discovery",$D56="04. UX Design")),IF(AND($H56&lt;&gt;"",$H56&lt;=EOMONTH(O$12,0),$I56&gt;=O$12),"UX+DEV","UX"),IF(AND($H56&lt;&gt;"",$H56&lt;=EOMONTH(O$12,0),$I56&gt;=O$12),"DEV",""))))</f>
      </c>
      <c r="P56" s="158" t="str">
        <f>IF($AI56="","",IF(AND($AN56&lt;&gt;"",$AN56&lt;=EOMONTH(P$12,0),$AO56&gt;=P$12),IF(AND(INDEX('Roadmap Calc (Don’t Touch)'!$AA$2:$AX$151,$AI56,COLUMN()-COLUMN($J$16)+1)&gt;0,OR($D56="03. UX Discovery",$D56="04. UX Design")),IF(AND($H56&lt;&gt;"",$H56&lt;=EOMONTH(P$12,0),$I56&gt;=P$12),"ALL","PD+UX"),IF(AND($H56&lt;&gt;"",$H56&lt;=EOMONTH(P$12,0),$I56&gt;=P$12),"PD+DEV","PD")),IF(AND(INDEX('Roadmap Calc (Don’t Touch)'!$AA$2:$AX$151,$AI56,COLUMN()-COLUMN($J$16)+1)&gt;0,OR($D56="03. UX Discovery",$D56="04. UX Design")),IF(AND($H56&lt;&gt;"",$H56&lt;=EOMONTH(P$12,0),$I56&gt;=P$12),"UX+DEV","UX"),IF(AND($H56&lt;&gt;"",$H56&lt;=EOMONTH(P$12,0),$I56&gt;=P$12),"DEV",""))))</f>
      </c>
      <c r="Q56" s="158" t="str">
        <f>IF($AI56="","",IF(AND($AN56&lt;&gt;"",$AN56&lt;=EOMONTH(Q$12,0),$AO56&gt;=Q$12),IF(AND(INDEX('Roadmap Calc (Don’t Touch)'!$AA$2:$AX$151,$AI56,COLUMN()-COLUMN($J$16)+1)&gt;0,OR($D56="03. UX Discovery",$D56="04. UX Design")),IF(AND($H56&lt;&gt;"",$H56&lt;=EOMONTH(Q$12,0),$I56&gt;=Q$12),"ALL","PD+UX"),IF(AND($H56&lt;&gt;"",$H56&lt;=EOMONTH(Q$12,0),$I56&gt;=Q$12),"PD+DEV","PD")),IF(AND(INDEX('Roadmap Calc (Don’t Touch)'!$AA$2:$AX$151,$AI56,COLUMN()-COLUMN($J$16)+1)&gt;0,OR($D56="03. UX Discovery",$D56="04. UX Design")),IF(AND($H56&lt;&gt;"",$H56&lt;=EOMONTH(Q$12,0),$I56&gt;=Q$12),"UX+DEV","UX"),IF(AND($H56&lt;&gt;"",$H56&lt;=EOMONTH(Q$12,0),$I56&gt;=Q$12),"DEV",""))))</f>
      </c>
      <c r="R56" s="158" t="str">
        <f>IF($AI56="","",IF(AND($AN56&lt;&gt;"",$AN56&lt;=EOMONTH(R$12,0),$AO56&gt;=R$12),IF(AND(INDEX('Roadmap Calc (Don’t Touch)'!$AA$2:$AX$151,$AI56,COLUMN()-COLUMN($J$16)+1)&gt;0,OR($D56="03. UX Discovery",$D56="04. UX Design")),IF(AND($H56&lt;&gt;"",$H56&lt;=EOMONTH(R$12,0),$I56&gt;=R$12),"ALL","PD+UX"),IF(AND($H56&lt;&gt;"",$H56&lt;=EOMONTH(R$12,0),$I56&gt;=R$12),"PD+DEV","PD")),IF(AND(INDEX('Roadmap Calc (Don’t Touch)'!$AA$2:$AX$151,$AI56,COLUMN()-COLUMN($J$16)+1)&gt;0,OR($D56="03. UX Discovery",$D56="04. UX Design")),IF(AND($H56&lt;&gt;"",$H56&lt;=EOMONTH(R$12,0),$I56&gt;=R$12),"UX+DEV","UX"),IF(AND($H56&lt;&gt;"",$H56&lt;=EOMONTH(R$12,0),$I56&gt;=R$12),"DEV",""))))</f>
      </c>
      <c r="S56" s="158" t="str">
        <f>IF($AI56="","",IF(AND($AN56&lt;&gt;"",$AN56&lt;=EOMONTH(S$12,0),$AO56&gt;=S$12),IF(AND(INDEX('Roadmap Calc (Don’t Touch)'!$AA$2:$AX$151,$AI56,COLUMN()-COLUMN($J$16)+1)&gt;0,OR($D56="03. UX Discovery",$D56="04. UX Design")),IF(AND($H56&lt;&gt;"",$H56&lt;=EOMONTH(S$12,0),$I56&gt;=S$12),"ALL","PD+UX"),IF(AND($H56&lt;&gt;"",$H56&lt;=EOMONTH(S$12,0),$I56&gt;=S$12),"PD+DEV","PD")),IF(AND(INDEX('Roadmap Calc (Don’t Touch)'!$AA$2:$AX$151,$AI56,COLUMN()-COLUMN($J$16)+1)&gt;0,OR($D56="03. UX Discovery",$D56="04. UX Design")),IF(AND($H56&lt;&gt;"",$H56&lt;=EOMONTH(S$12,0),$I56&gt;=S$12),"UX+DEV","UX"),IF(AND($H56&lt;&gt;"",$H56&lt;=EOMONTH(S$12,0),$I56&gt;=S$12),"DEV",""))))</f>
      </c>
      <c r="T56" s="158" t="str">
        <f>IF($AI56="","",IF(AND($AN56&lt;&gt;"",$AN56&lt;=EOMONTH(T$12,0),$AO56&gt;=T$12),IF(AND(INDEX('Roadmap Calc (Don’t Touch)'!$AA$2:$AX$151,$AI56,COLUMN()-COLUMN($J$16)+1)&gt;0,OR($D56="03. UX Discovery",$D56="04. UX Design")),IF(AND($H56&lt;&gt;"",$H56&lt;=EOMONTH(T$12,0),$I56&gt;=T$12),"ALL","PD+UX"),IF(AND($H56&lt;&gt;"",$H56&lt;=EOMONTH(T$12,0),$I56&gt;=T$12),"PD+DEV","PD")),IF(AND(INDEX('Roadmap Calc (Don’t Touch)'!$AA$2:$AX$151,$AI56,COLUMN()-COLUMN($J$16)+1)&gt;0,OR($D56="03. UX Discovery",$D56="04. UX Design")),IF(AND($H56&lt;&gt;"",$H56&lt;=EOMONTH(T$12,0),$I56&gt;=T$12),"UX+DEV","UX"),IF(AND($H56&lt;&gt;"",$H56&lt;=EOMONTH(T$12,0),$I56&gt;=T$12),"DEV",""))))</f>
      </c>
      <c r="U56" s="158" t="str">
        <f>IF($AI56="","",IF(AND($AN56&lt;&gt;"",$AN56&lt;=EOMONTH(U$12,0),$AO56&gt;=U$12),IF(AND(INDEX('Roadmap Calc (Don’t Touch)'!$AA$2:$AX$151,$AI56,COLUMN()-COLUMN($J$16)+1)&gt;0,OR($D56="03. UX Discovery",$D56="04. UX Design")),IF(AND($H56&lt;&gt;"",$H56&lt;=EOMONTH(U$12,0),$I56&gt;=U$12),"ALL","PD+UX"),IF(AND($H56&lt;&gt;"",$H56&lt;=EOMONTH(U$12,0),$I56&gt;=U$12),"PD+DEV","PD")),IF(AND(INDEX('Roadmap Calc (Don’t Touch)'!$AA$2:$AX$151,$AI56,COLUMN()-COLUMN($J$16)+1)&gt;0,OR($D56="03. UX Discovery",$D56="04. UX Design")),IF(AND($H56&lt;&gt;"",$H56&lt;=EOMONTH(U$12,0),$I56&gt;=U$12),"UX+DEV","UX"),IF(AND($H56&lt;&gt;"",$H56&lt;=EOMONTH(U$12,0),$I56&gt;=U$12),"DEV",""))))</f>
      </c>
      <c r="V56" s="158" t="str">
        <f>IF($AI56="","",IF(AND($AN56&lt;&gt;"",$AN56&lt;=EOMONTH(V$12,0),$AO56&gt;=V$12),IF(AND(INDEX('Roadmap Calc (Don’t Touch)'!$AA$2:$AX$151,$AI56,COLUMN()-COLUMN($J$16)+1)&gt;0,OR($D56="03. UX Discovery",$D56="04. UX Design")),IF(AND($H56&lt;&gt;"",$H56&lt;=EOMONTH(V$12,0),$I56&gt;=V$12),"ALL","PD+UX"),IF(AND($H56&lt;&gt;"",$H56&lt;=EOMONTH(V$12,0),$I56&gt;=V$12),"PD+DEV","PD")),IF(AND(INDEX('Roadmap Calc (Don’t Touch)'!$AA$2:$AX$151,$AI56,COLUMN()-COLUMN($J$16)+1)&gt;0,OR($D56="03. UX Discovery",$D56="04. UX Design")),IF(AND($H56&lt;&gt;"",$H56&lt;=EOMONTH(V$12,0),$I56&gt;=V$12),"UX+DEV","UX"),IF(AND($H56&lt;&gt;"",$H56&lt;=EOMONTH(V$12,0),$I56&gt;=V$12),"DEV",""))))</f>
      </c>
      <c r="W56" s="158" t="str">
        <f>IF($AI56="","",IF(AND($AN56&lt;&gt;"",$AN56&lt;=EOMONTH(W$12,0),$AO56&gt;=W$12),IF(AND(INDEX('Roadmap Calc (Don’t Touch)'!$AA$2:$AX$151,$AI56,COLUMN()-COLUMN($J$16)+1)&gt;0,OR($D56="03. UX Discovery",$D56="04. UX Design")),IF(AND($H56&lt;&gt;"",$H56&lt;=EOMONTH(W$12,0),$I56&gt;=W$12),"ALL","PD+UX"),IF(AND($H56&lt;&gt;"",$H56&lt;=EOMONTH(W$12,0),$I56&gt;=W$12),"PD+DEV","PD")),IF(AND(INDEX('Roadmap Calc (Don’t Touch)'!$AA$2:$AX$151,$AI56,COLUMN()-COLUMN($J$16)+1)&gt;0,OR($D56="03. UX Discovery",$D56="04. UX Design")),IF(AND($H56&lt;&gt;"",$H56&lt;=EOMONTH(W$12,0),$I56&gt;=W$12),"UX+DEV","UX"),IF(AND($H56&lt;&gt;"",$H56&lt;=EOMONTH(W$12,0),$I56&gt;=W$12),"DEV",""))))</f>
      </c>
      <c r="X56" s="158" t="str">
        <f>IF($AI56="","",IF(AND($AN56&lt;&gt;"",$AN56&lt;=EOMONTH(X$12,0),$AO56&gt;=X$12),IF(AND(INDEX('Roadmap Calc (Don’t Touch)'!$AA$2:$AX$151,$AI56,COLUMN()-COLUMN($J$16)+1)&gt;0,OR($D56="03. UX Discovery",$D56="04. UX Design")),IF(AND($H56&lt;&gt;"",$H56&lt;=EOMONTH(X$12,0),$I56&gt;=X$12),"ALL","PD+UX"),IF(AND($H56&lt;&gt;"",$H56&lt;=EOMONTH(X$12,0),$I56&gt;=X$12),"PD+DEV","PD")),IF(AND(INDEX('Roadmap Calc (Don’t Touch)'!$AA$2:$AX$151,$AI56,COLUMN()-COLUMN($J$16)+1)&gt;0,OR($D56="03. UX Discovery",$D56="04. UX Design")),IF(AND($H56&lt;&gt;"",$H56&lt;=EOMONTH(X$12,0),$I56&gt;=X$12),"UX+DEV","UX"),IF(AND($H56&lt;&gt;"",$H56&lt;=EOMONTH(X$12,0),$I56&gt;=X$12),"DEV",""))))</f>
      </c>
      <c r="Y56" s="158" t="str">
        <f>IF($AI56="","",IF(AND($AN56&lt;&gt;"",$AN56&lt;=EOMONTH(Y$12,0),$AO56&gt;=Y$12),IF(AND(INDEX('Roadmap Calc (Don’t Touch)'!$AA$2:$AX$151,$AI56,COLUMN()-COLUMN($J$16)+1)&gt;0,OR($D56="03. UX Discovery",$D56="04. UX Design")),IF(AND($H56&lt;&gt;"",$H56&lt;=EOMONTH(Y$12,0),$I56&gt;=Y$12),"ALL","PD+UX"),IF(AND($H56&lt;&gt;"",$H56&lt;=EOMONTH(Y$12,0),$I56&gt;=Y$12),"PD+DEV","PD")),IF(AND(INDEX('Roadmap Calc (Don’t Touch)'!$AA$2:$AX$151,$AI56,COLUMN()-COLUMN($J$16)+1)&gt;0,OR($D56="03. UX Discovery",$D56="04. UX Design")),IF(AND($H56&lt;&gt;"",$H56&lt;=EOMONTH(Y$12,0),$I56&gt;=Y$12),"UX+DEV","UX"),IF(AND($H56&lt;&gt;"",$H56&lt;=EOMONTH(Y$12,0),$I56&gt;=Y$12),"DEV",""))))</f>
      </c>
      <c r="Z56" s="158" t="str">
        <f>IF($AI56="","",IF(AND($AN56&lt;&gt;"",$AN56&lt;=EOMONTH(Z$12,0),$AO56&gt;=Z$12),IF(AND(INDEX('Roadmap Calc (Don’t Touch)'!$AA$2:$AX$151,$AI56,COLUMN()-COLUMN($J$16)+1)&gt;0,OR($D56="03. UX Discovery",$D56="04. UX Design")),IF(AND($H56&lt;&gt;"",$H56&lt;=EOMONTH(Z$12,0),$I56&gt;=Z$12),"ALL","PD+UX"),IF(AND($H56&lt;&gt;"",$H56&lt;=EOMONTH(Z$12,0),$I56&gt;=Z$12),"PD+DEV","PD")),IF(AND(INDEX('Roadmap Calc (Don’t Touch)'!$AA$2:$AX$151,$AI56,COLUMN()-COLUMN($J$16)+1)&gt;0,OR($D56="03. UX Discovery",$D56="04. UX Design")),IF(AND($H56&lt;&gt;"",$H56&lt;=EOMONTH(Z$12,0),$I56&gt;=Z$12),"UX+DEV","UX"),IF(AND($H56&lt;&gt;"",$H56&lt;=EOMONTH(Z$12,0),$I56&gt;=Z$12),"DEV",""))))</f>
      </c>
      <c r="AA56" s="158" t="str">
        <f>IF($AI56="","",IF(AND($AN56&lt;&gt;"",$AN56&lt;=EOMONTH(AA$12,0),$AO56&gt;=AA$12),IF(AND(INDEX('Roadmap Calc (Don’t Touch)'!$AA$2:$AX$151,$AI56,COLUMN()-COLUMN($J$16)+1)&gt;0,OR($D56="03. UX Discovery",$D56="04. UX Design")),IF(AND($H56&lt;&gt;"",$H56&lt;=EOMONTH(AA$12,0),$I56&gt;=AA$12),"ALL","PD+UX"),IF(AND($H56&lt;&gt;"",$H56&lt;=EOMONTH(AA$12,0),$I56&gt;=AA$12),"PD+DEV","PD")),IF(AND(INDEX('Roadmap Calc (Don’t Touch)'!$AA$2:$AX$151,$AI56,COLUMN()-COLUMN($J$16)+1)&gt;0,OR($D56="03. UX Discovery",$D56="04. UX Design")),IF(AND($H56&lt;&gt;"",$H56&lt;=EOMONTH(AA$12,0),$I56&gt;=AA$12),"UX+DEV","UX"),IF(AND($H56&lt;&gt;"",$H56&lt;=EOMONTH(AA$12,0),$I56&gt;=AA$12),"DEV",""))))</f>
      </c>
      <c r="AB56" s="158" t="str">
        <f>IF($AI56="","",IF(AND($AN56&lt;&gt;"",$AN56&lt;=EOMONTH(AB$12,0),$AO56&gt;=AB$12),IF(AND(INDEX('Roadmap Calc (Don’t Touch)'!$AA$2:$AX$151,$AI56,COLUMN()-COLUMN($J$16)+1)&gt;0,OR($D56="03. UX Discovery",$D56="04. UX Design")),IF(AND($H56&lt;&gt;"",$H56&lt;=EOMONTH(AB$12,0),$I56&gt;=AB$12),"ALL","PD+UX"),IF(AND($H56&lt;&gt;"",$H56&lt;=EOMONTH(AB$12,0),$I56&gt;=AB$12),"PD+DEV","PD")),IF(AND(INDEX('Roadmap Calc (Don’t Touch)'!$AA$2:$AX$151,$AI56,COLUMN()-COLUMN($J$16)+1)&gt;0,OR($D56="03. UX Discovery",$D56="04. UX Design")),IF(AND($H56&lt;&gt;"",$H56&lt;=EOMONTH(AB$12,0),$I56&gt;=AB$12),"UX+DEV","UX"),IF(AND($H56&lt;&gt;"",$H56&lt;=EOMONTH(AB$12,0),$I56&gt;=AB$12),"DEV",""))))</f>
      </c>
      <c r="AC56" s="158" t="str">
        <f>IF($AI56="","",IF(AND($AN56&lt;&gt;"",$AN56&lt;=EOMONTH(AC$12,0),$AO56&gt;=AC$12),IF(AND(INDEX('Roadmap Calc (Don’t Touch)'!$AA$2:$AX$151,$AI56,COLUMN()-COLUMN($J$16)+1)&gt;0,OR($D56="03. UX Discovery",$D56="04. UX Design")),IF(AND($H56&lt;&gt;"",$H56&lt;=EOMONTH(AC$12,0),$I56&gt;=AC$12),"ALL","PD+UX"),IF(AND($H56&lt;&gt;"",$H56&lt;=EOMONTH(AC$12,0),$I56&gt;=AC$12),"PD+DEV","PD")),IF(AND(INDEX('Roadmap Calc (Don’t Touch)'!$AA$2:$AX$151,$AI56,COLUMN()-COLUMN($J$16)+1)&gt;0,OR($D56="03. UX Discovery",$D56="04. UX Design")),IF(AND($H56&lt;&gt;"",$H56&lt;=EOMONTH(AC$12,0),$I56&gt;=AC$12),"UX+DEV","UX"),IF(AND($H56&lt;&gt;"",$H56&lt;=EOMONTH(AC$12,0),$I56&gt;=AC$12),"DEV",""))))</f>
      </c>
      <c r="AD56" s="158" t="str">
        <f>IF($AI56="","",IF(AND($AN56&lt;&gt;"",$AN56&lt;=EOMONTH(AD$12,0),$AO56&gt;=AD$12),IF(AND(INDEX('Roadmap Calc (Don’t Touch)'!$AA$2:$AX$151,$AI56,COLUMN()-COLUMN($J$16)+1)&gt;0,OR($D56="03. UX Discovery",$D56="04. UX Design")),IF(AND($H56&lt;&gt;"",$H56&lt;=EOMONTH(AD$12,0),$I56&gt;=AD$12),"ALL","PD+UX"),IF(AND($H56&lt;&gt;"",$H56&lt;=EOMONTH(AD$12,0),$I56&gt;=AD$12),"PD+DEV","PD")),IF(AND(INDEX('Roadmap Calc (Don’t Touch)'!$AA$2:$AX$151,$AI56,COLUMN()-COLUMN($J$16)+1)&gt;0,OR($D56="03. UX Discovery",$D56="04. UX Design")),IF(AND($H56&lt;&gt;"",$H56&lt;=EOMONTH(AD$12,0),$I56&gt;=AD$12),"UX+DEV","UX"),IF(AND($H56&lt;&gt;"",$H56&lt;=EOMONTH(AD$12,0),$I56&gt;=AD$12),"DEV",""))))</f>
      </c>
      <c r="AE56" s="158" t="str">
        <f>IF($AI56="","",IF(AND($AN56&lt;&gt;"",$AN56&lt;=EOMONTH(AE$12,0),$AO56&gt;=AE$12),IF(AND(INDEX('Roadmap Calc (Don’t Touch)'!$AA$2:$AX$151,$AI56,COLUMN()-COLUMN($J$16)+1)&gt;0,OR($D56="03. UX Discovery",$D56="04. UX Design")),IF(AND($H56&lt;&gt;"",$H56&lt;=EOMONTH(AE$12,0),$I56&gt;=AE$12),"ALL","PD+UX"),IF(AND($H56&lt;&gt;"",$H56&lt;=EOMONTH(AE$12,0),$I56&gt;=AE$12),"PD+DEV","PD")),IF(AND(INDEX('Roadmap Calc (Don’t Touch)'!$AA$2:$AX$151,$AI56,COLUMN()-COLUMN($J$16)+1)&gt;0,OR($D56="03. UX Discovery",$D56="04. UX Design")),IF(AND($H56&lt;&gt;"",$H56&lt;=EOMONTH(AE$12,0),$I56&gt;=AE$12),"UX+DEV","UX"),IF(AND($H56&lt;&gt;"",$H56&lt;=EOMONTH(AE$12,0),$I56&gt;=AE$12),"DEV",""))))</f>
      </c>
      <c r="AF56" s="158" t="str">
        <f>IF($AI56="","",IF(AND($AN56&lt;&gt;"",$AN56&lt;=EOMONTH(AF$12,0),$AO56&gt;=AF$12),IF(AND(INDEX('Roadmap Calc (Don’t Touch)'!$AA$2:$AX$151,$AI56,COLUMN()-COLUMN($J$16)+1)&gt;0,OR($D56="03. UX Discovery",$D56="04. UX Design")),IF(AND($H56&lt;&gt;"",$H56&lt;=EOMONTH(AF$12,0),$I56&gt;=AF$12),"ALL","PD+UX"),IF(AND($H56&lt;&gt;"",$H56&lt;=EOMONTH(AF$12,0),$I56&gt;=AF$12),"PD+DEV","PD")),IF(AND(INDEX('Roadmap Calc (Don’t Touch)'!$AA$2:$AX$151,$AI56,COLUMN()-COLUMN($J$16)+1)&gt;0,OR($D56="03. UX Discovery",$D56="04. UX Design")),IF(AND($H56&lt;&gt;"",$H56&lt;=EOMONTH(AF$12,0),$I56&gt;=AF$12),"UX+DEV","UX"),IF(AND($H56&lt;&gt;"",$H56&lt;=EOMONTH(AF$12,0),$I56&gt;=AF$12),"DEV",""))))</f>
      </c>
      <c r="AG56" s="158" t="str">
        <f>IF($AI56="","",IF(AND($AN56&lt;&gt;"",$AN56&lt;=EOMONTH(AG$12,0),$AO56&gt;=AG$12),IF(AND(INDEX('Roadmap Calc (Don’t Touch)'!$AA$2:$AX$151,$AI56,COLUMN()-COLUMN($J$16)+1)&gt;0,OR($D56="03. UX Discovery",$D56="04. UX Design")),IF(AND($H56&lt;&gt;"",$H56&lt;=EOMONTH(AG$12,0),$I56&gt;=AG$12),"ALL","PD+UX"),IF(AND($H56&lt;&gt;"",$H56&lt;=EOMONTH(AG$12,0),$I56&gt;=AG$12),"PD+DEV","PD")),IF(AND(INDEX('Roadmap Calc (Don’t Touch)'!$AA$2:$AX$151,$AI56,COLUMN()-COLUMN($J$16)+1)&gt;0,OR($D56="03. UX Discovery",$D56="04. UX Design")),IF(AND($H56&lt;&gt;"",$H56&lt;=EOMONTH(AG$12,0),$I56&gt;=AG$12),"UX+DEV","UX"),IF(AND($H56&lt;&gt;"",$H56&lt;=EOMONTH(AG$12,0),$I56&gt;=AG$12),"DEV",""))))</f>
      </c>
      <c r="AH56" s="145" t="str">
        <f>IF($AI56="","",INDEX('Roadmap Calc (Don’t Touch)'!$D$2:$D$151,$AI56))</f>
        <v/>
      </c>
      <c r="AI56" s="145" t="str">
        <f>IFERROR(MATCH(41,'Roadmap Calc (Don’t Touch)'!$O$2:$O$151,0),"")</f>
        <v/>
      </c>
      <c r="AJ56" s="145"/>
      <c r="AK56" s="145"/>
      <c r="AL56" s="145"/>
      <c r="AM56" s="145"/>
      <c r="AN56">
        <f>IF($AI56="","",IF(ISNUMBER(INDEX('Roadmap Calc (Don’t Touch)'!$BB$2:$BB$151,$AI56)),INDEX('Roadmap Calc (Don’t Touch)'!$BB$2:$BB$151,$AI56),""))</f>
      </c>
      <c r="AO56">
        <f>IF($AI56="","",IF(ISNUMBER(INDEX('Roadmap Calc (Don’t Touch)'!$BC$2:$BC$151,$AI56)),INDEX('Roadmap Calc (Don’t Touch)'!$BC$2:$BC$151,$AI56),""))</f>
      </c>
    </row>
    <row r="57" spans="1:41" ht="20" customHeight="1" x14ac:dyDescent="0.25">
      <c r="A57" s="198" t="str">
        <f>IF($AI57="","",IF($AH57=$AH56,"",IF(INDEX('Roadmap Calc (Don’t Touch)'!$U$2:$U$151,$AI57)=0,$AH57,HYPERLINK("#'Control (Don’t Touch)'!E"&amp;INDEX('Roadmap Calc (Don’t Touch)'!$U$2:$U$151,$AI57),$AH57))))</f>
        <v/>
      </c>
      <c r="B57" s="159" t="str">
        <f>IF($AI57="","",IF(INDEX('Roadmap Calc (Don’t Touch)'!$K$2:$K$151,$AI57)="",INDEX('Roadmap Calc (Don’t Touch)'!$B$2:$B$151,$AI57),HYPERLINK("https://jira.bnh.com/browse/"&amp;INDEX('Roadmap Calc (Don’t Touch)'!$K$2:$K$151,$AI57),INDEX('Roadmap Calc (Don’t Touch)'!$B$2:$B$151,$AI57))))</f>
        <v/>
      </c>
      <c r="C57" s="159" t="str">
        <f>IF($AI57="","",IF(INDEX('Roadmap Calc (Don’t Touch)'!$E$2:$E$151,$AI57)="","",HYPERLINK("https://jira.bnh.com/browse/"&amp;INDEX('Roadmap Calc (Don’t Touch)'!$E$2:$E$151,$AI57),INDEX('Roadmap Calc (Don’t Touch)'!$E$2:$E$151,$AI57))))</f>
        <v/>
      </c>
      <c r="D57" s="161" t="str">
        <f>IF($AI57="","",INDEX('Roadmap Calc (Don’t Touch)'!$F$2:$F$151,$AI57))</f>
        <v/>
      </c>
      <c r="E57" s="155" t="str">
        <f>IF($AI57="","",IF(ISNUMBER(INDEX('Roadmap Calc (Don’t Touch)'!$G$2:$G$151,$AI57)),INDEX('Roadmap Calc (Don’t Touch)'!$G$2:$G$151,$AI57),""))</f>
        <v/>
      </c>
      <c r="F57" s="155" t="str">
        <f>IF($AI57="","",IF(ISNUMBER(INDEX('Roadmap Calc (Don’t Touch)'!$H$2:$H$151,$AI57)),INDEX('Roadmap Calc (Don’t Touch)'!$H$2:$H$151,$AI57),""))</f>
        <v/>
      </c>
      <c r="G57" s="156" t="str">
        <f>IF($AI57="","",INDEX('Roadmap Calc (Don’t Touch)'!$T$2:$T$151,$AI57))</f>
        <v/>
      </c>
      <c r="H57" s="157" t="str">
        <f>IF($AI57="","",IF(ISNUMBER(INDEX('Roadmap Calc (Don’t Touch)'!$I$2:$I$151,$AI57)),INDEX('Roadmap Calc (Don’t Touch)'!$I$2:$I$151,$AI57),""))</f>
        <v/>
      </c>
      <c r="I57" s="157" t="str">
        <f>IF($AI57="","",IF(ISNUMBER(INDEX('Roadmap Calc (Don’t Touch)'!$J$2:$J$151,$AI57)),INDEX('Roadmap Calc (Don’t Touch)'!$J$2:$J$151,$AI57),""))</f>
        <v/>
      </c>
      <c r="J57" s="158" t="str">
        <f>IF($AI57="","",IF(AND($AN57&lt;&gt;"",$AN57&lt;=EOMONTH(J$12,0),$AO57&gt;=J$12),IF(AND(INDEX('Roadmap Calc (Don’t Touch)'!$AA$2:$AX$151,$AI57,COLUMN()-COLUMN($J$16)+1)&gt;0,OR($D57="03. UX Discovery",$D57="04. UX Design")),IF(AND($H57&lt;&gt;"",$H57&lt;=EOMONTH(J$12,0),$I57&gt;=J$12),"ALL","PD+UX"),IF(AND($H57&lt;&gt;"",$H57&lt;=EOMONTH(J$12,0),$I57&gt;=J$12),"PD+DEV","PD")),IF(AND(INDEX('Roadmap Calc (Don’t Touch)'!$AA$2:$AX$151,$AI57,COLUMN()-COLUMN($J$16)+1)&gt;0,OR($D57="03. UX Discovery",$D57="04. UX Design")),IF(AND($H57&lt;&gt;"",$H57&lt;=EOMONTH(J$12,0),$I57&gt;=J$12),"UX+DEV","UX"),IF(AND($H57&lt;&gt;"",$H57&lt;=EOMONTH(J$12,0),$I57&gt;=J$12),"DEV",""))))</f>
      </c>
      <c r="K57" s="158" t="str">
        <f>IF($AI57="","",IF(AND($AN57&lt;&gt;"",$AN57&lt;=EOMONTH(K$12,0),$AO57&gt;=K$12),IF(AND(INDEX('Roadmap Calc (Don’t Touch)'!$AA$2:$AX$151,$AI57,COLUMN()-COLUMN($J$16)+1)&gt;0,OR($D57="03. UX Discovery",$D57="04. UX Design")),IF(AND($H57&lt;&gt;"",$H57&lt;=EOMONTH(K$12,0),$I57&gt;=K$12),"ALL","PD+UX"),IF(AND($H57&lt;&gt;"",$H57&lt;=EOMONTH(K$12,0),$I57&gt;=K$12),"PD+DEV","PD")),IF(AND(INDEX('Roadmap Calc (Don’t Touch)'!$AA$2:$AX$151,$AI57,COLUMN()-COLUMN($J$16)+1)&gt;0,OR($D57="03. UX Discovery",$D57="04. UX Design")),IF(AND($H57&lt;&gt;"",$H57&lt;=EOMONTH(K$12,0),$I57&gt;=K$12),"UX+DEV","UX"),IF(AND($H57&lt;&gt;"",$H57&lt;=EOMONTH(K$12,0),$I57&gt;=K$12),"DEV",""))))</f>
      </c>
      <c r="L57" s="158" t="str">
        <f>IF($AI57="","",IF(AND($AN57&lt;&gt;"",$AN57&lt;=EOMONTH(L$12,0),$AO57&gt;=L$12),IF(AND(INDEX('Roadmap Calc (Don’t Touch)'!$AA$2:$AX$151,$AI57,COLUMN()-COLUMN($J$16)+1)&gt;0,OR($D57="03. UX Discovery",$D57="04. UX Design")),IF(AND($H57&lt;&gt;"",$H57&lt;=EOMONTH(L$12,0),$I57&gt;=L$12),"ALL","PD+UX"),IF(AND($H57&lt;&gt;"",$H57&lt;=EOMONTH(L$12,0),$I57&gt;=L$12),"PD+DEV","PD")),IF(AND(INDEX('Roadmap Calc (Don’t Touch)'!$AA$2:$AX$151,$AI57,COLUMN()-COLUMN($J$16)+1)&gt;0,OR($D57="03. UX Discovery",$D57="04. UX Design")),IF(AND($H57&lt;&gt;"",$H57&lt;=EOMONTH(L$12,0),$I57&gt;=L$12),"UX+DEV","UX"),IF(AND($H57&lt;&gt;"",$H57&lt;=EOMONTH(L$12,0),$I57&gt;=L$12),"DEV",""))))</f>
      </c>
      <c r="M57" s="158" t="str">
        <f>IF($AI57="","",IF(AND($AN57&lt;&gt;"",$AN57&lt;=EOMONTH(M$12,0),$AO57&gt;=M$12),IF(AND(INDEX('Roadmap Calc (Don’t Touch)'!$AA$2:$AX$151,$AI57,COLUMN()-COLUMN($J$16)+1)&gt;0,OR($D57="03. UX Discovery",$D57="04. UX Design")),IF(AND($H57&lt;&gt;"",$H57&lt;=EOMONTH(M$12,0),$I57&gt;=M$12),"ALL","PD+UX"),IF(AND($H57&lt;&gt;"",$H57&lt;=EOMONTH(M$12,0),$I57&gt;=M$12),"PD+DEV","PD")),IF(AND(INDEX('Roadmap Calc (Don’t Touch)'!$AA$2:$AX$151,$AI57,COLUMN()-COLUMN($J$16)+1)&gt;0,OR($D57="03. UX Discovery",$D57="04. UX Design")),IF(AND($H57&lt;&gt;"",$H57&lt;=EOMONTH(M$12,0),$I57&gt;=M$12),"UX+DEV","UX"),IF(AND($H57&lt;&gt;"",$H57&lt;=EOMONTH(M$12,0),$I57&gt;=M$12),"DEV",""))))</f>
      </c>
      <c r="N57" s="158" t="str">
        <f>IF($AI57="","",IF(AND($AN57&lt;&gt;"",$AN57&lt;=EOMONTH(N$12,0),$AO57&gt;=N$12),IF(AND(INDEX('Roadmap Calc (Don’t Touch)'!$AA$2:$AX$151,$AI57,COLUMN()-COLUMN($J$16)+1)&gt;0,OR($D57="03. UX Discovery",$D57="04. UX Design")),IF(AND($H57&lt;&gt;"",$H57&lt;=EOMONTH(N$12,0),$I57&gt;=N$12),"ALL","PD+UX"),IF(AND($H57&lt;&gt;"",$H57&lt;=EOMONTH(N$12,0),$I57&gt;=N$12),"PD+DEV","PD")),IF(AND(INDEX('Roadmap Calc (Don’t Touch)'!$AA$2:$AX$151,$AI57,COLUMN()-COLUMN($J$16)+1)&gt;0,OR($D57="03. UX Discovery",$D57="04. UX Design")),IF(AND($H57&lt;&gt;"",$H57&lt;=EOMONTH(N$12,0),$I57&gt;=N$12),"UX+DEV","UX"),IF(AND($H57&lt;&gt;"",$H57&lt;=EOMONTH(N$12,0),$I57&gt;=N$12),"DEV",""))))</f>
      </c>
      <c r="O57" s="158" t="str">
        <f>IF($AI57="","",IF(AND($AN57&lt;&gt;"",$AN57&lt;=EOMONTH(O$12,0),$AO57&gt;=O$12),IF(AND(INDEX('Roadmap Calc (Don’t Touch)'!$AA$2:$AX$151,$AI57,COLUMN()-COLUMN($J$16)+1)&gt;0,OR($D57="03. UX Discovery",$D57="04. UX Design")),IF(AND($H57&lt;&gt;"",$H57&lt;=EOMONTH(O$12,0),$I57&gt;=O$12),"ALL","PD+UX"),IF(AND($H57&lt;&gt;"",$H57&lt;=EOMONTH(O$12,0),$I57&gt;=O$12),"PD+DEV","PD")),IF(AND(INDEX('Roadmap Calc (Don’t Touch)'!$AA$2:$AX$151,$AI57,COLUMN()-COLUMN($J$16)+1)&gt;0,OR($D57="03. UX Discovery",$D57="04. UX Design")),IF(AND($H57&lt;&gt;"",$H57&lt;=EOMONTH(O$12,0),$I57&gt;=O$12),"UX+DEV","UX"),IF(AND($H57&lt;&gt;"",$H57&lt;=EOMONTH(O$12,0),$I57&gt;=O$12),"DEV",""))))</f>
      </c>
      <c r="P57" s="158" t="str">
        <f>IF($AI57="","",IF(AND($AN57&lt;&gt;"",$AN57&lt;=EOMONTH(P$12,0),$AO57&gt;=P$12),IF(AND(INDEX('Roadmap Calc (Don’t Touch)'!$AA$2:$AX$151,$AI57,COLUMN()-COLUMN($J$16)+1)&gt;0,OR($D57="03. UX Discovery",$D57="04. UX Design")),IF(AND($H57&lt;&gt;"",$H57&lt;=EOMONTH(P$12,0),$I57&gt;=P$12),"ALL","PD+UX"),IF(AND($H57&lt;&gt;"",$H57&lt;=EOMONTH(P$12,0),$I57&gt;=P$12),"PD+DEV","PD")),IF(AND(INDEX('Roadmap Calc (Don’t Touch)'!$AA$2:$AX$151,$AI57,COLUMN()-COLUMN($J$16)+1)&gt;0,OR($D57="03. UX Discovery",$D57="04. UX Design")),IF(AND($H57&lt;&gt;"",$H57&lt;=EOMONTH(P$12,0),$I57&gt;=P$12),"UX+DEV","UX"),IF(AND($H57&lt;&gt;"",$H57&lt;=EOMONTH(P$12,0),$I57&gt;=P$12),"DEV",""))))</f>
      </c>
      <c r="Q57" s="158" t="str">
        <f>IF($AI57="","",IF(AND($AN57&lt;&gt;"",$AN57&lt;=EOMONTH(Q$12,0),$AO57&gt;=Q$12),IF(AND(INDEX('Roadmap Calc (Don’t Touch)'!$AA$2:$AX$151,$AI57,COLUMN()-COLUMN($J$16)+1)&gt;0,OR($D57="03. UX Discovery",$D57="04. UX Design")),IF(AND($H57&lt;&gt;"",$H57&lt;=EOMONTH(Q$12,0),$I57&gt;=Q$12),"ALL","PD+UX"),IF(AND($H57&lt;&gt;"",$H57&lt;=EOMONTH(Q$12,0),$I57&gt;=Q$12),"PD+DEV","PD")),IF(AND(INDEX('Roadmap Calc (Don’t Touch)'!$AA$2:$AX$151,$AI57,COLUMN()-COLUMN($J$16)+1)&gt;0,OR($D57="03. UX Discovery",$D57="04. UX Design")),IF(AND($H57&lt;&gt;"",$H57&lt;=EOMONTH(Q$12,0),$I57&gt;=Q$12),"UX+DEV","UX"),IF(AND($H57&lt;&gt;"",$H57&lt;=EOMONTH(Q$12,0),$I57&gt;=Q$12),"DEV",""))))</f>
      </c>
      <c r="R57" s="158" t="str">
        <f>IF($AI57="","",IF(AND($AN57&lt;&gt;"",$AN57&lt;=EOMONTH(R$12,0),$AO57&gt;=R$12),IF(AND(INDEX('Roadmap Calc (Don’t Touch)'!$AA$2:$AX$151,$AI57,COLUMN()-COLUMN($J$16)+1)&gt;0,OR($D57="03. UX Discovery",$D57="04. UX Design")),IF(AND($H57&lt;&gt;"",$H57&lt;=EOMONTH(R$12,0),$I57&gt;=R$12),"ALL","PD+UX"),IF(AND($H57&lt;&gt;"",$H57&lt;=EOMONTH(R$12,0),$I57&gt;=R$12),"PD+DEV","PD")),IF(AND(INDEX('Roadmap Calc (Don’t Touch)'!$AA$2:$AX$151,$AI57,COLUMN()-COLUMN($J$16)+1)&gt;0,OR($D57="03. UX Discovery",$D57="04. UX Design")),IF(AND($H57&lt;&gt;"",$H57&lt;=EOMONTH(R$12,0),$I57&gt;=R$12),"UX+DEV","UX"),IF(AND($H57&lt;&gt;"",$H57&lt;=EOMONTH(R$12,0),$I57&gt;=R$12),"DEV",""))))</f>
      </c>
      <c r="S57" s="158" t="str">
        <f>IF($AI57="","",IF(AND($AN57&lt;&gt;"",$AN57&lt;=EOMONTH(S$12,0),$AO57&gt;=S$12),IF(AND(INDEX('Roadmap Calc (Don’t Touch)'!$AA$2:$AX$151,$AI57,COLUMN()-COLUMN($J$16)+1)&gt;0,OR($D57="03. UX Discovery",$D57="04. UX Design")),IF(AND($H57&lt;&gt;"",$H57&lt;=EOMONTH(S$12,0),$I57&gt;=S$12),"ALL","PD+UX"),IF(AND($H57&lt;&gt;"",$H57&lt;=EOMONTH(S$12,0),$I57&gt;=S$12),"PD+DEV","PD")),IF(AND(INDEX('Roadmap Calc (Don’t Touch)'!$AA$2:$AX$151,$AI57,COLUMN()-COLUMN($J$16)+1)&gt;0,OR($D57="03. UX Discovery",$D57="04. UX Design")),IF(AND($H57&lt;&gt;"",$H57&lt;=EOMONTH(S$12,0),$I57&gt;=S$12),"UX+DEV","UX"),IF(AND($H57&lt;&gt;"",$H57&lt;=EOMONTH(S$12,0),$I57&gt;=S$12),"DEV",""))))</f>
      </c>
      <c r="T57" s="158" t="str">
        <f>IF($AI57="","",IF(AND($AN57&lt;&gt;"",$AN57&lt;=EOMONTH(T$12,0),$AO57&gt;=T$12),IF(AND(INDEX('Roadmap Calc (Don’t Touch)'!$AA$2:$AX$151,$AI57,COLUMN()-COLUMN($J$16)+1)&gt;0,OR($D57="03. UX Discovery",$D57="04. UX Design")),IF(AND($H57&lt;&gt;"",$H57&lt;=EOMONTH(T$12,0),$I57&gt;=T$12),"ALL","PD+UX"),IF(AND($H57&lt;&gt;"",$H57&lt;=EOMONTH(T$12,0),$I57&gt;=T$12),"PD+DEV","PD")),IF(AND(INDEX('Roadmap Calc (Don’t Touch)'!$AA$2:$AX$151,$AI57,COLUMN()-COLUMN($J$16)+1)&gt;0,OR($D57="03. UX Discovery",$D57="04. UX Design")),IF(AND($H57&lt;&gt;"",$H57&lt;=EOMONTH(T$12,0),$I57&gt;=T$12),"UX+DEV","UX"),IF(AND($H57&lt;&gt;"",$H57&lt;=EOMONTH(T$12,0),$I57&gt;=T$12),"DEV",""))))</f>
      </c>
      <c r="U57" s="158" t="str">
        <f>IF($AI57="","",IF(AND($AN57&lt;&gt;"",$AN57&lt;=EOMONTH(U$12,0),$AO57&gt;=U$12),IF(AND(INDEX('Roadmap Calc (Don’t Touch)'!$AA$2:$AX$151,$AI57,COLUMN()-COLUMN($J$16)+1)&gt;0,OR($D57="03. UX Discovery",$D57="04. UX Design")),IF(AND($H57&lt;&gt;"",$H57&lt;=EOMONTH(U$12,0),$I57&gt;=U$12),"ALL","PD+UX"),IF(AND($H57&lt;&gt;"",$H57&lt;=EOMONTH(U$12,0),$I57&gt;=U$12),"PD+DEV","PD")),IF(AND(INDEX('Roadmap Calc (Don’t Touch)'!$AA$2:$AX$151,$AI57,COLUMN()-COLUMN($J$16)+1)&gt;0,OR($D57="03. UX Discovery",$D57="04. UX Design")),IF(AND($H57&lt;&gt;"",$H57&lt;=EOMONTH(U$12,0),$I57&gt;=U$12),"UX+DEV","UX"),IF(AND($H57&lt;&gt;"",$H57&lt;=EOMONTH(U$12,0),$I57&gt;=U$12),"DEV",""))))</f>
      </c>
      <c r="V57" s="158" t="str">
        <f>IF($AI57="","",IF(AND($AN57&lt;&gt;"",$AN57&lt;=EOMONTH(V$12,0),$AO57&gt;=V$12),IF(AND(INDEX('Roadmap Calc (Don’t Touch)'!$AA$2:$AX$151,$AI57,COLUMN()-COLUMN($J$16)+1)&gt;0,OR($D57="03. UX Discovery",$D57="04. UX Design")),IF(AND($H57&lt;&gt;"",$H57&lt;=EOMONTH(V$12,0),$I57&gt;=V$12),"ALL","PD+UX"),IF(AND($H57&lt;&gt;"",$H57&lt;=EOMONTH(V$12,0),$I57&gt;=V$12),"PD+DEV","PD")),IF(AND(INDEX('Roadmap Calc (Don’t Touch)'!$AA$2:$AX$151,$AI57,COLUMN()-COLUMN($J$16)+1)&gt;0,OR($D57="03. UX Discovery",$D57="04. UX Design")),IF(AND($H57&lt;&gt;"",$H57&lt;=EOMONTH(V$12,0),$I57&gt;=V$12),"UX+DEV","UX"),IF(AND($H57&lt;&gt;"",$H57&lt;=EOMONTH(V$12,0),$I57&gt;=V$12),"DEV",""))))</f>
      </c>
      <c r="W57" s="158" t="str">
        <f>IF($AI57="","",IF(AND($AN57&lt;&gt;"",$AN57&lt;=EOMONTH(W$12,0),$AO57&gt;=W$12),IF(AND(INDEX('Roadmap Calc (Don’t Touch)'!$AA$2:$AX$151,$AI57,COLUMN()-COLUMN($J$16)+1)&gt;0,OR($D57="03. UX Discovery",$D57="04. UX Design")),IF(AND($H57&lt;&gt;"",$H57&lt;=EOMONTH(W$12,0),$I57&gt;=W$12),"ALL","PD+UX"),IF(AND($H57&lt;&gt;"",$H57&lt;=EOMONTH(W$12,0),$I57&gt;=W$12),"PD+DEV","PD")),IF(AND(INDEX('Roadmap Calc (Don’t Touch)'!$AA$2:$AX$151,$AI57,COLUMN()-COLUMN($J$16)+1)&gt;0,OR($D57="03. UX Discovery",$D57="04. UX Design")),IF(AND($H57&lt;&gt;"",$H57&lt;=EOMONTH(W$12,0),$I57&gt;=W$12),"UX+DEV","UX"),IF(AND($H57&lt;&gt;"",$H57&lt;=EOMONTH(W$12,0),$I57&gt;=W$12),"DEV",""))))</f>
      </c>
      <c r="X57" s="158" t="str">
        <f>IF($AI57="","",IF(AND($AN57&lt;&gt;"",$AN57&lt;=EOMONTH(X$12,0),$AO57&gt;=X$12),IF(AND(INDEX('Roadmap Calc (Don’t Touch)'!$AA$2:$AX$151,$AI57,COLUMN()-COLUMN($J$16)+1)&gt;0,OR($D57="03. UX Discovery",$D57="04. UX Design")),IF(AND($H57&lt;&gt;"",$H57&lt;=EOMONTH(X$12,0),$I57&gt;=X$12),"ALL","PD+UX"),IF(AND($H57&lt;&gt;"",$H57&lt;=EOMONTH(X$12,0),$I57&gt;=X$12),"PD+DEV","PD")),IF(AND(INDEX('Roadmap Calc (Don’t Touch)'!$AA$2:$AX$151,$AI57,COLUMN()-COLUMN($J$16)+1)&gt;0,OR($D57="03. UX Discovery",$D57="04. UX Design")),IF(AND($H57&lt;&gt;"",$H57&lt;=EOMONTH(X$12,0),$I57&gt;=X$12),"UX+DEV","UX"),IF(AND($H57&lt;&gt;"",$H57&lt;=EOMONTH(X$12,0),$I57&gt;=X$12),"DEV",""))))</f>
      </c>
      <c r="Y57" s="158" t="str">
        <f>IF($AI57="","",IF(AND($AN57&lt;&gt;"",$AN57&lt;=EOMONTH(Y$12,0),$AO57&gt;=Y$12),IF(AND(INDEX('Roadmap Calc (Don’t Touch)'!$AA$2:$AX$151,$AI57,COLUMN()-COLUMN($J$16)+1)&gt;0,OR($D57="03. UX Discovery",$D57="04. UX Design")),IF(AND($H57&lt;&gt;"",$H57&lt;=EOMONTH(Y$12,0),$I57&gt;=Y$12),"ALL","PD+UX"),IF(AND($H57&lt;&gt;"",$H57&lt;=EOMONTH(Y$12,0),$I57&gt;=Y$12),"PD+DEV","PD")),IF(AND(INDEX('Roadmap Calc (Don’t Touch)'!$AA$2:$AX$151,$AI57,COLUMN()-COLUMN($J$16)+1)&gt;0,OR($D57="03. UX Discovery",$D57="04. UX Design")),IF(AND($H57&lt;&gt;"",$H57&lt;=EOMONTH(Y$12,0),$I57&gt;=Y$12),"UX+DEV","UX"),IF(AND($H57&lt;&gt;"",$H57&lt;=EOMONTH(Y$12,0),$I57&gt;=Y$12),"DEV",""))))</f>
      </c>
      <c r="Z57" s="158" t="str">
        <f>IF($AI57="","",IF(AND($AN57&lt;&gt;"",$AN57&lt;=EOMONTH(Z$12,0),$AO57&gt;=Z$12),IF(AND(INDEX('Roadmap Calc (Don’t Touch)'!$AA$2:$AX$151,$AI57,COLUMN()-COLUMN($J$16)+1)&gt;0,OR($D57="03. UX Discovery",$D57="04. UX Design")),IF(AND($H57&lt;&gt;"",$H57&lt;=EOMONTH(Z$12,0),$I57&gt;=Z$12),"ALL","PD+UX"),IF(AND($H57&lt;&gt;"",$H57&lt;=EOMONTH(Z$12,0),$I57&gt;=Z$12),"PD+DEV","PD")),IF(AND(INDEX('Roadmap Calc (Don’t Touch)'!$AA$2:$AX$151,$AI57,COLUMN()-COLUMN($J$16)+1)&gt;0,OR($D57="03. UX Discovery",$D57="04. UX Design")),IF(AND($H57&lt;&gt;"",$H57&lt;=EOMONTH(Z$12,0),$I57&gt;=Z$12),"UX+DEV","UX"),IF(AND($H57&lt;&gt;"",$H57&lt;=EOMONTH(Z$12,0),$I57&gt;=Z$12),"DEV",""))))</f>
      </c>
      <c r="AA57" s="158" t="str">
        <f>IF($AI57="","",IF(AND($AN57&lt;&gt;"",$AN57&lt;=EOMONTH(AA$12,0),$AO57&gt;=AA$12),IF(AND(INDEX('Roadmap Calc (Don’t Touch)'!$AA$2:$AX$151,$AI57,COLUMN()-COLUMN($J$16)+1)&gt;0,OR($D57="03. UX Discovery",$D57="04. UX Design")),IF(AND($H57&lt;&gt;"",$H57&lt;=EOMONTH(AA$12,0),$I57&gt;=AA$12),"ALL","PD+UX"),IF(AND($H57&lt;&gt;"",$H57&lt;=EOMONTH(AA$12,0),$I57&gt;=AA$12),"PD+DEV","PD")),IF(AND(INDEX('Roadmap Calc (Don’t Touch)'!$AA$2:$AX$151,$AI57,COLUMN()-COLUMN($J$16)+1)&gt;0,OR($D57="03. UX Discovery",$D57="04. UX Design")),IF(AND($H57&lt;&gt;"",$H57&lt;=EOMONTH(AA$12,0),$I57&gt;=AA$12),"UX+DEV","UX"),IF(AND($H57&lt;&gt;"",$H57&lt;=EOMONTH(AA$12,0),$I57&gt;=AA$12),"DEV",""))))</f>
      </c>
      <c r="AB57" s="158" t="str">
        <f>IF($AI57="","",IF(AND($AN57&lt;&gt;"",$AN57&lt;=EOMONTH(AB$12,0),$AO57&gt;=AB$12),IF(AND(INDEX('Roadmap Calc (Don’t Touch)'!$AA$2:$AX$151,$AI57,COLUMN()-COLUMN($J$16)+1)&gt;0,OR($D57="03. UX Discovery",$D57="04. UX Design")),IF(AND($H57&lt;&gt;"",$H57&lt;=EOMONTH(AB$12,0),$I57&gt;=AB$12),"ALL","PD+UX"),IF(AND($H57&lt;&gt;"",$H57&lt;=EOMONTH(AB$12,0),$I57&gt;=AB$12),"PD+DEV","PD")),IF(AND(INDEX('Roadmap Calc (Don’t Touch)'!$AA$2:$AX$151,$AI57,COLUMN()-COLUMN($J$16)+1)&gt;0,OR($D57="03. UX Discovery",$D57="04. UX Design")),IF(AND($H57&lt;&gt;"",$H57&lt;=EOMONTH(AB$12,0),$I57&gt;=AB$12),"UX+DEV","UX"),IF(AND($H57&lt;&gt;"",$H57&lt;=EOMONTH(AB$12,0),$I57&gt;=AB$12),"DEV",""))))</f>
      </c>
      <c r="AC57" s="158" t="str">
        <f>IF($AI57="","",IF(AND($AN57&lt;&gt;"",$AN57&lt;=EOMONTH(AC$12,0),$AO57&gt;=AC$12),IF(AND(INDEX('Roadmap Calc (Don’t Touch)'!$AA$2:$AX$151,$AI57,COLUMN()-COLUMN($J$16)+1)&gt;0,OR($D57="03. UX Discovery",$D57="04. UX Design")),IF(AND($H57&lt;&gt;"",$H57&lt;=EOMONTH(AC$12,0),$I57&gt;=AC$12),"ALL","PD+UX"),IF(AND($H57&lt;&gt;"",$H57&lt;=EOMONTH(AC$12,0),$I57&gt;=AC$12),"PD+DEV","PD")),IF(AND(INDEX('Roadmap Calc (Don’t Touch)'!$AA$2:$AX$151,$AI57,COLUMN()-COLUMN($J$16)+1)&gt;0,OR($D57="03. UX Discovery",$D57="04. UX Design")),IF(AND($H57&lt;&gt;"",$H57&lt;=EOMONTH(AC$12,0),$I57&gt;=AC$12),"UX+DEV","UX"),IF(AND($H57&lt;&gt;"",$H57&lt;=EOMONTH(AC$12,0),$I57&gt;=AC$12),"DEV",""))))</f>
      </c>
      <c r="AD57" s="158" t="str">
        <f>IF($AI57="","",IF(AND($AN57&lt;&gt;"",$AN57&lt;=EOMONTH(AD$12,0),$AO57&gt;=AD$12),IF(AND(INDEX('Roadmap Calc (Don’t Touch)'!$AA$2:$AX$151,$AI57,COLUMN()-COLUMN($J$16)+1)&gt;0,OR($D57="03. UX Discovery",$D57="04. UX Design")),IF(AND($H57&lt;&gt;"",$H57&lt;=EOMONTH(AD$12,0),$I57&gt;=AD$12),"ALL","PD+UX"),IF(AND($H57&lt;&gt;"",$H57&lt;=EOMONTH(AD$12,0),$I57&gt;=AD$12),"PD+DEV","PD")),IF(AND(INDEX('Roadmap Calc (Don’t Touch)'!$AA$2:$AX$151,$AI57,COLUMN()-COLUMN($J$16)+1)&gt;0,OR($D57="03. UX Discovery",$D57="04. UX Design")),IF(AND($H57&lt;&gt;"",$H57&lt;=EOMONTH(AD$12,0),$I57&gt;=AD$12),"UX+DEV","UX"),IF(AND($H57&lt;&gt;"",$H57&lt;=EOMONTH(AD$12,0),$I57&gt;=AD$12),"DEV",""))))</f>
      </c>
      <c r="AE57" s="158" t="str">
        <f>IF($AI57="","",IF(AND($AN57&lt;&gt;"",$AN57&lt;=EOMONTH(AE$12,0),$AO57&gt;=AE$12),IF(AND(INDEX('Roadmap Calc (Don’t Touch)'!$AA$2:$AX$151,$AI57,COLUMN()-COLUMN($J$16)+1)&gt;0,OR($D57="03. UX Discovery",$D57="04. UX Design")),IF(AND($H57&lt;&gt;"",$H57&lt;=EOMONTH(AE$12,0),$I57&gt;=AE$12),"ALL","PD+UX"),IF(AND($H57&lt;&gt;"",$H57&lt;=EOMONTH(AE$12,0),$I57&gt;=AE$12),"PD+DEV","PD")),IF(AND(INDEX('Roadmap Calc (Don’t Touch)'!$AA$2:$AX$151,$AI57,COLUMN()-COLUMN($J$16)+1)&gt;0,OR($D57="03. UX Discovery",$D57="04. UX Design")),IF(AND($H57&lt;&gt;"",$H57&lt;=EOMONTH(AE$12,0),$I57&gt;=AE$12),"UX+DEV","UX"),IF(AND($H57&lt;&gt;"",$H57&lt;=EOMONTH(AE$12,0),$I57&gt;=AE$12),"DEV",""))))</f>
      </c>
      <c r="AF57" s="158" t="str">
        <f>IF($AI57="","",IF(AND($AN57&lt;&gt;"",$AN57&lt;=EOMONTH(AF$12,0),$AO57&gt;=AF$12),IF(AND(INDEX('Roadmap Calc (Don’t Touch)'!$AA$2:$AX$151,$AI57,COLUMN()-COLUMN($J$16)+1)&gt;0,OR($D57="03. UX Discovery",$D57="04. UX Design")),IF(AND($H57&lt;&gt;"",$H57&lt;=EOMONTH(AF$12,0),$I57&gt;=AF$12),"ALL","PD+UX"),IF(AND($H57&lt;&gt;"",$H57&lt;=EOMONTH(AF$12,0),$I57&gt;=AF$12),"PD+DEV","PD")),IF(AND(INDEX('Roadmap Calc (Don’t Touch)'!$AA$2:$AX$151,$AI57,COLUMN()-COLUMN($J$16)+1)&gt;0,OR($D57="03. UX Discovery",$D57="04. UX Design")),IF(AND($H57&lt;&gt;"",$H57&lt;=EOMONTH(AF$12,0),$I57&gt;=AF$12),"UX+DEV","UX"),IF(AND($H57&lt;&gt;"",$H57&lt;=EOMONTH(AF$12,0),$I57&gt;=AF$12),"DEV",""))))</f>
      </c>
      <c r="AG57" s="158" t="str">
        <f>IF($AI57="","",IF(AND($AN57&lt;&gt;"",$AN57&lt;=EOMONTH(AG$12,0),$AO57&gt;=AG$12),IF(AND(INDEX('Roadmap Calc (Don’t Touch)'!$AA$2:$AX$151,$AI57,COLUMN()-COLUMN($J$16)+1)&gt;0,OR($D57="03. UX Discovery",$D57="04. UX Design")),IF(AND($H57&lt;&gt;"",$H57&lt;=EOMONTH(AG$12,0),$I57&gt;=AG$12),"ALL","PD+UX"),IF(AND($H57&lt;&gt;"",$H57&lt;=EOMONTH(AG$12,0),$I57&gt;=AG$12),"PD+DEV","PD")),IF(AND(INDEX('Roadmap Calc (Don’t Touch)'!$AA$2:$AX$151,$AI57,COLUMN()-COLUMN($J$16)+1)&gt;0,OR($D57="03. UX Discovery",$D57="04. UX Design")),IF(AND($H57&lt;&gt;"",$H57&lt;=EOMONTH(AG$12,0),$I57&gt;=AG$12),"UX+DEV","UX"),IF(AND($H57&lt;&gt;"",$H57&lt;=EOMONTH(AG$12,0),$I57&gt;=AG$12),"DEV",""))))</f>
      </c>
      <c r="AH57" s="145" t="str">
        <f>IF($AI57="","",INDEX('Roadmap Calc (Don’t Touch)'!$D$2:$D$151,$AI57))</f>
        <v/>
      </c>
      <c r="AI57" s="145" t="str">
        <f>IFERROR(MATCH(42,'Roadmap Calc (Don’t Touch)'!$O$2:$O$151,0),"")</f>
        <v/>
      </c>
      <c r="AJ57" s="145"/>
      <c r="AK57" s="145"/>
      <c r="AL57" s="145"/>
      <c r="AM57" s="145"/>
      <c r="AN57">
        <f>IF($AI57="","",IF(ISNUMBER(INDEX('Roadmap Calc (Don’t Touch)'!$BB$2:$BB$151,$AI57)),INDEX('Roadmap Calc (Don’t Touch)'!$BB$2:$BB$151,$AI57),""))</f>
      </c>
      <c r="AO57">
        <f>IF($AI57="","",IF(ISNUMBER(INDEX('Roadmap Calc (Don’t Touch)'!$BC$2:$BC$151,$AI57)),INDEX('Roadmap Calc (Don’t Touch)'!$BC$2:$BC$151,$AI57),""))</f>
      </c>
    </row>
    <row r="58" spans="1:41" ht="20" customHeight="1" x14ac:dyDescent="0.25">
      <c r="A58" s="198" t="str">
        <f>IF($AI58="","",IF($AH58=$AH57,"",IF(INDEX('Roadmap Calc (Don’t Touch)'!$U$2:$U$151,$AI58)=0,$AH58,HYPERLINK("#'Control (Don’t Touch)'!E"&amp;INDEX('Roadmap Calc (Don’t Touch)'!$U$2:$U$151,$AI58),$AH58))))</f>
        <v/>
      </c>
      <c r="B58" s="159" t="str">
        <f>IF($AI58="","",IF(INDEX('Roadmap Calc (Don’t Touch)'!$K$2:$K$151,$AI58)="",INDEX('Roadmap Calc (Don’t Touch)'!$B$2:$B$151,$AI58),HYPERLINK("https://jira.bnh.com/browse/"&amp;INDEX('Roadmap Calc (Don’t Touch)'!$K$2:$K$151,$AI58),INDEX('Roadmap Calc (Don’t Touch)'!$B$2:$B$151,$AI58))))</f>
        <v/>
      </c>
      <c r="C58" s="159" t="str">
        <f>IF($AI58="","",IF(INDEX('Roadmap Calc (Don’t Touch)'!$E$2:$E$151,$AI58)="","",HYPERLINK("https://jira.bnh.com/browse/"&amp;INDEX('Roadmap Calc (Don’t Touch)'!$E$2:$E$151,$AI58),INDEX('Roadmap Calc (Don’t Touch)'!$E$2:$E$151,$AI58))))</f>
        <v/>
      </c>
      <c r="D58" s="161" t="str">
        <f>IF($AI58="","",INDEX('Roadmap Calc (Don’t Touch)'!$F$2:$F$151,$AI58))</f>
        <v/>
      </c>
      <c r="E58" s="155" t="str">
        <f>IF($AI58="","",IF(ISNUMBER(INDEX('Roadmap Calc (Don’t Touch)'!$G$2:$G$151,$AI58)),INDEX('Roadmap Calc (Don’t Touch)'!$G$2:$G$151,$AI58),""))</f>
        <v/>
      </c>
      <c r="F58" s="155" t="str">
        <f>IF($AI58="","",IF(ISNUMBER(INDEX('Roadmap Calc (Don’t Touch)'!$H$2:$H$151,$AI58)),INDEX('Roadmap Calc (Don’t Touch)'!$H$2:$H$151,$AI58),""))</f>
        <v/>
      </c>
      <c r="G58" s="156" t="str">
        <f>IF($AI58="","",INDEX('Roadmap Calc (Don’t Touch)'!$T$2:$T$151,$AI58))</f>
        <v/>
      </c>
      <c r="H58" s="157" t="str">
        <f>IF($AI58="","",IF(ISNUMBER(INDEX('Roadmap Calc (Don’t Touch)'!$I$2:$I$151,$AI58)),INDEX('Roadmap Calc (Don’t Touch)'!$I$2:$I$151,$AI58),""))</f>
        <v/>
      </c>
      <c r="I58" s="157" t="str">
        <f>IF($AI58="","",IF(ISNUMBER(INDEX('Roadmap Calc (Don’t Touch)'!$J$2:$J$151,$AI58)),INDEX('Roadmap Calc (Don’t Touch)'!$J$2:$J$151,$AI58),""))</f>
        <v/>
      </c>
      <c r="J58" s="158" t="str">
        <f>IF($AI58="","",IF(AND($AN58&lt;&gt;"",$AN58&lt;=EOMONTH(J$12,0),$AO58&gt;=J$12),IF(AND(INDEX('Roadmap Calc (Don’t Touch)'!$AA$2:$AX$151,$AI58,COLUMN()-COLUMN($J$16)+1)&gt;0,OR($D58="03. UX Discovery",$D58="04. UX Design")),IF(AND($H58&lt;&gt;"",$H58&lt;=EOMONTH(J$12,0),$I58&gt;=J$12),"ALL","PD+UX"),IF(AND($H58&lt;&gt;"",$H58&lt;=EOMONTH(J$12,0),$I58&gt;=J$12),"PD+DEV","PD")),IF(AND(INDEX('Roadmap Calc (Don’t Touch)'!$AA$2:$AX$151,$AI58,COLUMN()-COLUMN($J$16)+1)&gt;0,OR($D58="03. UX Discovery",$D58="04. UX Design")),IF(AND($H58&lt;&gt;"",$H58&lt;=EOMONTH(J$12,0),$I58&gt;=J$12),"UX+DEV","UX"),IF(AND($H58&lt;&gt;"",$H58&lt;=EOMONTH(J$12,0),$I58&gt;=J$12),"DEV",""))))</f>
      </c>
      <c r="K58" s="158" t="str">
        <f>IF($AI58="","",IF(AND($AN58&lt;&gt;"",$AN58&lt;=EOMONTH(K$12,0),$AO58&gt;=K$12),IF(AND(INDEX('Roadmap Calc (Don’t Touch)'!$AA$2:$AX$151,$AI58,COLUMN()-COLUMN($J$16)+1)&gt;0,OR($D58="03. UX Discovery",$D58="04. UX Design")),IF(AND($H58&lt;&gt;"",$H58&lt;=EOMONTH(K$12,0),$I58&gt;=K$12),"ALL","PD+UX"),IF(AND($H58&lt;&gt;"",$H58&lt;=EOMONTH(K$12,0),$I58&gt;=K$12),"PD+DEV","PD")),IF(AND(INDEX('Roadmap Calc (Don’t Touch)'!$AA$2:$AX$151,$AI58,COLUMN()-COLUMN($J$16)+1)&gt;0,OR($D58="03. UX Discovery",$D58="04. UX Design")),IF(AND($H58&lt;&gt;"",$H58&lt;=EOMONTH(K$12,0),$I58&gt;=K$12),"UX+DEV","UX"),IF(AND($H58&lt;&gt;"",$H58&lt;=EOMONTH(K$12,0),$I58&gt;=K$12),"DEV",""))))</f>
      </c>
      <c r="L58" s="158" t="str">
        <f>IF($AI58="","",IF(AND($AN58&lt;&gt;"",$AN58&lt;=EOMONTH(L$12,0),$AO58&gt;=L$12),IF(AND(INDEX('Roadmap Calc (Don’t Touch)'!$AA$2:$AX$151,$AI58,COLUMN()-COLUMN($J$16)+1)&gt;0,OR($D58="03. UX Discovery",$D58="04. UX Design")),IF(AND($H58&lt;&gt;"",$H58&lt;=EOMONTH(L$12,0),$I58&gt;=L$12),"ALL","PD+UX"),IF(AND($H58&lt;&gt;"",$H58&lt;=EOMONTH(L$12,0),$I58&gt;=L$12),"PD+DEV","PD")),IF(AND(INDEX('Roadmap Calc (Don’t Touch)'!$AA$2:$AX$151,$AI58,COLUMN()-COLUMN($J$16)+1)&gt;0,OR($D58="03. UX Discovery",$D58="04. UX Design")),IF(AND($H58&lt;&gt;"",$H58&lt;=EOMONTH(L$12,0),$I58&gt;=L$12),"UX+DEV","UX"),IF(AND($H58&lt;&gt;"",$H58&lt;=EOMONTH(L$12,0),$I58&gt;=L$12),"DEV",""))))</f>
      </c>
      <c r="M58" s="158" t="str">
        <f>IF($AI58="","",IF(AND($AN58&lt;&gt;"",$AN58&lt;=EOMONTH(M$12,0),$AO58&gt;=M$12),IF(AND(INDEX('Roadmap Calc (Don’t Touch)'!$AA$2:$AX$151,$AI58,COLUMN()-COLUMN($J$16)+1)&gt;0,OR($D58="03. UX Discovery",$D58="04. UX Design")),IF(AND($H58&lt;&gt;"",$H58&lt;=EOMONTH(M$12,0),$I58&gt;=M$12),"ALL","PD+UX"),IF(AND($H58&lt;&gt;"",$H58&lt;=EOMONTH(M$12,0),$I58&gt;=M$12),"PD+DEV","PD")),IF(AND(INDEX('Roadmap Calc (Don’t Touch)'!$AA$2:$AX$151,$AI58,COLUMN()-COLUMN($J$16)+1)&gt;0,OR($D58="03. UX Discovery",$D58="04. UX Design")),IF(AND($H58&lt;&gt;"",$H58&lt;=EOMONTH(M$12,0),$I58&gt;=M$12),"UX+DEV","UX"),IF(AND($H58&lt;&gt;"",$H58&lt;=EOMONTH(M$12,0),$I58&gt;=M$12),"DEV",""))))</f>
      </c>
      <c r="N58" s="158" t="str">
        <f>IF($AI58="","",IF(AND($AN58&lt;&gt;"",$AN58&lt;=EOMONTH(N$12,0),$AO58&gt;=N$12),IF(AND(INDEX('Roadmap Calc (Don’t Touch)'!$AA$2:$AX$151,$AI58,COLUMN()-COLUMN($J$16)+1)&gt;0,OR($D58="03. UX Discovery",$D58="04. UX Design")),IF(AND($H58&lt;&gt;"",$H58&lt;=EOMONTH(N$12,0),$I58&gt;=N$12),"ALL","PD+UX"),IF(AND($H58&lt;&gt;"",$H58&lt;=EOMONTH(N$12,0),$I58&gt;=N$12),"PD+DEV","PD")),IF(AND(INDEX('Roadmap Calc (Don’t Touch)'!$AA$2:$AX$151,$AI58,COLUMN()-COLUMN($J$16)+1)&gt;0,OR($D58="03. UX Discovery",$D58="04. UX Design")),IF(AND($H58&lt;&gt;"",$H58&lt;=EOMONTH(N$12,0),$I58&gt;=N$12),"UX+DEV","UX"),IF(AND($H58&lt;&gt;"",$H58&lt;=EOMONTH(N$12,0),$I58&gt;=N$12),"DEV",""))))</f>
      </c>
      <c r="O58" s="158" t="str">
        <f>IF($AI58="","",IF(AND($AN58&lt;&gt;"",$AN58&lt;=EOMONTH(O$12,0),$AO58&gt;=O$12),IF(AND(INDEX('Roadmap Calc (Don’t Touch)'!$AA$2:$AX$151,$AI58,COLUMN()-COLUMN($J$16)+1)&gt;0,OR($D58="03. UX Discovery",$D58="04. UX Design")),IF(AND($H58&lt;&gt;"",$H58&lt;=EOMONTH(O$12,0),$I58&gt;=O$12),"ALL","PD+UX"),IF(AND($H58&lt;&gt;"",$H58&lt;=EOMONTH(O$12,0),$I58&gt;=O$12),"PD+DEV","PD")),IF(AND(INDEX('Roadmap Calc (Don’t Touch)'!$AA$2:$AX$151,$AI58,COLUMN()-COLUMN($J$16)+1)&gt;0,OR($D58="03. UX Discovery",$D58="04. UX Design")),IF(AND($H58&lt;&gt;"",$H58&lt;=EOMONTH(O$12,0),$I58&gt;=O$12),"UX+DEV","UX"),IF(AND($H58&lt;&gt;"",$H58&lt;=EOMONTH(O$12,0),$I58&gt;=O$12),"DEV",""))))</f>
      </c>
      <c r="P58" s="158" t="str">
        <f>IF($AI58="","",IF(AND($AN58&lt;&gt;"",$AN58&lt;=EOMONTH(P$12,0),$AO58&gt;=P$12),IF(AND(INDEX('Roadmap Calc (Don’t Touch)'!$AA$2:$AX$151,$AI58,COLUMN()-COLUMN($J$16)+1)&gt;0,OR($D58="03. UX Discovery",$D58="04. UX Design")),IF(AND($H58&lt;&gt;"",$H58&lt;=EOMONTH(P$12,0),$I58&gt;=P$12),"ALL","PD+UX"),IF(AND($H58&lt;&gt;"",$H58&lt;=EOMONTH(P$12,0),$I58&gt;=P$12),"PD+DEV","PD")),IF(AND(INDEX('Roadmap Calc (Don’t Touch)'!$AA$2:$AX$151,$AI58,COLUMN()-COLUMN($J$16)+1)&gt;0,OR($D58="03. UX Discovery",$D58="04. UX Design")),IF(AND($H58&lt;&gt;"",$H58&lt;=EOMONTH(P$12,0),$I58&gt;=P$12),"UX+DEV","UX"),IF(AND($H58&lt;&gt;"",$H58&lt;=EOMONTH(P$12,0),$I58&gt;=P$12),"DEV",""))))</f>
      </c>
      <c r="Q58" s="158" t="str">
        <f>IF($AI58="","",IF(AND($AN58&lt;&gt;"",$AN58&lt;=EOMONTH(Q$12,0),$AO58&gt;=Q$12),IF(AND(INDEX('Roadmap Calc (Don’t Touch)'!$AA$2:$AX$151,$AI58,COLUMN()-COLUMN($J$16)+1)&gt;0,OR($D58="03. UX Discovery",$D58="04. UX Design")),IF(AND($H58&lt;&gt;"",$H58&lt;=EOMONTH(Q$12,0),$I58&gt;=Q$12),"ALL","PD+UX"),IF(AND($H58&lt;&gt;"",$H58&lt;=EOMONTH(Q$12,0),$I58&gt;=Q$12),"PD+DEV","PD")),IF(AND(INDEX('Roadmap Calc (Don’t Touch)'!$AA$2:$AX$151,$AI58,COLUMN()-COLUMN($J$16)+1)&gt;0,OR($D58="03. UX Discovery",$D58="04. UX Design")),IF(AND($H58&lt;&gt;"",$H58&lt;=EOMONTH(Q$12,0),$I58&gt;=Q$12),"UX+DEV","UX"),IF(AND($H58&lt;&gt;"",$H58&lt;=EOMONTH(Q$12,0),$I58&gt;=Q$12),"DEV",""))))</f>
      </c>
      <c r="R58" s="158" t="str">
        <f>IF($AI58="","",IF(AND($AN58&lt;&gt;"",$AN58&lt;=EOMONTH(R$12,0),$AO58&gt;=R$12),IF(AND(INDEX('Roadmap Calc (Don’t Touch)'!$AA$2:$AX$151,$AI58,COLUMN()-COLUMN($J$16)+1)&gt;0,OR($D58="03. UX Discovery",$D58="04. UX Design")),IF(AND($H58&lt;&gt;"",$H58&lt;=EOMONTH(R$12,0),$I58&gt;=R$12),"ALL","PD+UX"),IF(AND($H58&lt;&gt;"",$H58&lt;=EOMONTH(R$12,0),$I58&gt;=R$12),"PD+DEV","PD")),IF(AND(INDEX('Roadmap Calc (Don’t Touch)'!$AA$2:$AX$151,$AI58,COLUMN()-COLUMN($J$16)+1)&gt;0,OR($D58="03. UX Discovery",$D58="04. UX Design")),IF(AND($H58&lt;&gt;"",$H58&lt;=EOMONTH(R$12,0),$I58&gt;=R$12),"UX+DEV","UX"),IF(AND($H58&lt;&gt;"",$H58&lt;=EOMONTH(R$12,0),$I58&gt;=R$12),"DEV",""))))</f>
      </c>
      <c r="S58" s="158" t="str">
        <f>IF($AI58="","",IF(AND($AN58&lt;&gt;"",$AN58&lt;=EOMONTH(S$12,0),$AO58&gt;=S$12),IF(AND(INDEX('Roadmap Calc (Don’t Touch)'!$AA$2:$AX$151,$AI58,COLUMN()-COLUMN($J$16)+1)&gt;0,OR($D58="03. UX Discovery",$D58="04. UX Design")),IF(AND($H58&lt;&gt;"",$H58&lt;=EOMONTH(S$12,0),$I58&gt;=S$12),"ALL","PD+UX"),IF(AND($H58&lt;&gt;"",$H58&lt;=EOMONTH(S$12,0),$I58&gt;=S$12),"PD+DEV","PD")),IF(AND(INDEX('Roadmap Calc (Don’t Touch)'!$AA$2:$AX$151,$AI58,COLUMN()-COLUMN($J$16)+1)&gt;0,OR($D58="03. UX Discovery",$D58="04. UX Design")),IF(AND($H58&lt;&gt;"",$H58&lt;=EOMONTH(S$12,0),$I58&gt;=S$12),"UX+DEV","UX"),IF(AND($H58&lt;&gt;"",$H58&lt;=EOMONTH(S$12,0),$I58&gt;=S$12),"DEV",""))))</f>
      </c>
      <c r="T58" s="158" t="str">
        <f>IF($AI58="","",IF(AND($AN58&lt;&gt;"",$AN58&lt;=EOMONTH(T$12,0),$AO58&gt;=T$12),IF(AND(INDEX('Roadmap Calc (Don’t Touch)'!$AA$2:$AX$151,$AI58,COLUMN()-COLUMN($J$16)+1)&gt;0,OR($D58="03. UX Discovery",$D58="04. UX Design")),IF(AND($H58&lt;&gt;"",$H58&lt;=EOMONTH(T$12,0),$I58&gt;=T$12),"ALL","PD+UX"),IF(AND($H58&lt;&gt;"",$H58&lt;=EOMONTH(T$12,0),$I58&gt;=T$12),"PD+DEV","PD")),IF(AND(INDEX('Roadmap Calc (Don’t Touch)'!$AA$2:$AX$151,$AI58,COLUMN()-COLUMN($J$16)+1)&gt;0,OR($D58="03. UX Discovery",$D58="04. UX Design")),IF(AND($H58&lt;&gt;"",$H58&lt;=EOMONTH(T$12,0),$I58&gt;=T$12),"UX+DEV","UX"),IF(AND($H58&lt;&gt;"",$H58&lt;=EOMONTH(T$12,0),$I58&gt;=T$12),"DEV",""))))</f>
      </c>
      <c r="U58" s="158" t="str">
        <f>IF($AI58="","",IF(AND($AN58&lt;&gt;"",$AN58&lt;=EOMONTH(U$12,0),$AO58&gt;=U$12),IF(AND(INDEX('Roadmap Calc (Don’t Touch)'!$AA$2:$AX$151,$AI58,COLUMN()-COLUMN($J$16)+1)&gt;0,OR($D58="03. UX Discovery",$D58="04. UX Design")),IF(AND($H58&lt;&gt;"",$H58&lt;=EOMONTH(U$12,0),$I58&gt;=U$12),"ALL","PD+UX"),IF(AND($H58&lt;&gt;"",$H58&lt;=EOMONTH(U$12,0),$I58&gt;=U$12),"PD+DEV","PD")),IF(AND(INDEX('Roadmap Calc (Don’t Touch)'!$AA$2:$AX$151,$AI58,COLUMN()-COLUMN($J$16)+1)&gt;0,OR($D58="03. UX Discovery",$D58="04. UX Design")),IF(AND($H58&lt;&gt;"",$H58&lt;=EOMONTH(U$12,0),$I58&gt;=U$12),"UX+DEV","UX"),IF(AND($H58&lt;&gt;"",$H58&lt;=EOMONTH(U$12,0),$I58&gt;=U$12),"DEV",""))))</f>
      </c>
      <c r="V58" s="158" t="str">
        <f>IF($AI58="","",IF(AND($AN58&lt;&gt;"",$AN58&lt;=EOMONTH(V$12,0),$AO58&gt;=V$12),IF(AND(INDEX('Roadmap Calc (Don’t Touch)'!$AA$2:$AX$151,$AI58,COLUMN()-COLUMN($J$16)+1)&gt;0,OR($D58="03. UX Discovery",$D58="04. UX Design")),IF(AND($H58&lt;&gt;"",$H58&lt;=EOMONTH(V$12,0),$I58&gt;=V$12),"ALL","PD+UX"),IF(AND($H58&lt;&gt;"",$H58&lt;=EOMONTH(V$12,0),$I58&gt;=V$12),"PD+DEV","PD")),IF(AND(INDEX('Roadmap Calc (Don’t Touch)'!$AA$2:$AX$151,$AI58,COLUMN()-COLUMN($J$16)+1)&gt;0,OR($D58="03. UX Discovery",$D58="04. UX Design")),IF(AND($H58&lt;&gt;"",$H58&lt;=EOMONTH(V$12,0),$I58&gt;=V$12),"UX+DEV","UX"),IF(AND($H58&lt;&gt;"",$H58&lt;=EOMONTH(V$12,0),$I58&gt;=V$12),"DEV",""))))</f>
      </c>
      <c r="W58" s="158" t="str">
        <f>IF($AI58="","",IF(AND($AN58&lt;&gt;"",$AN58&lt;=EOMONTH(W$12,0),$AO58&gt;=W$12),IF(AND(INDEX('Roadmap Calc (Don’t Touch)'!$AA$2:$AX$151,$AI58,COLUMN()-COLUMN($J$16)+1)&gt;0,OR($D58="03. UX Discovery",$D58="04. UX Design")),IF(AND($H58&lt;&gt;"",$H58&lt;=EOMONTH(W$12,0),$I58&gt;=W$12),"ALL","PD+UX"),IF(AND($H58&lt;&gt;"",$H58&lt;=EOMONTH(W$12,0),$I58&gt;=W$12),"PD+DEV","PD")),IF(AND(INDEX('Roadmap Calc (Don’t Touch)'!$AA$2:$AX$151,$AI58,COLUMN()-COLUMN($J$16)+1)&gt;0,OR($D58="03. UX Discovery",$D58="04. UX Design")),IF(AND($H58&lt;&gt;"",$H58&lt;=EOMONTH(W$12,0),$I58&gt;=W$12),"UX+DEV","UX"),IF(AND($H58&lt;&gt;"",$H58&lt;=EOMONTH(W$12,0),$I58&gt;=W$12),"DEV",""))))</f>
      </c>
      <c r="X58" s="158" t="str">
        <f>IF($AI58="","",IF(AND($AN58&lt;&gt;"",$AN58&lt;=EOMONTH(X$12,0),$AO58&gt;=X$12),IF(AND(INDEX('Roadmap Calc (Don’t Touch)'!$AA$2:$AX$151,$AI58,COLUMN()-COLUMN($J$16)+1)&gt;0,OR($D58="03. UX Discovery",$D58="04. UX Design")),IF(AND($H58&lt;&gt;"",$H58&lt;=EOMONTH(X$12,0),$I58&gt;=X$12),"ALL","PD+UX"),IF(AND($H58&lt;&gt;"",$H58&lt;=EOMONTH(X$12,0),$I58&gt;=X$12),"PD+DEV","PD")),IF(AND(INDEX('Roadmap Calc (Don’t Touch)'!$AA$2:$AX$151,$AI58,COLUMN()-COLUMN($J$16)+1)&gt;0,OR($D58="03. UX Discovery",$D58="04. UX Design")),IF(AND($H58&lt;&gt;"",$H58&lt;=EOMONTH(X$12,0),$I58&gt;=X$12),"UX+DEV","UX"),IF(AND($H58&lt;&gt;"",$H58&lt;=EOMONTH(X$12,0),$I58&gt;=X$12),"DEV",""))))</f>
      </c>
      <c r="Y58" s="158" t="str">
        <f>IF($AI58="","",IF(AND($AN58&lt;&gt;"",$AN58&lt;=EOMONTH(Y$12,0),$AO58&gt;=Y$12),IF(AND(INDEX('Roadmap Calc (Don’t Touch)'!$AA$2:$AX$151,$AI58,COLUMN()-COLUMN($J$16)+1)&gt;0,OR($D58="03. UX Discovery",$D58="04. UX Design")),IF(AND($H58&lt;&gt;"",$H58&lt;=EOMONTH(Y$12,0),$I58&gt;=Y$12),"ALL","PD+UX"),IF(AND($H58&lt;&gt;"",$H58&lt;=EOMONTH(Y$12,0),$I58&gt;=Y$12),"PD+DEV","PD")),IF(AND(INDEX('Roadmap Calc (Don’t Touch)'!$AA$2:$AX$151,$AI58,COLUMN()-COLUMN($J$16)+1)&gt;0,OR($D58="03. UX Discovery",$D58="04. UX Design")),IF(AND($H58&lt;&gt;"",$H58&lt;=EOMONTH(Y$12,0),$I58&gt;=Y$12),"UX+DEV","UX"),IF(AND($H58&lt;&gt;"",$H58&lt;=EOMONTH(Y$12,0),$I58&gt;=Y$12),"DEV",""))))</f>
      </c>
      <c r="Z58" s="158" t="str">
        <f>IF($AI58="","",IF(AND($AN58&lt;&gt;"",$AN58&lt;=EOMONTH(Z$12,0),$AO58&gt;=Z$12),IF(AND(INDEX('Roadmap Calc (Don’t Touch)'!$AA$2:$AX$151,$AI58,COLUMN()-COLUMN($J$16)+1)&gt;0,OR($D58="03. UX Discovery",$D58="04. UX Design")),IF(AND($H58&lt;&gt;"",$H58&lt;=EOMONTH(Z$12,0),$I58&gt;=Z$12),"ALL","PD+UX"),IF(AND($H58&lt;&gt;"",$H58&lt;=EOMONTH(Z$12,0),$I58&gt;=Z$12),"PD+DEV","PD")),IF(AND(INDEX('Roadmap Calc (Don’t Touch)'!$AA$2:$AX$151,$AI58,COLUMN()-COLUMN($J$16)+1)&gt;0,OR($D58="03. UX Discovery",$D58="04. UX Design")),IF(AND($H58&lt;&gt;"",$H58&lt;=EOMONTH(Z$12,0),$I58&gt;=Z$12),"UX+DEV","UX"),IF(AND($H58&lt;&gt;"",$H58&lt;=EOMONTH(Z$12,0),$I58&gt;=Z$12),"DEV",""))))</f>
      </c>
      <c r="AA58" s="158" t="str">
        <f>IF($AI58="","",IF(AND($AN58&lt;&gt;"",$AN58&lt;=EOMONTH(AA$12,0),$AO58&gt;=AA$12),IF(AND(INDEX('Roadmap Calc (Don’t Touch)'!$AA$2:$AX$151,$AI58,COLUMN()-COLUMN($J$16)+1)&gt;0,OR($D58="03. UX Discovery",$D58="04. UX Design")),IF(AND($H58&lt;&gt;"",$H58&lt;=EOMONTH(AA$12,0),$I58&gt;=AA$12),"ALL","PD+UX"),IF(AND($H58&lt;&gt;"",$H58&lt;=EOMONTH(AA$12,0),$I58&gt;=AA$12),"PD+DEV","PD")),IF(AND(INDEX('Roadmap Calc (Don’t Touch)'!$AA$2:$AX$151,$AI58,COLUMN()-COLUMN($J$16)+1)&gt;0,OR($D58="03. UX Discovery",$D58="04. UX Design")),IF(AND($H58&lt;&gt;"",$H58&lt;=EOMONTH(AA$12,0),$I58&gt;=AA$12),"UX+DEV","UX"),IF(AND($H58&lt;&gt;"",$H58&lt;=EOMONTH(AA$12,0),$I58&gt;=AA$12),"DEV",""))))</f>
      </c>
      <c r="AB58" s="158" t="str">
        <f>IF($AI58="","",IF(AND($AN58&lt;&gt;"",$AN58&lt;=EOMONTH(AB$12,0),$AO58&gt;=AB$12),IF(AND(INDEX('Roadmap Calc (Don’t Touch)'!$AA$2:$AX$151,$AI58,COLUMN()-COLUMN($J$16)+1)&gt;0,OR($D58="03. UX Discovery",$D58="04. UX Design")),IF(AND($H58&lt;&gt;"",$H58&lt;=EOMONTH(AB$12,0),$I58&gt;=AB$12),"ALL","PD+UX"),IF(AND($H58&lt;&gt;"",$H58&lt;=EOMONTH(AB$12,0),$I58&gt;=AB$12),"PD+DEV","PD")),IF(AND(INDEX('Roadmap Calc (Don’t Touch)'!$AA$2:$AX$151,$AI58,COLUMN()-COLUMN($J$16)+1)&gt;0,OR($D58="03. UX Discovery",$D58="04. UX Design")),IF(AND($H58&lt;&gt;"",$H58&lt;=EOMONTH(AB$12,0),$I58&gt;=AB$12),"UX+DEV","UX"),IF(AND($H58&lt;&gt;"",$H58&lt;=EOMONTH(AB$12,0),$I58&gt;=AB$12),"DEV",""))))</f>
      </c>
      <c r="AC58" s="158" t="str">
        <f>IF($AI58="","",IF(AND($AN58&lt;&gt;"",$AN58&lt;=EOMONTH(AC$12,0),$AO58&gt;=AC$12),IF(AND(INDEX('Roadmap Calc (Don’t Touch)'!$AA$2:$AX$151,$AI58,COLUMN()-COLUMN($J$16)+1)&gt;0,OR($D58="03. UX Discovery",$D58="04. UX Design")),IF(AND($H58&lt;&gt;"",$H58&lt;=EOMONTH(AC$12,0),$I58&gt;=AC$12),"ALL","PD+UX"),IF(AND($H58&lt;&gt;"",$H58&lt;=EOMONTH(AC$12,0),$I58&gt;=AC$12),"PD+DEV","PD")),IF(AND(INDEX('Roadmap Calc (Don’t Touch)'!$AA$2:$AX$151,$AI58,COLUMN()-COLUMN($J$16)+1)&gt;0,OR($D58="03. UX Discovery",$D58="04. UX Design")),IF(AND($H58&lt;&gt;"",$H58&lt;=EOMONTH(AC$12,0),$I58&gt;=AC$12),"UX+DEV","UX"),IF(AND($H58&lt;&gt;"",$H58&lt;=EOMONTH(AC$12,0),$I58&gt;=AC$12),"DEV",""))))</f>
      </c>
      <c r="AD58" s="158" t="str">
        <f>IF($AI58="","",IF(AND($AN58&lt;&gt;"",$AN58&lt;=EOMONTH(AD$12,0),$AO58&gt;=AD$12),IF(AND(INDEX('Roadmap Calc (Don’t Touch)'!$AA$2:$AX$151,$AI58,COLUMN()-COLUMN($J$16)+1)&gt;0,OR($D58="03. UX Discovery",$D58="04. UX Design")),IF(AND($H58&lt;&gt;"",$H58&lt;=EOMONTH(AD$12,0),$I58&gt;=AD$12),"ALL","PD+UX"),IF(AND($H58&lt;&gt;"",$H58&lt;=EOMONTH(AD$12,0),$I58&gt;=AD$12),"PD+DEV","PD")),IF(AND(INDEX('Roadmap Calc (Don’t Touch)'!$AA$2:$AX$151,$AI58,COLUMN()-COLUMN($J$16)+1)&gt;0,OR($D58="03. UX Discovery",$D58="04. UX Design")),IF(AND($H58&lt;&gt;"",$H58&lt;=EOMONTH(AD$12,0),$I58&gt;=AD$12),"UX+DEV","UX"),IF(AND($H58&lt;&gt;"",$H58&lt;=EOMONTH(AD$12,0),$I58&gt;=AD$12),"DEV",""))))</f>
      </c>
      <c r="AE58" s="158" t="str">
        <f>IF($AI58="","",IF(AND($AN58&lt;&gt;"",$AN58&lt;=EOMONTH(AE$12,0),$AO58&gt;=AE$12),IF(AND(INDEX('Roadmap Calc (Don’t Touch)'!$AA$2:$AX$151,$AI58,COLUMN()-COLUMN($J$16)+1)&gt;0,OR($D58="03. UX Discovery",$D58="04. UX Design")),IF(AND($H58&lt;&gt;"",$H58&lt;=EOMONTH(AE$12,0),$I58&gt;=AE$12),"ALL","PD+UX"),IF(AND($H58&lt;&gt;"",$H58&lt;=EOMONTH(AE$12,0),$I58&gt;=AE$12),"PD+DEV","PD")),IF(AND(INDEX('Roadmap Calc (Don’t Touch)'!$AA$2:$AX$151,$AI58,COLUMN()-COLUMN($J$16)+1)&gt;0,OR($D58="03. UX Discovery",$D58="04. UX Design")),IF(AND($H58&lt;&gt;"",$H58&lt;=EOMONTH(AE$12,0),$I58&gt;=AE$12),"UX+DEV","UX"),IF(AND($H58&lt;&gt;"",$H58&lt;=EOMONTH(AE$12,0),$I58&gt;=AE$12),"DEV",""))))</f>
      </c>
      <c r="AF58" s="158" t="str">
        <f>IF($AI58="","",IF(AND($AN58&lt;&gt;"",$AN58&lt;=EOMONTH(AF$12,0),$AO58&gt;=AF$12),IF(AND(INDEX('Roadmap Calc (Don’t Touch)'!$AA$2:$AX$151,$AI58,COLUMN()-COLUMN($J$16)+1)&gt;0,OR($D58="03. UX Discovery",$D58="04. UX Design")),IF(AND($H58&lt;&gt;"",$H58&lt;=EOMONTH(AF$12,0),$I58&gt;=AF$12),"ALL","PD+UX"),IF(AND($H58&lt;&gt;"",$H58&lt;=EOMONTH(AF$12,0),$I58&gt;=AF$12),"PD+DEV","PD")),IF(AND(INDEX('Roadmap Calc (Don’t Touch)'!$AA$2:$AX$151,$AI58,COLUMN()-COLUMN($J$16)+1)&gt;0,OR($D58="03. UX Discovery",$D58="04. UX Design")),IF(AND($H58&lt;&gt;"",$H58&lt;=EOMONTH(AF$12,0),$I58&gt;=AF$12),"UX+DEV","UX"),IF(AND($H58&lt;&gt;"",$H58&lt;=EOMONTH(AF$12,0),$I58&gt;=AF$12),"DEV",""))))</f>
      </c>
      <c r="AG58" s="158" t="str">
        <f>IF($AI58="","",IF(AND($AN58&lt;&gt;"",$AN58&lt;=EOMONTH(AG$12,0),$AO58&gt;=AG$12),IF(AND(INDEX('Roadmap Calc (Don’t Touch)'!$AA$2:$AX$151,$AI58,COLUMN()-COLUMN($J$16)+1)&gt;0,OR($D58="03. UX Discovery",$D58="04. UX Design")),IF(AND($H58&lt;&gt;"",$H58&lt;=EOMONTH(AG$12,0),$I58&gt;=AG$12),"ALL","PD+UX"),IF(AND($H58&lt;&gt;"",$H58&lt;=EOMONTH(AG$12,0),$I58&gt;=AG$12),"PD+DEV","PD")),IF(AND(INDEX('Roadmap Calc (Don’t Touch)'!$AA$2:$AX$151,$AI58,COLUMN()-COLUMN($J$16)+1)&gt;0,OR($D58="03. UX Discovery",$D58="04. UX Design")),IF(AND($H58&lt;&gt;"",$H58&lt;=EOMONTH(AG$12,0),$I58&gt;=AG$12),"UX+DEV","UX"),IF(AND($H58&lt;&gt;"",$H58&lt;=EOMONTH(AG$12,0),$I58&gt;=AG$12),"DEV",""))))</f>
      </c>
      <c r="AH58" s="145" t="str">
        <f>IF($AI58="","",INDEX('Roadmap Calc (Don’t Touch)'!$D$2:$D$151,$AI58))</f>
        <v/>
      </c>
      <c r="AI58" s="145" t="str">
        <f>IFERROR(MATCH(43,'Roadmap Calc (Don’t Touch)'!$O$2:$O$151,0),"")</f>
        <v/>
      </c>
      <c r="AJ58" s="145"/>
      <c r="AK58" s="145"/>
      <c r="AL58" s="145"/>
      <c r="AM58" s="145"/>
      <c r="AN58">
        <f>IF($AI58="","",IF(ISNUMBER(INDEX('Roadmap Calc (Don’t Touch)'!$BB$2:$BB$151,$AI58)),INDEX('Roadmap Calc (Don’t Touch)'!$BB$2:$BB$151,$AI58),""))</f>
      </c>
      <c r="AO58">
        <f>IF($AI58="","",IF(ISNUMBER(INDEX('Roadmap Calc (Don’t Touch)'!$BC$2:$BC$151,$AI58)),INDEX('Roadmap Calc (Don’t Touch)'!$BC$2:$BC$151,$AI58),""))</f>
      </c>
    </row>
    <row r="59" spans="1:41" ht="20" customHeight="1" x14ac:dyDescent="0.25">
      <c r="A59" s="198" t="str">
        <f>IF($AI59="","",IF($AH59=$AH58,"",IF(INDEX('Roadmap Calc (Don’t Touch)'!$U$2:$U$151,$AI59)=0,$AH59,HYPERLINK("#'Control (Don’t Touch)'!E"&amp;INDEX('Roadmap Calc (Don’t Touch)'!$U$2:$U$151,$AI59),$AH59))))</f>
        <v/>
      </c>
      <c r="B59" s="159" t="str">
        <f>IF($AI59="","",IF(INDEX('Roadmap Calc (Don’t Touch)'!$K$2:$K$151,$AI59)="",INDEX('Roadmap Calc (Don’t Touch)'!$B$2:$B$151,$AI59),HYPERLINK("https://jira.bnh.com/browse/"&amp;INDEX('Roadmap Calc (Don’t Touch)'!$K$2:$K$151,$AI59),INDEX('Roadmap Calc (Don’t Touch)'!$B$2:$B$151,$AI59))))</f>
        <v/>
      </c>
      <c r="C59" s="159" t="str">
        <f>IF($AI59="","",IF(INDEX('Roadmap Calc (Don’t Touch)'!$E$2:$E$151,$AI59)="","",HYPERLINK("https://jira.bnh.com/browse/"&amp;INDEX('Roadmap Calc (Don’t Touch)'!$E$2:$E$151,$AI59),INDEX('Roadmap Calc (Don’t Touch)'!$E$2:$E$151,$AI59))))</f>
        <v/>
      </c>
      <c r="D59" s="161" t="str">
        <f>IF($AI59="","",INDEX('Roadmap Calc (Don’t Touch)'!$F$2:$F$151,$AI59))</f>
        <v/>
      </c>
      <c r="E59" s="155" t="str">
        <f>IF($AI59="","",IF(ISNUMBER(INDEX('Roadmap Calc (Don’t Touch)'!$G$2:$G$151,$AI59)),INDEX('Roadmap Calc (Don’t Touch)'!$G$2:$G$151,$AI59),""))</f>
        <v/>
      </c>
      <c r="F59" s="155" t="str">
        <f>IF($AI59="","",IF(ISNUMBER(INDEX('Roadmap Calc (Don’t Touch)'!$H$2:$H$151,$AI59)),INDEX('Roadmap Calc (Don’t Touch)'!$H$2:$H$151,$AI59),""))</f>
        <v/>
      </c>
      <c r="G59" s="156" t="str">
        <f>IF($AI59="","",INDEX('Roadmap Calc (Don’t Touch)'!$T$2:$T$151,$AI59))</f>
        <v/>
      </c>
      <c r="H59" s="157" t="str">
        <f>IF($AI59="","",IF(ISNUMBER(INDEX('Roadmap Calc (Don’t Touch)'!$I$2:$I$151,$AI59)),INDEX('Roadmap Calc (Don’t Touch)'!$I$2:$I$151,$AI59),""))</f>
        <v/>
      </c>
      <c r="I59" s="157" t="str">
        <f>IF($AI59="","",IF(ISNUMBER(INDEX('Roadmap Calc (Don’t Touch)'!$J$2:$J$151,$AI59)),INDEX('Roadmap Calc (Don’t Touch)'!$J$2:$J$151,$AI59),""))</f>
        <v/>
      </c>
      <c r="J59" s="158" t="str">
        <f>IF($AI59="","",IF(AND($AN59&lt;&gt;"",$AN59&lt;=EOMONTH(J$12,0),$AO59&gt;=J$12),IF(AND(INDEX('Roadmap Calc (Don’t Touch)'!$AA$2:$AX$151,$AI59,COLUMN()-COLUMN($J$16)+1)&gt;0,OR($D59="03. UX Discovery",$D59="04. UX Design")),IF(AND($H59&lt;&gt;"",$H59&lt;=EOMONTH(J$12,0),$I59&gt;=J$12),"ALL","PD+UX"),IF(AND($H59&lt;&gt;"",$H59&lt;=EOMONTH(J$12,0),$I59&gt;=J$12),"PD+DEV","PD")),IF(AND(INDEX('Roadmap Calc (Don’t Touch)'!$AA$2:$AX$151,$AI59,COLUMN()-COLUMN($J$16)+1)&gt;0,OR($D59="03. UX Discovery",$D59="04. UX Design")),IF(AND($H59&lt;&gt;"",$H59&lt;=EOMONTH(J$12,0),$I59&gt;=J$12),"UX+DEV","UX"),IF(AND($H59&lt;&gt;"",$H59&lt;=EOMONTH(J$12,0),$I59&gt;=J$12),"DEV",""))))</f>
      </c>
      <c r="K59" s="158" t="str">
        <f>IF($AI59="","",IF(AND($AN59&lt;&gt;"",$AN59&lt;=EOMONTH(K$12,0),$AO59&gt;=K$12),IF(AND(INDEX('Roadmap Calc (Don’t Touch)'!$AA$2:$AX$151,$AI59,COLUMN()-COLUMN($J$16)+1)&gt;0,OR($D59="03. UX Discovery",$D59="04. UX Design")),IF(AND($H59&lt;&gt;"",$H59&lt;=EOMONTH(K$12,0),$I59&gt;=K$12),"ALL","PD+UX"),IF(AND($H59&lt;&gt;"",$H59&lt;=EOMONTH(K$12,0),$I59&gt;=K$12),"PD+DEV","PD")),IF(AND(INDEX('Roadmap Calc (Don’t Touch)'!$AA$2:$AX$151,$AI59,COLUMN()-COLUMN($J$16)+1)&gt;0,OR($D59="03. UX Discovery",$D59="04. UX Design")),IF(AND($H59&lt;&gt;"",$H59&lt;=EOMONTH(K$12,0),$I59&gt;=K$12),"UX+DEV","UX"),IF(AND($H59&lt;&gt;"",$H59&lt;=EOMONTH(K$12,0),$I59&gt;=K$12),"DEV",""))))</f>
      </c>
      <c r="L59" s="158" t="str">
        <f>IF($AI59="","",IF(AND($AN59&lt;&gt;"",$AN59&lt;=EOMONTH(L$12,0),$AO59&gt;=L$12),IF(AND(INDEX('Roadmap Calc (Don’t Touch)'!$AA$2:$AX$151,$AI59,COLUMN()-COLUMN($J$16)+1)&gt;0,OR($D59="03. UX Discovery",$D59="04. UX Design")),IF(AND($H59&lt;&gt;"",$H59&lt;=EOMONTH(L$12,0),$I59&gt;=L$12),"ALL","PD+UX"),IF(AND($H59&lt;&gt;"",$H59&lt;=EOMONTH(L$12,0),$I59&gt;=L$12),"PD+DEV","PD")),IF(AND(INDEX('Roadmap Calc (Don’t Touch)'!$AA$2:$AX$151,$AI59,COLUMN()-COLUMN($J$16)+1)&gt;0,OR($D59="03. UX Discovery",$D59="04. UX Design")),IF(AND($H59&lt;&gt;"",$H59&lt;=EOMONTH(L$12,0),$I59&gt;=L$12),"UX+DEV","UX"),IF(AND($H59&lt;&gt;"",$H59&lt;=EOMONTH(L$12,0),$I59&gt;=L$12),"DEV",""))))</f>
      </c>
      <c r="M59" s="158" t="str">
        <f>IF($AI59="","",IF(AND($AN59&lt;&gt;"",$AN59&lt;=EOMONTH(M$12,0),$AO59&gt;=M$12),IF(AND(INDEX('Roadmap Calc (Don’t Touch)'!$AA$2:$AX$151,$AI59,COLUMN()-COLUMN($J$16)+1)&gt;0,OR($D59="03. UX Discovery",$D59="04. UX Design")),IF(AND($H59&lt;&gt;"",$H59&lt;=EOMONTH(M$12,0),$I59&gt;=M$12),"ALL","PD+UX"),IF(AND($H59&lt;&gt;"",$H59&lt;=EOMONTH(M$12,0),$I59&gt;=M$12),"PD+DEV","PD")),IF(AND(INDEX('Roadmap Calc (Don’t Touch)'!$AA$2:$AX$151,$AI59,COLUMN()-COLUMN($J$16)+1)&gt;0,OR($D59="03. UX Discovery",$D59="04. UX Design")),IF(AND($H59&lt;&gt;"",$H59&lt;=EOMONTH(M$12,0),$I59&gt;=M$12),"UX+DEV","UX"),IF(AND($H59&lt;&gt;"",$H59&lt;=EOMONTH(M$12,0),$I59&gt;=M$12),"DEV",""))))</f>
      </c>
      <c r="N59" s="158" t="str">
        <f>IF($AI59="","",IF(AND($AN59&lt;&gt;"",$AN59&lt;=EOMONTH(N$12,0),$AO59&gt;=N$12),IF(AND(INDEX('Roadmap Calc (Don’t Touch)'!$AA$2:$AX$151,$AI59,COLUMN()-COLUMN($J$16)+1)&gt;0,OR($D59="03. UX Discovery",$D59="04. UX Design")),IF(AND($H59&lt;&gt;"",$H59&lt;=EOMONTH(N$12,0),$I59&gt;=N$12),"ALL","PD+UX"),IF(AND($H59&lt;&gt;"",$H59&lt;=EOMONTH(N$12,0),$I59&gt;=N$12),"PD+DEV","PD")),IF(AND(INDEX('Roadmap Calc (Don’t Touch)'!$AA$2:$AX$151,$AI59,COLUMN()-COLUMN($J$16)+1)&gt;0,OR($D59="03. UX Discovery",$D59="04. UX Design")),IF(AND($H59&lt;&gt;"",$H59&lt;=EOMONTH(N$12,0),$I59&gt;=N$12),"UX+DEV","UX"),IF(AND($H59&lt;&gt;"",$H59&lt;=EOMONTH(N$12,0),$I59&gt;=N$12),"DEV",""))))</f>
      </c>
      <c r="O59" s="158" t="str">
        <f>IF($AI59="","",IF(AND($AN59&lt;&gt;"",$AN59&lt;=EOMONTH(O$12,0),$AO59&gt;=O$12),IF(AND(INDEX('Roadmap Calc (Don’t Touch)'!$AA$2:$AX$151,$AI59,COLUMN()-COLUMN($J$16)+1)&gt;0,OR($D59="03. UX Discovery",$D59="04. UX Design")),IF(AND($H59&lt;&gt;"",$H59&lt;=EOMONTH(O$12,0),$I59&gt;=O$12),"ALL","PD+UX"),IF(AND($H59&lt;&gt;"",$H59&lt;=EOMONTH(O$12,0),$I59&gt;=O$12),"PD+DEV","PD")),IF(AND(INDEX('Roadmap Calc (Don’t Touch)'!$AA$2:$AX$151,$AI59,COLUMN()-COLUMN($J$16)+1)&gt;0,OR($D59="03. UX Discovery",$D59="04. UX Design")),IF(AND($H59&lt;&gt;"",$H59&lt;=EOMONTH(O$12,0),$I59&gt;=O$12),"UX+DEV","UX"),IF(AND($H59&lt;&gt;"",$H59&lt;=EOMONTH(O$12,0),$I59&gt;=O$12),"DEV",""))))</f>
      </c>
      <c r="P59" s="158" t="str">
        <f>IF($AI59="","",IF(AND($AN59&lt;&gt;"",$AN59&lt;=EOMONTH(P$12,0),$AO59&gt;=P$12),IF(AND(INDEX('Roadmap Calc (Don’t Touch)'!$AA$2:$AX$151,$AI59,COLUMN()-COLUMN($J$16)+1)&gt;0,OR($D59="03. UX Discovery",$D59="04. UX Design")),IF(AND($H59&lt;&gt;"",$H59&lt;=EOMONTH(P$12,0),$I59&gt;=P$12),"ALL","PD+UX"),IF(AND($H59&lt;&gt;"",$H59&lt;=EOMONTH(P$12,0),$I59&gt;=P$12),"PD+DEV","PD")),IF(AND(INDEX('Roadmap Calc (Don’t Touch)'!$AA$2:$AX$151,$AI59,COLUMN()-COLUMN($J$16)+1)&gt;0,OR($D59="03. UX Discovery",$D59="04. UX Design")),IF(AND($H59&lt;&gt;"",$H59&lt;=EOMONTH(P$12,0),$I59&gt;=P$12),"UX+DEV","UX"),IF(AND($H59&lt;&gt;"",$H59&lt;=EOMONTH(P$12,0),$I59&gt;=P$12),"DEV",""))))</f>
      </c>
      <c r="Q59" s="158" t="str">
        <f>IF($AI59="","",IF(AND($AN59&lt;&gt;"",$AN59&lt;=EOMONTH(Q$12,0),$AO59&gt;=Q$12),IF(AND(INDEX('Roadmap Calc (Don’t Touch)'!$AA$2:$AX$151,$AI59,COLUMN()-COLUMN($J$16)+1)&gt;0,OR($D59="03. UX Discovery",$D59="04. UX Design")),IF(AND($H59&lt;&gt;"",$H59&lt;=EOMONTH(Q$12,0),$I59&gt;=Q$12),"ALL","PD+UX"),IF(AND($H59&lt;&gt;"",$H59&lt;=EOMONTH(Q$12,0),$I59&gt;=Q$12),"PD+DEV","PD")),IF(AND(INDEX('Roadmap Calc (Don’t Touch)'!$AA$2:$AX$151,$AI59,COLUMN()-COLUMN($J$16)+1)&gt;0,OR($D59="03. UX Discovery",$D59="04. UX Design")),IF(AND($H59&lt;&gt;"",$H59&lt;=EOMONTH(Q$12,0),$I59&gt;=Q$12),"UX+DEV","UX"),IF(AND($H59&lt;&gt;"",$H59&lt;=EOMONTH(Q$12,0),$I59&gt;=Q$12),"DEV",""))))</f>
      </c>
      <c r="R59" s="158" t="str">
        <f>IF($AI59="","",IF(AND($AN59&lt;&gt;"",$AN59&lt;=EOMONTH(R$12,0),$AO59&gt;=R$12),IF(AND(INDEX('Roadmap Calc (Don’t Touch)'!$AA$2:$AX$151,$AI59,COLUMN()-COLUMN($J$16)+1)&gt;0,OR($D59="03. UX Discovery",$D59="04. UX Design")),IF(AND($H59&lt;&gt;"",$H59&lt;=EOMONTH(R$12,0),$I59&gt;=R$12),"ALL","PD+UX"),IF(AND($H59&lt;&gt;"",$H59&lt;=EOMONTH(R$12,0),$I59&gt;=R$12),"PD+DEV","PD")),IF(AND(INDEX('Roadmap Calc (Don’t Touch)'!$AA$2:$AX$151,$AI59,COLUMN()-COLUMN($J$16)+1)&gt;0,OR($D59="03. UX Discovery",$D59="04. UX Design")),IF(AND($H59&lt;&gt;"",$H59&lt;=EOMONTH(R$12,0),$I59&gt;=R$12),"UX+DEV","UX"),IF(AND($H59&lt;&gt;"",$H59&lt;=EOMONTH(R$12,0),$I59&gt;=R$12),"DEV",""))))</f>
      </c>
      <c r="S59" s="158" t="str">
        <f>IF($AI59="","",IF(AND($AN59&lt;&gt;"",$AN59&lt;=EOMONTH(S$12,0),$AO59&gt;=S$12),IF(AND(INDEX('Roadmap Calc (Don’t Touch)'!$AA$2:$AX$151,$AI59,COLUMN()-COLUMN($J$16)+1)&gt;0,OR($D59="03. UX Discovery",$D59="04. UX Design")),IF(AND($H59&lt;&gt;"",$H59&lt;=EOMONTH(S$12,0),$I59&gt;=S$12),"ALL","PD+UX"),IF(AND($H59&lt;&gt;"",$H59&lt;=EOMONTH(S$12,0),$I59&gt;=S$12),"PD+DEV","PD")),IF(AND(INDEX('Roadmap Calc (Don’t Touch)'!$AA$2:$AX$151,$AI59,COLUMN()-COLUMN($J$16)+1)&gt;0,OR($D59="03. UX Discovery",$D59="04. UX Design")),IF(AND($H59&lt;&gt;"",$H59&lt;=EOMONTH(S$12,0),$I59&gt;=S$12),"UX+DEV","UX"),IF(AND($H59&lt;&gt;"",$H59&lt;=EOMONTH(S$12,0),$I59&gt;=S$12),"DEV",""))))</f>
      </c>
      <c r="T59" s="158" t="str">
        <f>IF($AI59="","",IF(AND($AN59&lt;&gt;"",$AN59&lt;=EOMONTH(T$12,0),$AO59&gt;=T$12),IF(AND(INDEX('Roadmap Calc (Don’t Touch)'!$AA$2:$AX$151,$AI59,COLUMN()-COLUMN($J$16)+1)&gt;0,OR($D59="03. UX Discovery",$D59="04. UX Design")),IF(AND($H59&lt;&gt;"",$H59&lt;=EOMONTH(T$12,0),$I59&gt;=T$12),"ALL","PD+UX"),IF(AND($H59&lt;&gt;"",$H59&lt;=EOMONTH(T$12,0),$I59&gt;=T$12),"PD+DEV","PD")),IF(AND(INDEX('Roadmap Calc (Don’t Touch)'!$AA$2:$AX$151,$AI59,COLUMN()-COLUMN($J$16)+1)&gt;0,OR($D59="03. UX Discovery",$D59="04. UX Design")),IF(AND($H59&lt;&gt;"",$H59&lt;=EOMONTH(T$12,0),$I59&gt;=T$12),"UX+DEV","UX"),IF(AND($H59&lt;&gt;"",$H59&lt;=EOMONTH(T$12,0),$I59&gt;=T$12),"DEV",""))))</f>
      </c>
      <c r="U59" s="158" t="str">
        <f>IF($AI59="","",IF(AND($AN59&lt;&gt;"",$AN59&lt;=EOMONTH(U$12,0),$AO59&gt;=U$12),IF(AND(INDEX('Roadmap Calc (Don’t Touch)'!$AA$2:$AX$151,$AI59,COLUMN()-COLUMN($J$16)+1)&gt;0,OR($D59="03. UX Discovery",$D59="04. UX Design")),IF(AND($H59&lt;&gt;"",$H59&lt;=EOMONTH(U$12,0),$I59&gt;=U$12),"ALL","PD+UX"),IF(AND($H59&lt;&gt;"",$H59&lt;=EOMONTH(U$12,0),$I59&gt;=U$12),"PD+DEV","PD")),IF(AND(INDEX('Roadmap Calc (Don’t Touch)'!$AA$2:$AX$151,$AI59,COLUMN()-COLUMN($J$16)+1)&gt;0,OR($D59="03. UX Discovery",$D59="04. UX Design")),IF(AND($H59&lt;&gt;"",$H59&lt;=EOMONTH(U$12,0),$I59&gt;=U$12),"UX+DEV","UX"),IF(AND($H59&lt;&gt;"",$H59&lt;=EOMONTH(U$12,0),$I59&gt;=U$12),"DEV",""))))</f>
      </c>
      <c r="V59" s="158" t="str">
        <f>IF($AI59="","",IF(AND($AN59&lt;&gt;"",$AN59&lt;=EOMONTH(V$12,0),$AO59&gt;=V$12),IF(AND(INDEX('Roadmap Calc (Don’t Touch)'!$AA$2:$AX$151,$AI59,COLUMN()-COLUMN($J$16)+1)&gt;0,OR($D59="03. UX Discovery",$D59="04. UX Design")),IF(AND($H59&lt;&gt;"",$H59&lt;=EOMONTH(V$12,0),$I59&gt;=V$12),"ALL","PD+UX"),IF(AND($H59&lt;&gt;"",$H59&lt;=EOMONTH(V$12,0),$I59&gt;=V$12),"PD+DEV","PD")),IF(AND(INDEX('Roadmap Calc (Don’t Touch)'!$AA$2:$AX$151,$AI59,COLUMN()-COLUMN($J$16)+1)&gt;0,OR($D59="03. UX Discovery",$D59="04. UX Design")),IF(AND($H59&lt;&gt;"",$H59&lt;=EOMONTH(V$12,0),$I59&gt;=V$12),"UX+DEV","UX"),IF(AND($H59&lt;&gt;"",$H59&lt;=EOMONTH(V$12,0),$I59&gt;=V$12),"DEV",""))))</f>
      </c>
      <c r="W59" s="158" t="str">
        <f>IF($AI59="","",IF(AND($AN59&lt;&gt;"",$AN59&lt;=EOMONTH(W$12,0),$AO59&gt;=W$12),IF(AND(INDEX('Roadmap Calc (Don’t Touch)'!$AA$2:$AX$151,$AI59,COLUMN()-COLUMN($J$16)+1)&gt;0,OR($D59="03. UX Discovery",$D59="04. UX Design")),IF(AND($H59&lt;&gt;"",$H59&lt;=EOMONTH(W$12,0),$I59&gt;=W$12),"ALL","PD+UX"),IF(AND($H59&lt;&gt;"",$H59&lt;=EOMONTH(W$12,0),$I59&gt;=W$12),"PD+DEV","PD")),IF(AND(INDEX('Roadmap Calc (Don’t Touch)'!$AA$2:$AX$151,$AI59,COLUMN()-COLUMN($J$16)+1)&gt;0,OR($D59="03. UX Discovery",$D59="04. UX Design")),IF(AND($H59&lt;&gt;"",$H59&lt;=EOMONTH(W$12,0),$I59&gt;=W$12),"UX+DEV","UX"),IF(AND($H59&lt;&gt;"",$H59&lt;=EOMONTH(W$12,0),$I59&gt;=W$12),"DEV",""))))</f>
      </c>
      <c r="X59" s="158" t="str">
        <f>IF($AI59="","",IF(AND($AN59&lt;&gt;"",$AN59&lt;=EOMONTH(X$12,0),$AO59&gt;=X$12),IF(AND(INDEX('Roadmap Calc (Don’t Touch)'!$AA$2:$AX$151,$AI59,COLUMN()-COLUMN($J$16)+1)&gt;0,OR($D59="03. UX Discovery",$D59="04. UX Design")),IF(AND($H59&lt;&gt;"",$H59&lt;=EOMONTH(X$12,0),$I59&gt;=X$12),"ALL","PD+UX"),IF(AND($H59&lt;&gt;"",$H59&lt;=EOMONTH(X$12,0),$I59&gt;=X$12),"PD+DEV","PD")),IF(AND(INDEX('Roadmap Calc (Don’t Touch)'!$AA$2:$AX$151,$AI59,COLUMN()-COLUMN($J$16)+1)&gt;0,OR($D59="03. UX Discovery",$D59="04. UX Design")),IF(AND($H59&lt;&gt;"",$H59&lt;=EOMONTH(X$12,0),$I59&gt;=X$12),"UX+DEV","UX"),IF(AND($H59&lt;&gt;"",$H59&lt;=EOMONTH(X$12,0),$I59&gt;=X$12),"DEV",""))))</f>
      </c>
      <c r="Y59" s="158" t="str">
        <f>IF($AI59="","",IF(AND($AN59&lt;&gt;"",$AN59&lt;=EOMONTH(Y$12,0),$AO59&gt;=Y$12),IF(AND(INDEX('Roadmap Calc (Don’t Touch)'!$AA$2:$AX$151,$AI59,COLUMN()-COLUMN($J$16)+1)&gt;0,OR($D59="03. UX Discovery",$D59="04. UX Design")),IF(AND($H59&lt;&gt;"",$H59&lt;=EOMONTH(Y$12,0),$I59&gt;=Y$12),"ALL","PD+UX"),IF(AND($H59&lt;&gt;"",$H59&lt;=EOMONTH(Y$12,0),$I59&gt;=Y$12),"PD+DEV","PD")),IF(AND(INDEX('Roadmap Calc (Don’t Touch)'!$AA$2:$AX$151,$AI59,COLUMN()-COLUMN($J$16)+1)&gt;0,OR($D59="03. UX Discovery",$D59="04. UX Design")),IF(AND($H59&lt;&gt;"",$H59&lt;=EOMONTH(Y$12,0),$I59&gt;=Y$12),"UX+DEV","UX"),IF(AND($H59&lt;&gt;"",$H59&lt;=EOMONTH(Y$12,0),$I59&gt;=Y$12),"DEV",""))))</f>
      </c>
      <c r="Z59" s="158" t="str">
        <f>IF($AI59="","",IF(AND($AN59&lt;&gt;"",$AN59&lt;=EOMONTH(Z$12,0),$AO59&gt;=Z$12),IF(AND(INDEX('Roadmap Calc (Don’t Touch)'!$AA$2:$AX$151,$AI59,COLUMN()-COLUMN($J$16)+1)&gt;0,OR($D59="03. UX Discovery",$D59="04. UX Design")),IF(AND($H59&lt;&gt;"",$H59&lt;=EOMONTH(Z$12,0),$I59&gt;=Z$12),"ALL","PD+UX"),IF(AND($H59&lt;&gt;"",$H59&lt;=EOMONTH(Z$12,0),$I59&gt;=Z$12),"PD+DEV","PD")),IF(AND(INDEX('Roadmap Calc (Don’t Touch)'!$AA$2:$AX$151,$AI59,COLUMN()-COLUMN($J$16)+1)&gt;0,OR($D59="03. UX Discovery",$D59="04. UX Design")),IF(AND($H59&lt;&gt;"",$H59&lt;=EOMONTH(Z$12,0),$I59&gt;=Z$12),"UX+DEV","UX"),IF(AND($H59&lt;&gt;"",$H59&lt;=EOMONTH(Z$12,0),$I59&gt;=Z$12),"DEV",""))))</f>
      </c>
      <c r="AA59" s="158" t="str">
        <f>IF($AI59="","",IF(AND($AN59&lt;&gt;"",$AN59&lt;=EOMONTH(AA$12,0),$AO59&gt;=AA$12),IF(AND(INDEX('Roadmap Calc (Don’t Touch)'!$AA$2:$AX$151,$AI59,COLUMN()-COLUMN($J$16)+1)&gt;0,OR($D59="03. UX Discovery",$D59="04. UX Design")),IF(AND($H59&lt;&gt;"",$H59&lt;=EOMONTH(AA$12,0),$I59&gt;=AA$12),"ALL","PD+UX"),IF(AND($H59&lt;&gt;"",$H59&lt;=EOMONTH(AA$12,0),$I59&gt;=AA$12),"PD+DEV","PD")),IF(AND(INDEX('Roadmap Calc (Don’t Touch)'!$AA$2:$AX$151,$AI59,COLUMN()-COLUMN($J$16)+1)&gt;0,OR($D59="03. UX Discovery",$D59="04. UX Design")),IF(AND($H59&lt;&gt;"",$H59&lt;=EOMONTH(AA$12,0),$I59&gt;=AA$12),"UX+DEV","UX"),IF(AND($H59&lt;&gt;"",$H59&lt;=EOMONTH(AA$12,0),$I59&gt;=AA$12),"DEV",""))))</f>
      </c>
      <c r="AB59" s="158" t="str">
        <f>IF($AI59="","",IF(AND($AN59&lt;&gt;"",$AN59&lt;=EOMONTH(AB$12,0),$AO59&gt;=AB$12),IF(AND(INDEX('Roadmap Calc (Don’t Touch)'!$AA$2:$AX$151,$AI59,COLUMN()-COLUMN($J$16)+1)&gt;0,OR($D59="03. UX Discovery",$D59="04. UX Design")),IF(AND($H59&lt;&gt;"",$H59&lt;=EOMONTH(AB$12,0),$I59&gt;=AB$12),"ALL","PD+UX"),IF(AND($H59&lt;&gt;"",$H59&lt;=EOMONTH(AB$12,0),$I59&gt;=AB$12),"PD+DEV","PD")),IF(AND(INDEX('Roadmap Calc (Don’t Touch)'!$AA$2:$AX$151,$AI59,COLUMN()-COLUMN($J$16)+1)&gt;0,OR($D59="03. UX Discovery",$D59="04. UX Design")),IF(AND($H59&lt;&gt;"",$H59&lt;=EOMONTH(AB$12,0),$I59&gt;=AB$12),"UX+DEV","UX"),IF(AND($H59&lt;&gt;"",$H59&lt;=EOMONTH(AB$12,0),$I59&gt;=AB$12),"DEV",""))))</f>
      </c>
      <c r="AC59" s="158" t="str">
        <f>IF($AI59="","",IF(AND($AN59&lt;&gt;"",$AN59&lt;=EOMONTH(AC$12,0),$AO59&gt;=AC$12),IF(AND(INDEX('Roadmap Calc (Don’t Touch)'!$AA$2:$AX$151,$AI59,COLUMN()-COLUMN($J$16)+1)&gt;0,OR($D59="03. UX Discovery",$D59="04. UX Design")),IF(AND($H59&lt;&gt;"",$H59&lt;=EOMONTH(AC$12,0),$I59&gt;=AC$12),"ALL","PD+UX"),IF(AND($H59&lt;&gt;"",$H59&lt;=EOMONTH(AC$12,0),$I59&gt;=AC$12),"PD+DEV","PD")),IF(AND(INDEX('Roadmap Calc (Don’t Touch)'!$AA$2:$AX$151,$AI59,COLUMN()-COLUMN($J$16)+1)&gt;0,OR($D59="03. UX Discovery",$D59="04. UX Design")),IF(AND($H59&lt;&gt;"",$H59&lt;=EOMONTH(AC$12,0),$I59&gt;=AC$12),"UX+DEV","UX"),IF(AND($H59&lt;&gt;"",$H59&lt;=EOMONTH(AC$12,0),$I59&gt;=AC$12),"DEV",""))))</f>
      </c>
      <c r="AD59" s="158" t="str">
        <f>IF($AI59="","",IF(AND($AN59&lt;&gt;"",$AN59&lt;=EOMONTH(AD$12,0),$AO59&gt;=AD$12),IF(AND(INDEX('Roadmap Calc (Don’t Touch)'!$AA$2:$AX$151,$AI59,COLUMN()-COLUMN($J$16)+1)&gt;0,OR($D59="03. UX Discovery",$D59="04. UX Design")),IF(AND($H59&lt;&gt;"",$H59&lt;=EOMONTH(AD$12,0),$I59&gt;=AD$12),"ALL","PD+UX"),IF(AND($H59&lt;&gt;"",$H59&lt;=EOMONTH(AD$12,0),$I59&gt;=AD$12),"PD+DEV","PD")),IF(AND(INDEX('Roadmap Calc (Don’t Touch)'!$AA$2:$AX$151,$AI59,COLUMN()-COLUMN($J$16)+1)&gt;0,OR($D59="03. UX Discovery",$D59="04. UX Design")),IF(AND($H59&lt;&gt;"",$H59&lt;=EOMONTH(AD$12,0),$I59&gt;=AD$12),"UX+DEV","UX"),IF(AND($H59&lt;&gt;"",$H59&lt;=EOMONTH(AD$12,0),$I59&gt;=AD$12),"DEV",""))))</f>
      </c>
      <c r="AE59" s="158" t="str">
        <f>IF($AI59="","",IF(AND($AN59&lt;&gt;"",$AN59&lt;=EOMONTH(AE$12,0),$AO59&gt;=AE$12),IF(AND(INDEX('Roadmap Calc (Don’t Touch)'!$AA$2:$AX$151,$AI59,COLUMN()-COLUMN($J$16)+1)&gt;0,OR($D59="03. UX Discovery",$D59="04. UX Design")),IF(AND($H59&lt;&gt;"",$H59&lt;=EOMONTH(AE$12,0),$I59&gt;=AE$12),"ALL","PD+UX"),IF(AND($H59&lt;&gt;"",$H59&lt;=EOMONTH(AE$12,0),$I59&gt;=AE$12),"PD+DEV","PD")),IF(AND(INDEX('Roadmap Calc (Don’t Touch)'!$AA$2:$AX$151,$AI59,COLUMN()-COLUMN($J$16)+1)&gt;0,OR($D59="03. UX Discovery",$D59="04. UX Design")),IF(AND($H59&lt;&gt;"",$H59&lt;=EOMONTH(AE$12,0),$I59&gt;=AE$12),"UX+DEV","UX"),IF(AND($H59&lt;&gt;"",$H59&lt;=EOMONTH(AE$12,0),$I59&gt;=AE$12),"DEV",""))))</f>
      </c>
      <c r="AF59" s="158" t="str">
        <f>IF($AI59="","",IF(AND($AN59&lt;&gt;"",$AN59&lt;=EOMONTH(AF$12,0),$AO59&gt;=AF$12),IF(AND(INDEX('Roadmap Calc (Don’t Touch)'!$AA$2:$AX$151,$AI59,COLUMN()-COLUMN($J$16)+1)&gt;0,OR($D59="03. UX Discovery",$D59="04. UX Design")),IF(AND($H59&lt;&gt;"",$H59&lt;=EOMONTH(AF$12,0),$I59&gt;=AF$12),"ALL","PD+UX"),IF(AND($H59&lt;&gt;"",$H59&lt;=EOMONTH(AF$12,0),$I59&gt;=AF$12),"PD+DEV","PD")),IF(AND(INDEX('Roadmap Calc (Don’t Touch)'!$AA$2:$AX$151,$AI59,COLUMN()-COLUMN($J$16)+1)&gt;0,OR($D59="03. UX Discovery",$D59="04. UX Design")),IF(AND($H59&lt;&gt;"",$H59&lt;=EOMONTH(AF$12,0),$I59&gt;=AF$12),"UX+DEV","UX"),IF(AND($H59&lt;&gt;"",$H59&lt;=EOMONTH(AF$12,0),$I59&gt;=AF$12),"DEV",""))))</f>
      </c>
      <c r="AG59" s="158" t="str">
        <f>IF($AI59="","",IF(AND($AN59&lt;&gt;"",$AN59&lt;=EOMONTH(AG$12,0),$AO59&gt;=AG$12),IF(AND(INDEX('Roadmap Calc (Don’t Touch)'!$AA$2:$AX$151,$AI59,COLUMN()-COLUMN($J$16)+1)&gt;0,OR($D59="03. UX Discovery",$D59="04. UX Design")),IF(AND($H59&lt;&gt;"",$H59&lt;=EOMONTH(AG$12,0),$I59&gt;=AG$12),"ALL","PD+UX"),IF(AND($H59&lt;&gt;"",$H59&lt;=EOMONTH(AG$12,0),$I59&gt;=AG$12),"PD+DEV","PD")),IF(AND(INDEX('Roadmap Calc (Don’t Touch)'!$AA$2:$AX$151,$AI59,COLUMN()-COLUMN($J$16)+1)&gt;0,OR($D59="03. UX Discovery",$D59="04. UX Design")),IF(AND($H59&lt;&gt;"",$H59&lt;=EOMONTH(AG$12,0),$I59&gt;=AG$12),"UX+DEV","UX"),IF(AND($H59&lt;&gt;"",$H59&lt;=EOMONTH(AG$12,0),$I59&gt;=AG$12),"DEV",""))))</f>
      </c>
      <c r="AH59" s="145" t="str">
        <f>IF($AI59="","",INDEX('Roadmap Calc (Don’t Touch)'!$D$2:$D$151,$AI59))</f>
        <v/>
      </c>
      <c r="AI59" s="145" t="str">
        <f>IFERROR(MATCH(44,'Roadmap Calc (Don’t Touch)'!$O$2:$O$151,0),"")</f>
        <v/>
      </c>
      <c r="AJ59" s="145"/>
      <c r="AK59" s="145"/>
      <c r="AL59" s="145"/>
      <c r="AM59" s="145"/>
      <c r="AN59">
        <f>IF($AI59="","",IF(ISNUMBER(INDEX('Roadmap Calc (Don’t Touch)'!$BB$2:$BB$151,$AI59)),INDEX('Roadmap Calc (Don’t Touch)'!$BB$2:$BB$151,$AI59),""))</f>
      </c>
      <c r="AO59">
        <f>IF($AI59="","",IF(ISNUMBER(INDEX('Roadmap Calc (Don’t Touch)'!$BC$2:$BC$151,$AI59)),INDEX('Roadmap Calc (Don’t Touch)'!$BC$2:$BC$151,$AI59),""))</f>
      </c>
    </row>
    <row r="60" spans="1:41" ht="20" customHeight="1" x14ac:dyDescent="0.25">
      <c r="A60" s="198" t="str">
        <f>IF($AI60="","",IF($AH60=$AH59,"",IF(INDEX('Roadmap Calc (Don’t Touch)'!$U$2:$U$151,$AI60)=0,$AH60,HYPERLINK("#'Control (Don’t Touch)'!E"&amp;INDEX('Roadmap Calc (Don’t Touch)'!$U$2:$U$151,$AI60),$AH60))))</f>
        <v/>
      </c>
      <c r="B60" s="159" t="str">
        <f>IF($AI60="","",IF(INDEX('Roadmap Calc (Don’t Touch)'!$K$2:$K$151,$AI60)="",INDEX('Roadmap Calc (Don’t Touch)'!$B$2:$B$151,$AI60),HYPERLINK("https://jira.bnh.com/browse/"&amp;INDEX('Roadmap Calc (Don’t Touch)'!$K$2:$K$151,$AI60),INDEX('Roadmap Calc (Don’t Touch)'!$B$2:$B$151,$AI60))))</f>
        <v/>
      </c>
      <c r="C60" s="159" t="str">
        <f>IF($AI60="","",IF(INDEX('Roadmap Calc (Don’t Touch)'!$E$2:$E$151,$AI60)="","",HYPERLINK("https://jira.bnh.com/browse/"&amp;INDEX('Roadmap Calc (Don’t Touch)'!$E$2:$E$151,$AI60),INDEX('Roadmap Calc (Don’t Touch)'!$E$2:$E$151,$AI60))))</f>
        <v/>
      </c>
      <c r="D60" s="161" t="str">
        <f>IF($AI60="","",INDEX('Roadmap Calc (Don’t Touch)'!$F$2:$F$151,$AI60))</f>
        <v/>
      </c>
      <c r="E60" s="155" t="str">
        <f>IF($AI60="","",IF(ISNUMBER(INDEX('Roadmap Calc (Don’t Touch)'!$G$2:$G$151,$AI60)),INDEX('Roadmap Calc (Don’t Touch)'!$G$2:$G$151,$AI60),""))</f>
        <v/>
      </c>
      <c r="F60" s="155" t="str">
        <f>IF($AI60="","",IF(ISNUMBER(INDEX('Roadmap Calc (Don’t Touch)'!$H$2:$H$151,$AI60)),INDEX('Roadmap Calc (Don’t Touch)'!$H$2:$H$151,$AI60),""))</f>
        <v/>
      </c>
      <c r="G60" s="156" t="str">
        <f>IF($AI60="","",INDEX('Roadmap Calc (Don’t Touch)'!$T$2:$T$151,$AI60))</f>
        <v/>
      </c>
      <c r="H60" s="157" t="str">
        <f>IF($AI60="","",IF(ISNUMBER(INDEX('Roadmap Calc (Don’t Touch)'!$I$2:$I$151,$AI60)),INDEX('Roadmap Calc (Don’t Touch)'!$I$2:$I$151,$AI60),""))</f>
        <v/>
      </c>
      <c r="I60" s="157" t="str">
        <f>IF($AI60="","",IF(ISNUMBER(INDEX('Roadmap Calc (Don’t Touch)'!$J$2:$J$151,$AI60)),INDEX('Roadmap Calc (Don’t Touch)'!$J$2:$J$151,$AI60),""))</f>
        <v/>
      </c>
      <c r="J60" s="158" t="str">
        <f>IF($AI60="","",IF(AND($AN60&lt;&gt;"",$AN60&lt;=EOMONTH(J$12,0),$AO60&gt;=J$12),IF(AND(INDEX('Roadmap Calc (Don’t Touch)'!$AA$2:$AX$151,$AI60,COLUMN()-COLUMN($J$16)+1)&gt;0,OR($D60="03. UX Discovery",$D60="04. UX Design")),IF(AND($H60&lt;&gt;"",$H60&lt;=EOMONTH(J$12,0),$I60&gt;=J$12),"ALL","PD+UX"),IF(AND($H60&lt;&gt;"",$H60&lt;=EOMONTH(J$12,0),$I60&gt;=J$12),"PD+DEV","PD")),IF(AND(INDEX('Roadmap Calc (Don’t Touch)'!$AA$2:$AX$151,$AI60,COLUMN()-COLUMN($J$16)+1)&gt;0,OR($D60="03. UX Discovery",$D60="04. UX Design")),IF(AND($H60&lt;&gt;"",$H60&lt;=EOMONTH(J$12,0),$I60&gt;=J$12),"UX+DEV","UX"),IF(AND($H60&lt;&gt;"",$H60&lt;=EOMONTH(J$12,0),$I60&gt;=J$12),"DEV",""))))</f>
      </c>
      <c r="K60" s="158" t="str">
        <f>IF($AI60="","",IF(AND($AN60&lt;&gt;"",$AN60&lt;=EOMONTH(K$12,0),$AO60&gt;=K$12),IF(AND(INDEX('Roadmap Calc (Don’t Touch)'!$AA$2:$AX$151,$AI60,COLUMN()-COLUMN($J$16)+1)&gt;0,OR($D60="03. UX Discovery",$D60="04. UX Design")),IF(AND($H60&lt;&gt;"",$H60&lt;=EOMONTH(K$12,0),$I60&gt;=K$12),"ALL","PD+UX"),IF(AND($H60&lt;&gt;"",$H60&lt;=EOMONTH(K$12,0),$I60&gt;=K$12),"PD+DEV","PD")),IF(AND(INDEX('Roadmap Calc (Don’t Touch)'!$AA$2:$AX$151,$AI60,COLUMN()-COLUMN($J$16)+1)&gt;0,OR($D60="03. UX Discovery",$D60="04. UX Design")),IF(AND($H60&lt;&gt;"",$H60&lt;=EOMONTH(K$12,0),$I60&gt;=K$12),"UX+DEV","UX"),IF(AND($H60&lt;&gt;"",$H60&lt;=EOMONTH(K$12,0),$I60&gt;=K$12),"DEV",""))))</f>
      </c>
      <c r="L60" s="158" t="str">
        <f>IF($AI60="","",IF(AND($AN60&lt;&gt;"",$AN60&lt;=EOMONTH(L$12,0),$AO60&gt;=L$12),IF(AND(INDEX('Roadmap Calc (Don’t Touch)'!$AA$2:$AX$151,$AI60,COLUMN()-COLUMN($J$16)+1)&gt;0,OR($D60="03. UX Discovery",$D60="04. UX Design")),IF(AND($H60&lt;&gt;"",$H60&lt;=EOMONTH(L$12,0),$I60&gt;=L$12),"ALL","PD+UX"),IF(AND($H60&lt;&gt;"",$H60&lt;=EOMONTH(L$12,0),$I60&gt;=L$12),"PD+DEV","PD")),IF(AND(INDEX('Roadmap Calc (Don’t Touch)'!$AA$2:$AX$151,$AI60,COLUMN()-COLUMN($J$16)+1)&gt;0,OR($D60="03. UX Discovery",$D60="04. UX Design")),IF(AND($H60&lt;&gt;"",$H60&lt;=EOMONTH(L$12,0),$I60&gt;=L$12),"UX+DEV","UX"),IF(AND($H60&lt;&gt;"",$H60&lt;=EOMONTH(L$12,0),$I60&gt;=L$12),"DEV",""))))</f>
      </c>
      <c r="M60" s="158" t="str">
        <f>IF($AI60="","",IF(AND($AN60&lt;&gt;"",$AN60&lt;=EOMONTH(M$12,0),$AO60&gt;=M$12),IF(AND(INDEX('Roadmap Calc (Don’t Touch)'!$AA$2:$AX$151,$AI60,COLUMN()-COLUMN($J$16)+1)&gt;0,OR($D60="03. UX Discovery",$D60="04. UX Design")),IF(AND($H60&lt;&gt;"",$H60&lt;=EOMONTH(M$12,0),$I60&gt;=M$12),"ALL","PD+UX"),IF(AND($H60&lt;&gt;"",$H60&lt;=EOMONTH(M$12,0),$I60&gt;=M$12),"PD+DEV","PD")),IF(AND(INDEX('Roadmap Calc (Don’t Touch)'!$AA$2:$AX$151,$AI60,COLUMN()-COLUMN($J$16)+1)&gt;0,OR($D60="03. UX Discovery",$D60="04. UX Design")),IF(AND($H60&lt;&gt;"",$H60&lt;=EOMONTH(M$12,0),$I60&gt;=M$12),"UX+DEV","UX"),IF(AND($H60&lt;&gt;"",$H60&lt;=EOMONTH(M$12,0),$I60&gt;=M$12),"DEV",""))))</f>
      </c>
      <c r="N60" s="158" t="str">
        <f>IF($AI60="","",IF(AND($AN60&lt;&gt;"",$AN60&lt;=EOMONTH(N$12,0),$AO60&gt;=N$12),IF(AND(INDEX('Roadmap Calc (Don’t Touch)'!$AA$2:$AX$151,$AI60,COLUMN()-COLUMN($J$16)+1)&gt;0,OR($D60="03. UX Discovery",$D60="04. UX Design")),IF(AND($H60&lt;&gt;"",$H60&lt;=EOMONTH(N$12,0),$I60&gt;=N$12),"ALL","PD+UX"),IF(AND($H60&lt;&gt;"",$H60&lt;=EOMONTH(N$12,0),$I60&gt;=N$12),"PD+DEV","PD")),IF(AND(INDEX('Roadmap Calc (Don’t Touch)'!$AA$2:$AX$151,$AI60,COLUMN()-COLUMN($J$16)+1)&gt;0,OR($D60="03. UX Discovery",$D60="04. UX Design")),IF(AND($H60&lt;&gt;"",$H60&lt;=EOMONTH(N$12,0),$I60&gt;=N$12),"UX+DEV","UX"),IF(AND($H60&lt;&gt;"",$H60&lt;=EOMONTH(N$12,0),$I60&gt;=N$12),"DEV",""))))</f>
      </c>
      <c r="O60" s="158" t="str">
        <f>IF($AI60="","",IF(AND($AN60&lt;&gt;"",$AN60&lt;=EOMONTH(O$12,0),$AO60&gt;=O$12),IF(AND(INDEX('Roadmap Calc (Don’t Touch)'!$AA$2:$AX$151,$AI60,COLUMN()-COLUMN($J$16)+1)&gt;0,OR($D60="03. UX Discovery",$D60="04. UX Design")),IF(AND($H60&lt;&gt;"",$H60&lt;=EOMONTH(O$12,0),$I60&gt;=O$12),"ALL","PD+UX"),IF(AND($H60&lt;&gt;"",$H60&lt;=EOMONTH(O$12,0),$I60&gt;=O$12),"PD+DEV","PD")),IF(AND(INDEX('Roadmap Calc (Don’t Touch)'!$AA$2:$AX$151,$AI60,COLUMN()-COLUMN($J$16)+1)&gt;0,OR($D60="03. UX Discovery",$D60="04. UX Design")),IF(AND($H60&lt;&gt;"",$H60&lt;=EOMONTH(O$12,0),$I60&gt;=O$12),"UX+DEV","UX"),IF(AND($H60&lt;&gt;"",$H60&lt;=EOMONTH(O$12,0),$I60&gt;=O$12),"DEV",""))))</f>
      </c>
      <c r="P60" s="158" t="str">
        <f>IF($AI60="","",IF(AND($AN60&lt;&gt;"",$AN60&lt;=EOMONTH(P$12,0),$AO60&gt;=P$12),IF(AND(INDEX('Roadmap Calc (Don’t Touch)'!$AA$2:$AX$151,$AI60,COLUMN()-COLUMN($J$16)+1)&gt;0,OR($D60="03. UX Discovery",$D60="04. UX Design")),IF(AND($H60&lt;&gt;"",$H60&lt;=EOMONTH(P$12,0),$I60&gt;=P$12),"ALL","PD+UX"),IF(AND($H60&lt;&gt;"",$H60&lt;=EOMONTH(P$12,0),$I60&gt;=P$12),"PD+DEV","PD")),IF(AND(INDEX('Roadmap Calc (Don’t Touch)'!$AA$2:$AX$151,$AI60,COLUMN()-COLUMN($J$16)+1)&gt;0,OR($D60="03. UX Discovery",$D60="04. UX Design")),IF(AND($H60&lt;&gt;"",$H60&lt;=EOMONTH(P$12,0),$I60&gt;=P$12),"UX+DEV","UX"),IF(AND($H60&lt;&gt;"",$H60&lt;=EOMONTH(P$12,0),$I60&gt;=P$12),"DEV",""))))</f>
      </c>
      <c r="Q60" s="158" t="str">
        <f>IF($AI60="","",IF(AND($AN60&lt;&gt;"",$AN60&lt;=EOMONTH(Q$12,0),$AO60&gt;=Q$12),IF(AND(INDEX('Roadmap Calc (Don’t Touch)'!$AA$2:$AX$151,$AI60,COLUMN()-COLUMN($J$16)+1)&gt;0,OR($D60="03. UX Discovery",$D60="04. UX Design")),IF(AND($H60&lt;&gt;"",$H60&lt;=EOMONTH(Q$12,0),$I60&gt;=Q$12),"ALL","PD+UX"),IF(AND($H60&lt;&gt;"",$H60&lt;=EOMONTH(Q$12,0),$I60&gt;=Q$12),"PD+DEV","PD")),IF(AND(INDEX('Roadmap Calc (Don’t Touch)'!$AA$2:$AX$151,$AI60,COLUMN()-COLUMN($J$16)+1)&gt;0,OR($D60="03. UX Discovery",$D60="04. UX Design")),IF(AND($H60&lt;&gt;"",$H60&lt;=EOMONTH(Q$12,0),$I60&gt;=Q$12),"UX+DEV","UX"),IF(AND($H60&lt;&gt;"",$H60&lt;=EOMONTH(Q$12,0),$I60&gt;=Q$12),"DEV",""))))</f>
      </c>
      <c r="R60" s="158" t="str">
        <f>IF($AI60="","",IF(AND($AN60&lt;&gt;"",$AN60&lt;=EOMONTH(R$12,0),$AO60&gt;=R$12),IF(AND(INDEX('Roadmap Calc (Don’t Touch)'!$AA$2:$AX$151,$AI60,COLUMN()-COLUMN($J$16)+1)&gt;0,OR($D60="03. UX Discovery",$D60="04. UX Design")),IF(AND($H60&lt;&gt;"",$H60&lt;=EOMONTH(R$12,0),$I60&gt;=R$12),"ALL","PD+UX"),IF(AND($H60&lt;&gt;"",$H60&lt;=EOMONTH(R$12,0),$I60&gt;=R$12),"PD+DEV","PD")),IF(AND(INDEX('Roadmap Calc (Don’t Touch)'!$AA$2:$AX$151,$AI60,COLUMN()-COLUMN($J$16)+1)&gt;0,OR($D60="03. UX Discovery",$D60="04. UX Design")),IF(AND($H60&lt;&gt;"",$H60&lt;=EOMONTH(R$12,0),$I60&gt;=R$12),"UX+DEV","UX"),IF(AND($H60&lt;&gt;"",$H60&lt;=EOMONTH(R$12,0),$I60&gt;=R$12),"DEV",""))))</f>
      </c>
      <c r="S60" s="158" t="str">
        <f>IF($AI60="","",IF(AND($AN60&lt;&gt;"",$AN60&lt;=EOMONTH(S$12,0),$AO60&gt;=S$12),IF(AND(INDEX('Roadmap Calc (Don’t Touch)'!$AA$2:$AX$151,$AI60,COLUMN()-COLUMN($J$16)+1)&gt;0,OR($D60="03. UX Discovery",$D60="04. UX Design")),IF(AND($H60&lt;&gt;"",$H60&lt;=EOMONTH(S$12,0),$I60&gt;=S$12),"ALL","PD+UX"),IF(AND($H60&lt;&gt;"",$H60&lt;=EOMONTH(S$12,0),$I60&gt;=S$12),"PD+DEV","PD")),IF(AND(INDEX('Roadmap Calc (Don’t Touch)'!$AA$2:$AX$151,$AI60,COLUMN()-COLUMN($J$16)+1)&gt;0,OR($D60="03. UX Discovery",$D60="04. UX Design")),IF(AND($H60&lt;&gt;"",$H60&lt;=EOMONTH(S$12,0),$I60&gt;=S$12),"UX+DEV","UX"),IF(AND($H60&lt;&gt;"",$H60&lt;=EOMONTH(S$12,0),$I60&gt;=S$12),"DEV",""))))</f>
      </c>
      <c r="T60" s="158" t="str">
        <f>IF($AI60="","",IF(AND($AN60&lt;&gt;"",$AN60&lt;=EOMONTH(T$12,0),$AO60&gt;=T$12),IF(AND(INDEX('Roadmap Calc (Don’t Touch)'!$AA$2:$AX$151,$AI60,COLUMN()-COLUMN($J$16)+1)&gt;0,OR($D60="03. UX Discovery",$D60="04. UX Design")),IF(AND($H60&lt;&gt;"",$H60&lt;=EOMONTH(T$12,0),$I60&gt;=T$12),"ALL","PD+UX"),IF(AND($H60&lt;&gt;"",$H60&lt;=EOMONTH(T$12,0),$I60&gt;=T$12),"PD+DEV","PD")),IF(AND(INDEX('Roadmap Calc (Don’t Touch)'!$AA$2:$AX$151,$AI60,COLUMN()-COLUMN($J$16)+1)&gt;0,OR($D60="03. UX Discovery",$D60="04. UX Design")),IF(AND($H60&lt;&gt;"",$H60&lt;=EOMONTH(T$12,0),$I60&gt;=T$12),"UX+DEV","UX"),IF(AND($H60&lt;&gt;"",$H60&lt;=EOMONTH(T$12,0),$I60&gt;=T$12),"DEV",""))))</f>
      </c>
      <c r="U60" s="158" t="str">
        <f>IF($AI60="","",IF(AND($AN60&lt;&gt;"",$AN60&lt;=EOMONTH(U$12,0),$AO60&gt;=U$12),IF(AND(INDEX('Roadmap Calc (Don’t Touch)'!$AA$2:$AX$151,$AI60,COLUMN()-COLUMN($J$16)+1)&gt;0,OR($D60="03. UX Discovery",$D60="04. UX Design")),IF(AND($H60&lt;&gt;"",$H60&lt;=EOMONTH(U$12,0),$I60&gt;=U$12),"ALL","PD+UX"),IF(AND($H60&lt;&gt;"",$H60&lt;=EOMONTH(U$12,0),$I60&gt;=U$12),"PD+DEV","PD")),IF(AND(INDEX('Roadmap Calc (Don’t Touch)'!$AA$2:$AX$151,$AI60,COLUMN()-COLUMN($J$16)+1)&gt;0,OR($D60="03. UX Discovery",$D60="04. UX Design")),IF(AND($H60&lt;&gt;"",$H60&lt;=EOMONTH(U$12,0),$I60&gt;=U$12),"UX+DEV","UX"),IF(AND($H60&lt;&gt;"",$H60&lt;=EOMONTH(U$12,0),$I60&gt;=U$12),"DEV",""))))</f>
      </c>
      <c r="V60" s="158" t="str">
        <f>IF($AI60="","",IF(AND($AN60&lt;&gt;"",$AN60&lt;=EOMONTH(V$12,0),$AO60&gt;=V$12),IF(AND(INDEX('Roadmap Calc (Don’t Touch)'!$AA$2:$AX$151,$AI60,COLUMN()-COLUMN($J$16)+1)&gt;0,OR($D60="03. UX Discovery",$D60="04. UX Design")),IF(AND($H60&lt;&gt;"",$H60&lt;=EOMONTH(V$12,0),$I60&gt;=V$12),"ALL","PD+UX"),IF(AND($H60&lt;&gt;"",$H60&lt;=EOMONTH(V$12,0),$I60&gt;=V$12),"PD+DEV","PD")),IF(AND(INDEX('Roadmap Calc (Don’t Touch)'!$AA$2:$AX$151,$AI60,COLUMN()-COLUMN($J$16)+1)&gt;0,OR($D60="03. UX Discovery",$D60="04. UX Design")),IF(AND($H60&lt;&gt;"",$H60&lt;=EOMONTH(V$12,0),$I60&gt;=V$12),"UX+DEV","UX"),IF(AND($H60&lt;&gt;"",$H60&lt;=EOMONTH(V$12,0),$I60&gt;=V$12),"DEV",""))))</f>
      </c>
      <c r="W60" s="158" t="str">
        <f>IF($AI60="","",IF(AND($AN60&lt;&gt;"",$AN60&lt;=EOMONTH(W$12,0),$AO60&gt;=W$12),IF(AND(INDEX('Roadmap Calc (Don’t Touch)'!$AA$2:$AX$151,$AI60,COLUMN()-COLUMN($J$16)+1)&gt;0,OR($D60="03. UX Discovery",$D60="04. UX Design")),IF(AND($H60&lt;&gt;"",$H60&lt;=EOMONTH(W$12,0),$I60&gt;=W$12),"ALL","PD+UX"),IF(AND($H60&lt;&gt;"",$H60&lt;=EOMONTH(W$12,0),$I60&gt;=W$12),"PD+DEV","PD")),IF(AND(INDEX('Roadmap Calc (Don’t Touch)'!$AA$2:$AX$151,$AI60,COLUMN()-COLUMN($J$16)+1)&gt;0,OR($D60="03. UX Discovery",$D60="04. UX Design")),IF(AND($H60&lt;&gt;"",$H60&lt;=EOMONTH(W$12,0),$I60&gt;=W$12),"UX+DEV","UX"),IF(AND($H60&lt;&gt;"",$H60&lt;=EOMONTH(W$12,0),$I60&gt;=W$12),"DEV",""))))</f>
      </c>
      <c r="X60" s="158" t="str">
        <f>IF($AI60="","",IF(AND($AN60&lt;&gt;"",$AN60&lt;=EOMONTH(X$12,0),$AO60&gt;=X$12),IF(AND(INDEX('Roadmap Calc (Don’t Touch)'!$AA$2:$AX$151,$AI60,COLUMN()-COLUMN($J$16)+1)&gt;0,OR($D60="03. UX Discovery",$D60="04. UX Design")),IF(AND($H60&lt;&gt;"",$H60&lt;=EOMONTH(X$12,0),$I60&gt;=X$12),"ALL","PD+UX"),IF(AND($H60&lt;&gt;"",$H60&lt;=EOMONTH(X$12,0),$I60&gt;=X$12),"PD+DEV","PD")),IF(AND(INDEX('Roadmap Calc (Don’t Touch)'!$AA$2:$AX$151,$AI60,COLUMN()-COLUMN($J$16)+1)&gt;0,OR($D60="03. UX Discovery",$D60="04. UX Design")),IF(AND($H60&lt;&gt;"",$H60&lt;=EOMONTH(X$12,0),$I60&gt;=X$12),"UX+DEV","UX"),IF(AND($H60&lt;&gt;"",$H60&lt;=EOMONTH(X$12,0),$I60&gt;=X$12),"DEV",""))))</f>
      </c>
      <c r="Y60" s="158" t="str">
        <f>IF($AI60="","",IF(AND($AN60&lt;&gt;"",$AN60&lt;=EOMONTH(Y$12,0),$AO60&gt;=Y$12),IF(AND(INDEX('Roadmap Calc (Don’t Touch)'!$AA$2:$AX$151,$AI60,COLUMN()-COLUMN($J$16)+1)&gt;0,OR($D60="03. UX Discovery",$D60="04. UX Design")),IF(AND($H60&lt;&gt;"",$H60&lt;=EOMONTH(Y$12,0),$I60&gt;=Y$12),"ALL","PD+UX"),IF(AND($H60&lt;&gt;"",$H60&lt;=EOMONTH(Y$12,0),$I60&gt;=Y$12),"PD+DEV","PD")),IF(AND(INDEX('Roadmap Calc (Don’t Touch)'!$AA$2:$AX$151,$AI60,COLUMN()-COLUMN($J$16)+1)&gt;0,OR($D60="03. UX Discovery",$D60="04. UX Design")),IF(AND($H60&lt;&gt;"",$H60&lt;=EOMONTH(Y$12,0),$I60&gt;=Y$12),"UX+DEV","UX"),IF(AND($H60&lt;&gt;"",$H60&lt;=EOMONTH(Y$12,0),$I60&gt;=Y$12),"DEV",""))))</f>
      </c>
      <c r="Z60" s="158" t="str">
        <f>IF($AI60="","",IF(AND($AN60&lt;&gt;"",$AN60&lt;=EOMONTH(Z$12,0),$AO60&gt;=Z$12),IF(AND(INDEX('Roadmap Calc (Don’t Touch)'!$AA$2:$AX$151,$AI60,COLUMN()-COLUMN($J$16)+1)&gt;0,OR($D60="03. UX Discovery",$D60="04. UX Design")),IF(AND($H60&lt;&gt;"",$H60&lt;=EOMONTH(Z$12,0),$I60&gt;=Z$12),"ALL","PD+UX"),IF(AND($H60&lt;&gt;"",$H60&lt;=EOMONTH(Z$12,0),$I60&gt;=Z$12),"PD+DEV","PD")),IF(AND(INDEX('Roadmap Calc (Don’t Touch)'!$AA$2:$AX$151,$AI60,COLUMN()-COLUMN($J$16)+1)&gt;0,OR($D60="03. UX Discovery",$D60="04. UX Design")),IF(AND($H60&lt;&gt;"",$H60&lt;=EOMONTH(Z$12,0),$I60&gt;=Z$12),"UX+DEV","UX"),IF(AND($H60&lt;&gt;"",$H60&lt;=EOMONTH(Z$12,0),$I60&gt;=Z$12),"DEV",""))))</f>
      </c>
      <c r="AA60" s="158" t="str">
        <f>IF($AI60="","",IF(AND($AN60&lt;&gt;"",$AN60&lt;=EOMONTH(AA$12,0),$AO60&gt;=AA$12),IF(AND(INDEX('Roadmap Calc (Don’t Touch)'!$AA$2:$AX$151,$AI60,COLUMN()-COLUMN($J$16)+1)&gt;0,OR($D60="03. UX Discovery",$D60="04. UX Design")),IF(AND($H60&lt;&gt;"",$H60&lt;=EOMONTH(AA$12,0),$I60&gt;=AA$12),"ALL","PD+UX"),IF(AND($H60&lt;&gt;"",$H60&lt;=EOMONTH(AA$12,0),$I60&gt;=AA$12),"PD+DEV","PD")),IF(AND(INDEX('Roadmap Calc (Don’t Touch)'!$AA$2:$AX$151,$AI60,COLUMN()-COLUMN($J$16)+1)&gt;0,OR($D60="03. UX Discovery",$D60="04. UX Design")),IF(AND($H60&lt;&gt;"",$H60&lt;=EOMONTH(AA$12,0),$I60&gt;=AA$12),"UX+DEV","UX"),IF(AND($H60&lt;&gt;"",$H60&lt;=EOMONTH(AA$12,0),$I60&gt;=AA$12),"DEV",""))))</f>
      </c>
      <c r="AB60" s="158" t="str">
        <f>IF($AI60="","",IF(AND($AN60&lt;&gt;"",$AN60&lt;=EOMONTH(AB$12,0),$AO60&gt;=AB$12),IF(AND(INDEX('Roadmap Calc (Don’t Touch)'!$AA$2:$AX$151,$AI60,COLUMN()-COLUMN($J$16)+1)&gt;0,OR($D60="03. UX Discovery",$D60="04. UX Design")),IF(AND($H60&lt;&gt;"",$H60&lt;=EOMONTH(AB$12,0),$I60&gt;=AB$12),"ALL","PD+UX"),IF(AND($H60&lt;&gt;"",$H60&lt;=EOMONTH(AB$12,0),$I60&gt;=AB$12),"PD+DEV","PD")),IF(AND(INDEX('Roadmap Calc (Don’t Touch)'!$AA$2:$AX$151,$AI60,COLUMN()-COLUMN($J$16)+1)&gt;0,OR($D60="03. UX Discovery",$D60="04. UX Design")),IF(AND($H60&lt;&gt;"",$H60&lt;=EOMONTH(AB$12,0),$I60&gt;=AB$12),"UX+DEV","UX"),IF(AND($H60&lt;&gt;"",$H60&lt;=EOMONTH(AB$12,0),$I60&gt;=AB$12),"DEV",""))))</f>
      </c>
      <c r="AC60" s="158" t="str">
        <f>IF($AI60="","",IF(AND($AN60&lt;&gt;"",$AN60&lt;=EOMONTH(AC$12,0),$AO60&gt;=AC$12),IF(AND(INDEX('Roadmap Calc (Don’t Touch)'!$AA$2:$AX$151,$AI60,COLUMN()-COLUMN($J$16)+1)&gt;0,OR($D60="03. UX Discovery",$D60="04. UX Design")),IF(AND($H60&lt;&gt;"",$H60&lt;=EOMONTH(AC$12,0),$I60&gt;=AC$12),"ALL","PD+UX"),IF(AND($H60&lt;&gt;"",$H60&lt;=EOMONTH(AC$12,0),$I60&gt;=AC$12),"PD+DEV","PD")),IF(AND(INDEX('Roadmap Calc (Don’t Touch)'!$AA$2:$AX$151,$AI60,COLUMN()-COLUMN($J$16)+1)&gt;0,OR($D60="03. UX Discovery",$D60="04. UX Design")),IF(AND($H60&lt;&gt;"",$H60&lt;=EOMONTH(AC$12,0),$I60&gt;=AC$12),"UX+DEV","UX"),IF(AND($H60&lt;&gt;"",$H60&lt;=EOMONTH(AC$12,0),$I60&gt;=AC$12),"DEV",""))))</f>
      </c>
      <c r="AD60" s="158" t="str">
        <f>IF($AI60="","",IF(AND($AN60&lt;&gt;"",$AN60&lt;=EOMONTH(AD$12,0),$AO60&gt;=AD$12),IF(AND(INDEX('Roadmap Calc (Don’t Touch)'!$AA$2:$AX$151,$AI60,COLUMN()-COLUMN($J$16)+1)&gt;0,OR($D60="03. UX Discovery",$D60="04. UX Design")),IF(AND($H60&lt;&gt;"",$H60&lt;=EOMONTH(AD$12,0),$I60&gt;=AD$12),"ALL","PD+UX"),IF(AND($H60&lt;&gt;"",$H60&lt;=EOMONTH(AD$12,0),$I60&gt;=AD$12),"PD+DEV","PD")),IF(AND(INDEX('Roadmap Calc (Don’t Touch)'!$AA$2:$AX$151,$AI60,COLUMN()-COLUMN($J$16)+1)&gt;0,OR($D60="03. UX Discovery",$D60="04. UX Design")),IF(AND($H60&lt;&gt;"",$H60&lt;=EOMONTH(AD$12,0),$I60&gt;=AD$12),"UX+DEV","UX"),IF(AND($H60&lt;&gt;"",$H60&lt;=EOMONTH(AD$12,0),$I60&gt;=AD$12),"DEV",""))))</f>
      </c>
      <c r="AE60" s="158" t="str">
        <f>IF($AI60="","",IF(AND($AN60&lt;&gt;"",$AN60&lt;=EOMONTH(AE$12,0),$AO60&gt;=AE$12),IF(AND(INDEX('Roadmap Calc (Don’t Touch)'!$AA$2:$AX$151,$AI60,COLUMN()-COLUMN($J$16)+1)&gt;0,OR($D60="03. UX Discovery",$D60="04. UX Design")),IF(AND($H60&lt;&gt;"",$H60&lt;=EOMONTH(AE$12,0),$I60&gt;=AE$12),"ALL","PD+UX"),IF(AND($H60&lt;&gt;"",$H60&lt;=EOMONTH(AE$12,0),$I60&gt;=AE$12),"PD+DEV","PD")),IF(AND(INDEX('Roadmap Calc (Don’t Touch)'!$AA$2:$AX$151,$AI60,COLUMN()-COLUMN($J$16)+1)&gt;0,OR($D60="03. UX Discovery",$D60="04. UX Design")),IF(AND($H60&lt;&gt;"",$H60&lt;=EOMONTH(AE$12,0),$I60&gt;=AE$12),"UX+DEV","UX"),IF(AND($H60&lt;&gt;"",$H60&lt;=EOMONTH(AE$12,0),$I60&gt;=AE$12),"DEV",""))))</f>
      </c>
      <c r="AF60" s="158" t="str">
        <f>IF($AI60="","",IF(AND($AN60&lt;&gt;"",$AN60&lt;=EOMONTH(AF$12,0),$AO60&gt;=AF$12),IF(AND(INDEX('Roadmap Calc (Don’t Touch)'!$AA$2:$AX$151,$AI60,COLUMN()-COLUMN($J$16)+1)&gt;0,OR($D60="03. UX Discovery",$D60="04. UX Design")),IF(AND($H60&lt;&gt;"",$H60&lt;=EOMONTH(AF$12,0),$I60&gt;=AF$12),"ALL","PD+UX"),IF(AND($H60&lt;&gt;"",$H60&lt;=EOMONTH(AF$12,0),$I60&gt;=AF$12),"PD+DEV","PD")),IF(AND(INDEX('Roadmap Calc (Don’t Touch)'!$AA$2:$AX$151,$AI60,COLUMN()-COLUMN($J$16)+1)&gt;0,OR($D60="03. UX Discovery",$D60="04. UX Design")),IF(AND($H60&lt;&gt;"",$H60&lt;=EOMONTH(AF$12,0),$I60&gt;=AF$12),"UX+DEV","UX"),IF(AND($H60&lt;&gt;"",$H60&lt;=EOMONTH(AF$12,0),$I60&gt;=AF$12),"DEV",""))))</f>
      </c>
      <c r="AG60" s="158" t="str">
        <f>IF($AI60="","",IF(AND($AN60&lt;&gt;"",$AN60&lt;=EOMONTH(AG$12,0),$AO60&gt;=AG$12),IF(AND(INDEX('Roadmap Calc (Don’t Touch)'!$AA$2:$AX$151,$AI60,COLUMN()-COLUMN($J$16)+1)&gt;0,OR($D60="03. UX Discovery",$D60="04. UX Design")),IF(AND($H60&lt;&gt;"",$H60&lt;=EOMONTH(AG$12,0),$I60&gt;=AG$12),"ALL","PD+UX"),IF(AND($H60&lt;&gt;"",$H60&lt;=EOMONTH(AG$12,0),$I60&gt;=AG$12),"PD+DEV","PD")),IF(AND(INDEX('Roadmap Calc (Don’t Touch)'!$AA$2:$AX$151,$AI60,COLUMN()-COLUMN($J$16)+1)&gt;0,OR($D60="03. UX Discovery",$D60="04. UX Design")),IF(AND($H60&lt;&gt;"",$H60&lt;=EOMONTH(AG$12,0),$I60&gt;=AG$12),"UX+DEV","UX"),IF(AND($H60&lt;&gt;"",$H60&lt;=EOMONTH(AG$12,0),$I60&gt;=AG$12),"DEV",""))))</f>
      </c>
      <c r="AH60" s="145" t="str">
        <f>IF($AI60="","",INDEX('Roadmap Calc (Don’t Touch)'!$D$2:$D$151,$AI60))</f>
        <v/>
      </c>
      <c r="AI60" s="145" t="str">
        <f>IFERROR(MATCH(45,'Roadmap Calc (Don’t Touch)'!$O$2:$O$151,0),"")</f>
        <v/>
      </c>
      <c r="AJ60" s="145"/>
      <c r="AK60" s="145"/>
      <c r="AL60" s="145"/>
      <c r="AM60" s="145"/>
      <c r="AN60">
        <f>IF($AI60="","",IF(ISNUMBER(INDEX('Roadmap Calc (Don’t Touch)'!$BB$2:$BB$151,$AI60)),INDEX('Roadmap Calc (Don’t Touch)'!$BB$2:$BB$151,$AI60),""))</f>
      </c>
      <c r="AO60">
        <f>IF($AI60="","",IF(ISNUMBER(INDEX('Roadmap Calc (Don’t Touch)'!$BC$2:$BC$151,$AI60)),INDEX('Roadmap Calc (Don’t Touch)'!$BC$2:$BC$151,$AI60),""))</f>
      </c>
    </row>
    <row r="61" spans="1:41" ht="17" customHeight="1" x14ac:dyDescent="0.25">
      <c r="A61" s="198" t="str">
        <f>IF($AI61="","",IF($AH61=$AH60,"",IF(INDEX('Roadmap Calc (Don’t Touch)'!$U$2:$U$151,$AI61)=0,$AH61,HYPERLINK("#'Control (Don’t Touch)'!E"&amp;INDEX('Roadmap Calc (Don’t Touch)'!$U$2:$U$151,$AI61),$AH61))))</f>
        <v/>
      </c>
      <c r="B61" s="159" t="str">
        <f>IF($AI61="","",IF(INDEX('Roadmap Calc (Don’t Touch)'!$K$2:$K$151,$AI61)="",INDEX('Roadmap Calc (Don’t Touch)'!$B$2:$B$151,$AI61),HYPERLINK("https://jira.bnh.com/browse/"&amp;INDEX('Roadmap Calc (Don’t Touch)'!$K$2:$K$151,$AI61),INDEX('Roadmap Calc (Don’t Touch)'!$B$2:$B$151,$AI61))))</f>
        <v/>
      </c>
      <c r="C61" s="159" t="str">
        <f>IF($AI61="","",IF(INDEX('Roadmap Calc (Don’t Touch)'!$E$2:$E$151,$AI61)="","",HYPERLINK("https://jira.bnh.com/browse/"&amp;INDEX('Roadmap Calc (Don’t Touch)'!$E$2:$E$151,$AI61),INDEX('Roadmap Calc (Don’t Touch)'!$E$2:$E$151,$AI61))))</f>
        <v/>
      </c>
      <c r="D61" s="160" t="str">
        <f>IF($AI61="","",INDEX('Roadmap Calc (Don’t Touch)'!$F$2:$F$151,$AI61))</f>
        <v/>
      </c>
      <c r="E61" s="155" t="str">
        <f>IF($AI61="","",IF(ISNUMBER(INDEX('Roadmap Calc (Don’t Touch)'!$G$2:$G$151,$AI61)),INDEX('Roadmap Calc (Don’t Touch)'!$G$2:$G$151,$AI61),""))</f>
        <v/>
      </c>
      <c r="F61" s="155" t="str">
        <f>IF($AI61="","",IF(ISNUMBER(INDEX('Roadmap Calc (Don’t Touch)'!$H$2:$H$151,$AI61)),INDEX('Roadmap Calc (Don’t Touch)'!$H$2:$H$151,$AI61),""))</f>
        <v/>
      </c>
      <c r="G61" s="156" t="str">
        <f>IF($AI61="","",INDEX('Roadmap Calc (Don’t Touch)'!$T$2:$T$151,$AI61))</f>
        <v/>
      </c>
      <c r="H61" s="157" t="str">
        <f>IF($AI61="","",IF(ISNUMBER(INDEX('Roadmap Calc (Don’t Touch)'!$I$2:$I$151,$AI61)),INDEX('Roadmap Calc (Don’t Touch)'!$I$2:$I$151,$AI61),""))</f>
        <v/>
      </c>
      <c r="I61" s="157" t="str">
        <f>IF($AI61="","",IF(ISNUMBER(INDEX('Roadmap Calc (Don’t Touch)'!$J$2:$J$151,$AI61)),INDEX('Roadmap Calc (Don’t Touch)'!$J$2:$J$151,$AI61),""))</f>
        <v/>
      </c>
      <c r="J61" s="158" t="str">
        <f>IF($AI61="","",IF(AND($AN61&lt;&gt;"",$AN61&lt;=EOMONTH(J$12,0),$AO61&gt;=J$12),IF(AND(INDEX('Roadmap Calc (Don’t Touch)'!$AA$2:$AX$151,$AI61,COLUMN()-COLUMN($J$16)+1)&gt;0,OR($D61="03. UX Discovery",$D61="04. UX Design")),IF(AND($H61&lt;&gt;"",$H61&lt;=EOMONTH(J$12,0),$I61&gt;=J$12),"ALL","PD+UX"),IF(AND($H61&lt;&gt;"",$H61&lt;=EOMONTH(J$12,0),$I61&gt;=J$12),"PD+DEV","PD")),IF(AND(INDEX('Roadmap Calc (Don’t Touch)'!$AA$2:$AX$151,$AI61,COLUMN()-COLUMN($J$16)+1)&gt;0,OR($D61="03. UX Discovery",$D61="04. UX Design")),IF(AND($H61&lt;&gt;"",$H61&lt;=EOMONTH(J$12,0),$I61&gt;=J$12),"UX+DEV","UX"),IF(AND($H61&lt;&gt;"",$H61&lt;=EOMONTH(J$12,0),$I61&gt;=J$12),"DEV",""))))</f>
      </c>
      <c r="K61" s="158" t="str">
        <f>IF($AI61="","",IF(AND($AN61&lt;&gt;"",$AN61&lt;=EOMONTH(K$12,0),$AO61&gt;=K$12),IF(AND(INDEX('Roadmap Calc (Don’t Touch)'!$AA$2:$AX$151,$AI61,COLUMN()-COLUMN($J$16)+1)&gt;0,OR($D61="03. UX Discovery",$D61="04. UX Design")),IF(AND($H61&lt;&gt;"",$H61&lt;=EOMONTH(K$12,0),$I61&gt;=K$12),"ALL","PD+UX"),IF(AND($H61&lt;&gt;"",$H61&lt;=EOMONTH(K$12,0),$I61&gt;=K$12),"PD+DEV","PD")),IF(AND(INDEX('Roadmap Calc (Don’t Touch)'!$AA$2:$AX$151,$AI61,COLUMN()-COLUMN($J$16)+1)&gt;0,OR($D61="03. UX Discovery",$D61="04. UX Design")),IF(AND($H61&lt;&gt;"",$H61&lt;=EOMONTH(K$12,0),$I61&gt;=K$12),"UX+DEV","UX"),IF(AND($H61&lt;&gt;"",$H61&lt;=EOMONTH(K$12,0),$I61&gt;=K$12),"DEV",""))))</f>
      </c>
      <c r="L61" s="158" t="str">
        <f>IF($AI61="","",IF(AND($AN61&lt;&gt;"",$AN61&lt;=EOMONTH(L$12,0),$AO61&gt;=L$12),IF(AND(INDEX('Roadmap Calc (Don’t Touch)'!$AA$2:$AX$151,$AI61,COLUMN()-COLUMN($J$16)+1)&gt;0,OR($D61="03. UX Discovery",$D61="04. UX Design")),IF(AND($H61&lt;&gt;"",$H61&lt;=EOMONTH(L$12,0),$I61&gt;=L$12),"ALL","PD+UX"),IF(AND($H61&lt;&gt;"",$H61&lt;=EOMONTH(L$12,0),$I61&gt;=L$12),"PD+DEV","PD")),IF(AND(INDEX('Roadmap Calc (Don’t Touch)'!$AA$2:$AX$151,$AI61,COLUMN()-COLUMN($J$16)+1)&gt;0,OR($D61="03. UX Discovery",$D61="04. UX Design")),IF(AND($H61&lt;&gt;"",$H61&lt;=EOMONTH(L$12,0),$I61&gt;=L$12),"UX+DEV","UX"),IF(AND($H61&lt;&gt;"",$H61&lt;=EOMONTH(L$12,0),$I61&gt;=L$12),"DEV",""))))</f>
      </c>
      <c r="M61" s="158" t="str">
        <f>IF($AI61="","",IF(AND($AN61&lt;&gt;"",$AN61&lt;=EOMONTH(M$12,0),$AO61&gt;=M$12),IF(AND(INDEX('Roadmap Calc (Don’t Touch)'!$AA$2:$AX$151,$AI61,COLUMN()-COLUMN($J$16)+1)&gt;0,OR($D61="03. UX Discovery",$D61="04. UX Design")),IF(AND($H61&lt;&gt;"",$H61&lt;=EOMONTH(M$12,0),$I61&gt;=M$12),"ALL","PD+UX"),IF(AND($H61&lt;&gt;"",$H61&lt;=EOMONTH(M$12,0),$I61&gt;=M$12),"PD+DEV","PD")),IF(AND(INDEX('Roadmap Calc (Don’t Touch)'!$AA$2:$AX$151,$AI61,COLUMN()-COLUMN($J$16)+1)&gt;0,OR($D61="03. UX Discovery",$D61="04. UX Design")),IF(AND($H61&lt;&gt;"",$H61&lt;=EOMONTH(M$12,0),$I61&gt;=M$12),"UX+DEV","UX"),IF(AND($H61&lt;&gt;"",$H61&lt;=EOMONTH(M$12,0),$I61&gt;=M$12),"DEV",""))))</f>
      </c>
      <c r="N61" s="158" t="str">
        <f>IF($AI61="","",IF(AND($AN61&lt;&gt;"",$AN61&lt;=EOMONTH(N$12,0),$AO61&gt;=N$12),IF(AND(INDEX('Roadmap Calc (Don’t Touch)'!$AA$2:$AX$151,$AI61,COLUMN()-COLUMN($J$16)+1)&gt;0,OR($D61="03. UX Discovery",$D61="04. UX Design")),IF(AND($H61&lt;&gt;"",$H61&lt;=EOMONTH(N$12,0),$I61&gt;=N$12),"ALL","PD+UX"),IF(AND($H61&lt;&gt;"",$H61&lt;=EOMONTH(N$12,0),$I61&gt;=N$12),"PD+DEV","PD")),IF(AND(INDEX('Roadmap Calc (Don’t Touch)'!$AA$2:$AX$151,$AI61,COLUMN()-COLUMN($J$16)+1)&gt;0,OR($D61="03. UX Discovery",$D61="04. UX Design")),IF(AND($H61&lt;&gt;"",$H61&lt;=EOMONTH(N$12,0),$I61&gt;=N$12),"UX+DEV","UX"),IF(AND($H61&lt;&gt;"",$H61&lt;=EOMONTH(N$12,0),$I61&gt;=N$12),"DEV",""))))</f>
      </c>
      <c r="O61" s="158" t="str">
        <f>IF($AI61="","",IF(AND($AN61&lt;&gt;"",$AN61&lt;=EOMONTH(O$12,0),$AO61&gt;=O$12),IF(AND(INDEX('Roadmap Calc (Don’t Touch)'!$AA$2:$AX$151,$AI61,COLUMN()-COLUMN($J$16)+1)&gt;0,OR($D61="03. UX Discovery",$D61="04. UX Design")),IF(AND($H61&lt;&gt;"",$H61&lt;=EOMONTH(O$12,0),$I61&gt;=O$12),"ALL","PD+UX"),IF(AND($H61&lt;&gt;"",$H61&lt;=EOMONTH(O$12,0),$I61&gt;=O$12),"PD+DEV","PD")),IF(AND(INDEX('Roadmap Calc (Don’t Touch)'!$AA$2:$AX$151,$AI61,COLUMN()-COLUMN($J$16)+1)&gt;0,OR($D61="03. UX Discovery",$D61="04. UX Design")),IF(AND($H61&lt;&gt;"",$H61&lt;=EOMONTH(O$12,0),$I61&gt;=O$12),"UX+DEV","UX"),IF(AND($H61&lt;&gt;"",$H61&lt;=EOMONTH(O$12,0),$I61&gt;=O$12),"DEV",""))))</f>
      </c>
      <c r="P61" s="158" t="str">
        <f>IF($AI61="","",IF(AND($AN61&lt;&gt;"",$AN61&lt;=EOMONTH(P$12,0),$AO61&gt;=P$12),IF(AND(INDEX('Roadmap Calc (Don’t Touch)'!$AA$2:$AX$151,$AI61,COLUMN()-COLUMN($J$16)+1)&gt;0,OR($D61="03. UX Discovery",$D61="04. UX Design")),IF(AND($H61&lt;&gt;"",$H61&lt;=EOMONTH(P$12,0),$I61&gt;=P$12),"ALL","PD+UX"),IF(AND($H61&lt;&gt;"",$H61&lt;=EOMONTH(P$12,0),$I61&gt;=P$12),"PD+DEV","PD")),IF(AND(INDEX('Roadmap Calc (Don’t Touch)'!$AA$2:$AX$151,$AI61,COLUMN()-COLUMN($J$16)+1)&gt;0,OR($D61="03. UX Discovery",$D61="04. UX Design")),IF(AND($H61&lt;&gt;"",$H61&lt;=EOMONTH(P$12,0),$I61&gt;=P$12),"UX+DEV","UX"),IF(AND($H61&lt;&gt;"",$H61&lt;=EOMONTH(P$12,0),$I61&gt;=P$12),"DEV",""))))</f>
      </c>
      <c r="Q61" s="158" t="str">
        <f>IF($AI61="","",IF(AND($AN61&lt;&gt;"",$AN61&lt;=EOMONTH(Q$12,0),$AO61&gt;=Q$12),IF(AND(INDEX('Roadmap Calc (Don’t Touch)'!$AA$2:$AX$151,$AI61,COLUMN()-COLUMN($J$16)+1)&gt;0,OR($D61="03. UX Discovery",$D61="04. UX Design")),IF(AND($H61&lt;&gt;"",$H61&lt;=EOMONTH(Q$12,0),$I61&gt;=Q$12),"ALL","PD+UX"),IF(AND($H61&lt;&gt;"",$H61&lt;=EOMONTH(Q$12,0),$I61&gt;=Q$12),"PD+DEV","PD")),IF(AND(INDEX('Roadmap Calc (Don’t Touch)'!$AA$2:$AX$151,$AI61,COLUMN()-COLUMN($J$16)+1)&gt;0,OR($D61="03. UX Discovery",$D61="04. UX Design")),IF(AND($H61&lt;&gt;"",$H61&lt;=EOMONTH(Q$12,0),$I61&gt;=Q$12),"UX+DEV","UX"),IF(AND($H61&lt;&gt;"",$H61&lt;=EOMONTH(Q$12,0),$I61&gt;=Q$12),"DEV",""))))</f>
      </c>
      <c r="R61" s="158" t="str">
        <f>IF($AI61="","",IF(AND($AN61&lt;&gt;"",$AN61&lt;=EOMONTH(R$12,0),$AO61&gt;=R$12),IF(AND(INDEX('Roadmap Calc (Don’t Touch)'!$AA$2:$AX$151,$AI61,COLUMN()-COLUMN($J$16)+1)&gt;0,OR($D61="03. UX Discovery",$D61="04. UX Design")),IF(AND($H61&lt;&gt;"",$H61&lt;=EOMONTH(R$12,0),$I61&gt;=R$12),"ALL","PD+UX"),IF(AND($H61&lt;&gt;"",$H61&lt;=EOMONTH(R$12,0),$I61&gt;=R$12),"PD+DEV","PD")),IF(AND(INDEX('Roadmap Calc (Don’t Touch)'!$AA$2:$AX$151,$AI61,COLUMN()-COLUMN($J$16)+1)&gt;0,OR($D61="03. UX Discovery",$D61="04. UX Design")),IF(AND($H61&lt;&gt;"",$H61&lt;=EOMONTH(R$12,0),$I61&gt;=R$12),"UX+DEV","UX"),IF(AND($H61&lt;&gt;"",$H61&lt;=EOMONTH(R$12,0),$I61&gt;=R$12),"DEV",""))))</f>
      </c>
      <c r="S61" s="158" t="str">
        <f>IF($AI61="","",IF(AND($AN61&lt;&gt;"",$AN61&lt;=EOMONTH(S$12,0),$AO61&gt;=S$12),IF(AND(INDEX('Roadmap Calc (Don’t Touch)'!$AA$2:$AX$151,$AI61,COLUMN()-COLUMN($J$16)+1)&gt;0,OR($D61="03. UX Discovery",$D61="04. UX Design")),IF(AND($H61&lt;&gt;"",$H61&lt;=EOMONTH(S$12,0),$I61&gt;=S$12),"ALL","PD+UX"),IF(AND($H61&lt;&gt;"",$H61&lt;=EOMONTH(S$12,0),$I61&gt;=S$12),"PD+DEV","PD")),IF(AND(INDEX('Roadmap Calc (Don’t Touch)'!$AA$2:$AX$151,$AI61,COLUMN()-COLUMN($J$16)+1)&gt;0,OR($D61="03. UX Discovery",$D61="04. UX Design")),IF(AND($H61&lt;&gt;"",$H61&lt;=EOMONTH(S$12,0),$I61&gt;=S$12),"UX+DEV","UX"),IF(AND($H61&lt;&gt;"",$H61&lt;=EOMONTH(S$12,0),$I61&gt;=S$12),"DEV",""))))</f>
      </c>
      <c r="T61" s="158" t="str">
        <f>IF($AI61="","",IF(AND($AN61&lt;&gt;"",$AN61&lt;=EOMONTH(T$12,0),$AO61&gt;=T$12),IF(AND(INDEX('Roadmap Calc (Don’t Touch)'!$AA$2:$AX$151,$AI61,COLUMN()-COLUMN($J$16)+1)&gt;0,OR($D61="03. UX Discovery",$D61="04. UX Design")),IF(AND($H61&lt;&gt;"",$H61&lt;=EOMONTH(T$12,0),$I61&gt;=T$12),"ALL","PD+UX"),IF(AND($H61&lt;&gt;"",$H61&lt;=EOMONTH(T$12,0),$I61&gt;=T$12),"PD+DEV","PD")),IF(AND(INDEX('Roadmap Calc (Don’t Touch)'!$AA$2:$AX$151,$AI61,COLUMN()-COLUMN($J$16)+1)&gt;0,OR($D61="03. UX Discovery",$D61="04. UX Design")),IF(AND($H61&lt;&gt;"",$H61&lt;=EOMONTH(T$12,0),$I61&gt;=T$12),"UX+DEV","UX"),IF(AND($H61&lt;&gt;"",$H61&lt;=EOMONTH(T$12,0),$I61&gt;=T$12),"DEV",""))))</f>
      </c>
      <c r="U61" s="158" t="str">
        <f>IF($AI61="","",IF(AND($AN61&lt;&gt;"",$AN61&lt;=EOMONTH(U$12,0),$AO61&gt;=U$12),IF(AND(INDEX('Roadmap Calc (Don’t Touch)'!$AA$2:$AX$151,$AI61,COLUMN()-COLUMN($J$16)+1)&gt;0,OR($D61="03. UX Discovery",$D61="04. UX Design")),IF(AND($H61&lt;&gt;"",$H61&lt;=EOMONTH(U$12,0),$I61&gt;=U$12),"ALL","PD+UX"),IF(AND($H61&lt;&gt;"",$H61&lt;=EOMONTH(U$12,0),$I61&gt;=U$12),"PD+DEV","PD")),IF(AND(INDEX('Roadmap Calc (Don’t Touch)'!$AA$2:$AX$151,$AI61,COLUMN()-COLUMN($J$16)+1)&gt;0,OR($D61="03. UX Discovery",$D61="04. UX Design")),IF(AND($H61&lt;&gt;"",$H61&lt;=EOMONTH(U$12,0),$I61&gt;=U$12),"UX+DEV","UX"),IF(AND($H61&lt;&gt;"",$H61&lt;=EOMONTH(U$12,0),$I61&gt;=U$12),"DEV",""))))</f>
      </c>
      <c r="V61" s="158" t="str">
        <f>IF($AI61="","",IF(AND($AN61&lt;&gt;"",$AN61&lt;=EOMONTH(V$12,0),$AO61&gt;=V$12),IF(AND(INDEX('Roadmap Calc (Don’t Touch)'!$AA$2:$AX$151,$AI61,COLUMN()-COLUMN($J$16)+1)&gt;0,OR($D61="03. UX Discovery",$D61="04. UX Design")),IF(AND($H61&lt;&gt;"",$H61&lt;=EOMONTH(V$12,0),$I61&gt;=V$12),"ALL","PD+UX"),IF(AND($H61&lt;&gt;"",$H61&lt;=EOMONTH(V$12,0),$I61&gt;=V$12),"PD+DEV","PD")),IF(AND(INDEX('Roadmap Calc (Don’t Touch)'!$AA$2:$AX$151,$AI61,COLUMN()-COLUMN($J$16)+1)&gt;0,OR($D61="03. UX Discovery",$D61="04. UX Design")),IF(AND($H61&lt;&gt;"",$H61&lt;=EOMONTH(V$12,0),$I61&gt;=V$12),"UX+DEV","UX"),IF(AND($H61&lt;&gt;"",$H61&lt;=EOMONTH(V$12,0),$I61&gt;=V$12),"DEV",""))))</f>
      </c>
      <c r="W61" s="158" t="str">
        <f>IF($AI61="","",IF(AND($AN61&lt;&gt;"",$AN61&lt;=EOMONTH(W$12,0),$AO61&gt;=W$12),IF(AND(INDEX('Roadmap Calc (Don’t Touch)'!$AA$2:$AX$151,$AI61,COLUMN()-COLUMN($J$16)+1)&gt;0,OR($D61="03. UX Discovery",$D61="04. UX Design")),IF(AND($H61&lt;&gt;"",$H61&lt;=EOMONTH(W$12,0),$I61&gt;=W$12),"ALL","PD+UX"),IF(AND($H61&lt;&gt;"",$H61&lt;=EOMONTH(W$12,0),$I61&gt;=W$12),"PD+DEV","PD")),IF(AND(INDEX('Roadmap Calc (Don’t Touch)'!$AA$2:$AX$151,$AI61,COLUMN()-COLUMN($J$16)+1)&gt;0,OR($D61="03. UX Discovery",$D61="04. UX Design")),IF(AND($H61&lt;&gt;"",$H61&lt;=EOMONTH(W$12,0),$I61&gt;=W$12),"UX+DEV","UX"),IF(AND($H61&lt;&gt;"",$H61&lt;=EOMONTH(W$12,0),$I61&gt;=W$12),"DEV",""))))</f>
      </c>
      <c r="X61" s="158" t="str">
        <f>IF($AI61="","",IF(AND($AN61&lt;&gt;"",$AN61&lt;=EOMONTH(X$12,0),$AO61&gt;=X$12),IF(AND(INDEX('Roadmap Calc (Don’t Touch)'!$AA$2:$AX$151,$AI61,COLUMN()-COLUMN($J$16)+1)&gt;0,OR($D61="03. UX Discovery",$D61="04. UX Design")),IF(AND($H61&lt;&gt;"",$H61&lt;=EOMONTH(X$12,0),$I61&gt;=X$12),"ALL","PD+UX"),IF(AND($H61&lt;&gt;"",$H61&lt;=EOMONTH(X$12,0),$I61&gt;=X$12),"PD+DEV","PD")),IF(AND(INDEX('Roadmap Calc (Don’t Touch)'!$AA$2:$AX$151,$AI61,COLUMN()-COLUMN($J$16)+1)&gt;0,OR($D61="03. UX Discovery",$D61="04. UX Design")),IF(AND($H61&lt;&gt;"",$H61&lt;=EOMONTH(X$12,0),$I61&gt;=X$12),"UX+DEV","UX"),IF(AND($H61&lt;&gt;"",$H61&lt;=EOMONTH(X$12,0),$I61&gt;=X$12),"DEV",""))))</f>
      </c>
      <c r="Y61" s="158" t="str">
        <f>IF($AI61="","",IF(AND($AN61&lt;&gt;"",$AN61&lt;=EOMONTH(Y$12,0),$AO61&gt;=Y$12),IF(AND(INDEX('Roadmap Calc (Don’t Touch)'!$AA$2:$AX$151,$AI61,COLUMN()-COLUMN($J$16)+1)&gt;0,OR($D61="03. UX Discovery",$D61="04. UX Design")),IF(AND($H61&lt;&gt;"",$H61&lt;=EOMONTH(Y$12,0),$I61&gt;=Y$12),"ALL","PD+UX"),IF(AND($H61&lt;&gt;"",$H61&lt;=EOMONTH(Y$12,0),$I61&gt;=Y$12),"PD+DEV","PD")),IF(AND(INDEX('Roadmap Calc (Don’t Touch)'!$AA$2:$AX$151,$AI61,COLUMN()-COLUMN($J$16)+1)&gt;0,OR($D61="03. UX Discovery",$D61="04. UX Design")),IF(AND($H61&lt;&gt;"",$H61&lt;=EOMONTH(Y$12,0),$I61&gt;=Y$12),"UX+DEV","UX"),IF(AND($H61&lt;&gt;"",$H61&lt;=EOMONTH(Y$12,0),$I61&gt;=Y$12),"DEV",""))))</f>
      </c>
      <c r="Z61" s="158" t="str">
        <f>IF($AI61="","",IF(AND($AN61&lt;&gt;"",$AN61&lt;=EOMONTH(Z$12,0),$AO61&gt;=Z$12),IF(AND(INDEX('Roadmap Calc (Don’t Touch)'!$AA$2:$AX$151,$AI61,COLUMN()-COLUMN($J$16)+1)&gt;0,OR($D61="03. UX Discovery",$D61="04. UX Design")),IF(AND($H61&lt;&gt;"",$H61&lt;=EOMONTH(Z$12,0),$I61&gt;=Z$12),"ALL","PD+UX"),IF(AND($H61&lt;&gt;"",$H61&lt;=EOMONTH(Z$12,0),$I61&gt;=Z$12),"PD+DEV","PD")),IF(AND(INDEX('Roadmap Calc (Don’t Touch)'!$AA$2:$AX$151,$AI61,COLUMN()-COLUMN($J$16)+1)&gt;0,OR($D61="03. UX Discovery",$D61="04. UX Design")),IF(AND($H61&lt;&gt;"",$H61&lt;=EOMONTH(Z$12,0),$I61&gt;=Z$12),"UX+DEV","UX"),IF(AND($H61&lt;&gt;"",$H61&lt;=EOMONTH(Z$12,0),$I61&gt;=Z$12),"DEV",""))))</f>
      </c>
      <c r="AA61" s="158" t="str">
        <f>IF($AI61="","",IF(AND($AN61&lt;&gt;"",$AN61&lt;=EOMONTH(AA$12,0),$AO61&gt;=AA$12),IF(AND(INDEX('Roadmap Calc (Don’t Touch)'!$AA$2:$AX$151,$AI61,COLUMN()-COLUMN($J$16)+1)&gt;0,OR($D61="03. UX Discovery",$D61="04. UX Design")),IF(AND($H61&lt;&gt;"",$H61&lt;=EOMONTH(AA$12,0),$I61&gt;=AA$12),"ALL","PD+UX"),IF(AND($H61&lt;&gt;"",$H61&lt;=EOMONTH(AA$12,0),$I61&gt;=AA$12),"PD+DEV","PD")),IF(AND(INDEX('Roadmap Calc (Don’t Touch)'!$AA$2:$AX$151,$AI61,COLUMN()-COLUMN($J$16)+1)&gt;0,OR($D61="03. UX Discovery",$D61="04. UX Design")),IF(AND($H61&lt;&gt;"",$H61&lt;=EOMONTH(AA$12,0),$I61&gt;=AA$12),"UX+DEV","UX"),IF(AND($H61&lt;&gt;"",$H61&lt;=EOMONTH(AA$12,0),$I61&gt;=AA$12),"DEV",""))))</f>
      </c>
      <c r="AB61" s="158" t="str">
        <f>IF($AI61="","",IF(AND($AN61&lt;&gt;"",$AN61&lt;=EOMONTH(AB$12,0),$AO61&gt;=AB$12),IF(AND(INDEX('Roadmap Calc (Don’t Touch)'!$AA$2:$AX$151,$AI61,COLUMN()-COLUMN($J$16)+1)&gt;0,OR($D61="03. UX Discovery",$D61="04. UX Design")),IF(AND($H61&lt;&gt;"",$H61&lt;=EOMONTH(AB$12,0),$I61&gt;=AB$12),"ALL","PD+UX"),IF(AND($H61&lt;&gt;"",$H61&lt;=EOMONTH(AB$12,0),$I61&gt;=AB$12),"PD+DEV","PD")),IF(AND(INDEX('Roadmap Calc (Don’t Touch)'!$AA$2:$AX$151,$AI61,COLUMN()-COLUMN($J$16)+1)&gt;0,OR($D61="03. UX Discovery",$D61="04. UX Design")),IF(AND($H61&lt;&gt;"",$H61&lt;=EOMONTH(AB$12,0),$I61&gt;=AB$12),"UX+DEV","UX"),IF(AND($H61&lt;&gt;"",$H61&lt;=EOMONTH(AB$12,0),$I61&gt;=AB$12),"DEV",""))))</f>
      </c>
      <c r="AC61" s="158" t="str">
        <f>IF($AI61="","",IF(AND($AN61&lt;&gt;"",$AN61&lt;=EOMONTH(AC$12,0),$AO61&gt;=AC$12),IF(AND(INDEX('Roadmap Calc (Don’t Touch)'!$AA$2:$AX$151,$AI61,COLUMN()-COLUMN($J$16)+1)&gt;0,OR($D61="03. UX Discovery",$D61="04. UX Design")),IF(AND($H61&lt;&gt;"",$H61&lt;=EOMONTH(AC$12,0),$I61&gt;=AC$12),"ALL","PD+UX"),IF(AND($H61&lt;&gt;"",$H61&lt;=EOMONTH(AC$12,0),$I61&gt;=AC$12),"PD+DEV","PD")),IF(AND(INDEX('Roadmap Calc (Don’t Touch)'!$AA$2:$AX$151,$AI61,COLUMN()-COLUMN($J$16)+1)&gt;0,OR($D61="03. UX Discovery",$D61="04. UX Design")),IF(AND($H61&lt;&gt;"",$H61&lt;=EOMONTH(AC$12,0),$I61&gt;=AC$12),"UX+DEV","UX"),IF(AND($H61&lt;&gt;"",$H61&lt;=EOMONTH(AC$12,0),$I61&gt;=AC$12),"DEV",""))))</f>
      </c>
      <c r="AD61" s="158" t="str">
        <f>IF($AI61="","",IF(AND($AN61&lt;&gt;"",$AN61&lt;=EOMONTH(AD$12,0),$AO61&gt;=AD$12),IF(AND(INDEX('Roadmap Calc (Don’t Touch)'!$AA$2:$AX$151,$AI61,COLUMN()-COLUMN($J$16)+1)&gt;0,OR($D61="03. UX Discovery",$D61="04. UX Design")),IF(AND($H61&lt;&gt;"",$H61&lt;=EOMONTH(AD$12,0),$I61&gt;=AD$12),"ALL","PD+UX"),IF(AND($H61&lt;&gt;"",$H61&lt;=EOMONTH(AD$12,0),$I61&gt;=AD$12),"PD+DEV","PD")),IF(AND(INDEX('Roadmap Calc (Don’t Touch)'!$AA$2:$AX$151,$AI61,COLUMN()-COLUMN($J$16)+1)&gt;0,OR($D61="03. UX Discovery",$D61="04. UX Design")),IF(AND($H61&lt;&gt;"",$H61&lt;=EOMONTH(AD$12,0),$I61&gt;=AD$12),"UX+DEV","UX"),IF(AND($H61&lt;&gt;"",$H61&lt;=EOMONTH(AD$12,0),$I61&gt;=AD$12),"DEV",""))))</f>
      </c>
      <c r="AE61" s="158" t="str">
        <f>IF($AI61="","",IF(AND($AN61&lt;&gt;"",$AN61&lt;=EOMONTH(AE$12,0),$AO61&gt;=AE$12),IF(AND(INDEX('Roadmap Calc (Don’t Touch)'!$AA$2:$AX$151,$AI61,COLUMN()-COLUMN($J$16)+1)&gt;0,OR($D61="03. UX Discovery",$D61="04. UX Design")),IF(AND($H61&lt;&gt;"",$H61&lt;=EOMONTH(AE$12,0),$I61&gt;=AE$12),"ALL","PD+UX"),IF(AND($H61&lt;&gt;"",$H61&lt;=EOMONTH(AE$12,0),$I61&gt;=AE$12),"PD+DEV","PD")),IF(AND(INDEX('Roadmap Calc (Don’t Touch)'!$AA$2:$AX$151,$AI61,COLUMN()-COLUMN($J$16)+1)&gt;0,OR($D61="03. UX Discovery",$D61="04. UX Design")),IF(AND($H61&lt;&gt;"",$H61&lt;=EOMONTH(AE$12,0),$I61&gt;=AE$12),"UX+DEV","UX"),IF(AND($H61&lt;&gt;"",$H61&lt;=EOMONTH(AE$12,0),$I61&gt;=AE$12),"DEV",""))))</f>
      </c>
      <c r="AF61" s="158" t="str">
        <f>IF($AI61="","",IF(AND($AN61&lt;&gt;"",$AN61&lt;=EOMONTH(AF$12,0),$AO61&gt;=AF$12),IF(AND(INDEX('Roadmap Calc (Don’t Touch)'!$AA$2:$AX$151,$AI61,COLUMN()-COLUMN($J$16)+1)&gt;0,OR($D61="03. UX Discovery",$D61="04. UX Design")),IF(AND($H61&lt;&gt;"",$H61&lt;=EOMONTH(AF$12,0),$I61&gt;=AF$12),"ALL","PD+UX"),IF(AND($H61&lt;&gt;"",$H61&lt;=EOMONTH(AF$12,0),$I61&gt;=AF$12),"PD+DEV","PD")),IF(AND(INDEX('Roadmap Calc (Don’t Touch)'!$AA$2:$AX$151,$AI61,COLUMN()-COLUMN($J$16)+1)&gt;0,OR($D61="03. UX Discovery",$D61="04. UX Design")),IF(AND($H61&lt;&gt;"",$H61&lt;=EOMONTH(AF$12,0),$I61&gt;=AF$12),"UX+DEV","UX"),IF(AND($H61&lt;&gt;"",$H61&lt;=EOMONTH(AF$12,0),$I61&gt;=AF$12),"DEV",""))))</f>
      </c>
      <c r="AG61" s="158" t="str">
        <f>IF($AI61="","",IF(AND($AN61&lt;&gt;"",$AN61&lt;=EOMONTH(AG$12,0),$AO61&gt;=AG$12),IF(AND(INDEX('Roadmap Calc (Don’t Touch)'!$AA$2:$AX$151,$AI61,COLUMN()-COLUMN($J$16)+1)&gt;0,OR($D61="03. UX Discovery",$D61="04. UX Design")),IF(AND($H61&lt;&gt;"",$H61&lt;=EOMONTH(AG$12,0),$I61&gt;=AG$12),"ALL","PD+UX"),IF(AND($H61&lt;&gt;"",$H61&lt;=EOMONTH(AG$12,0),$I61&gt;=AG$12),"PD+DEV","PD")),IF(AND(INDEX('Roadmap Calc (Don’t Touch)'!$AA$2:$AX$151,$AI61,COLUMN()-COLUMN($J$16)+1)&gt;0,OR($D61="03. UX Discovery",$D61="04. UX Design")),IF(AND($H61&lt;&gt;"",$H61&lt;=EOMONTH(AG$12,0),$I61&gt;=AG$12),"UX+DEV","UX"),IF(AND($H61&lt;&gt;"",$H61&lt;=EOMONTH(AG$12,0),$I61&gt;=AG$12),"DEV",""))))</f>
      </c>
      <c r="AH61" s="145" t="str">
        <f>IF($AI61="","",INDEX('Roadmap Calc (Don’t Touch)'!$D$2:$D$151,$AI61))</f>
        <v/>
      </c>
      <c r="AI61" s="145" t="str">
        <f>IFERROR(MATCH(46,'Roadmap Calc (Don’t Touch)'!$O$2:$O$151,0),"")</f>
        <v/>
      </c>
      <c r="AJ61" s="145"/>
      <c r="AK61" s="145"/>
      <c r="AL61" s="145"/>
      <c r="AM61" s="145"/>
      <c r="AN61">
        <f>IF($AI61="","",IF(ISNUMBER(INDEX('Roadmap Calc (Don’t Touch)'!$BB$2:$BB$151,$AI61)),INDEX('Roadmap Calc (Don’t Touch)'!$BB$2:$BB$151,$AI61),""))</f>
      </c>
      <c r="AO61">
        <f>IF($AI61="","",IF(ISNUMBER(INDEX('Roadmap Calc (Don’t Touch)'!$BC$2:$BC$151,$AI61)),INDEX('Roadmap Calc (Don’t Touch)'!$BC$2:$BC$151,$AI61),""))</f>
      </c>
    </row>
    <row r="62" spans="1:41" ht="17" customHeight="1" x14ac:dyDescent="0.25">
      <c r="A62" s="198" t="str">
        <f>IF($AI62="","",IF($AH62=$AH61,"",IF(INDEX('Roadmap Calc (Don’t Touch)'!$U$2:$U$151,$AI62)=0,$AH62,HYPERLINK("#'Control (Don’t Touch)'!E"&amp;INDEX('Roadmap Calc (Don’t Touch)'!$U$2:$U$151,$AI62),$AH62))))</f>
        <v/>
      </c>
      <c r="B62" s="159" t="str">
        <f>IF($AI62="","",IF(INDEX('Roadmap Calc (Don’t Touch)'!$K$2:$K$151,$AI62)="",INDEX('Roadmap Calc (Don’t Touch)'!$B$2:$B$151,$AI62),HYPERLINK("https://jira.bnh.com/browse/"&amp;INDEX('Roadmap Calc (Don’t Touch)'!$K$2:$K$151,$AI62),INDEX('Roadmap Calc (Don’t Touch)'!$B$2:$B$151,$AI62))))</f>
        <v/>
      </c>
      <c r="C62" s="159" t="str">
        <f>IF($AI62="","",IF(INDEX('Roadmap Calc (Don’t Touch)'!$E$2:$E$151,$AI62)="","",HYPERLINK("https://jira.bnh.com/browse/"&amp;INDEX('Roadmap Calc (Don’t Touch)'!$E$2:$E$151,$AI62),INDEX('Roadmap Calc (Don’t Touch)'!$E$2:$E$151,$AI62))))</f>
        <v/>
      </c>
      <c r="D62" s="160" t="str">
        <f>IF($AI62="","",INDEX('Roadmap Calc (Don’t Touch)'!$F$2:$F$151,$AI62))</f>
        <v/>
      </c>
      <c r="E62" s="155" t="str">
        <f>IF($AI62="","",IF(ISNUMBER(INDEX('Roadmap Calc (Don’t Touch)'!$G$2:$G$151,$AI62)),INDEX('Roadmap Calc (Don’t Touch)'!$G$2:$G$151,$AI62),""))</f>
        <v/>
      </c>
      <c r="F62" s="155" t="str">
        <f>IF($AI62="","",IF(ISNUMBER(INDEX('Roadmap Calc (Don’t Touch)'!$H$2:$H$151,$AI62)),INDEX('Roadmap Calc (Don’t Touch)'!$H$2:$H$151,$AI62),""))</f>
        <v/>
      </c>
      <c r="G62" s="156" t="str">
        <f>IF($AI62="","",INDEX('Roadmap Calc (Don’t Touch)'!$T$2:$T$151,$AI62))</f>
        <v/>
      </c>
      <c r="H62" s="157" t="str">
        <f>IF($AI62="","",IF(ISNUMBER(INDEX('Roadmap Calc (Don’t Touch)'!$I$2:$I$151,$AI62)),INDEX('Roadmap Calc (Don’t Touch)'!$I$2:$I$151,$AI62),""))</f>
        <v/>
      </c>
      <c r="I62" s="157" t="str">
        <f>IF($AI62="","",IF(ISNUMBER(INDEX('Roadmap Calc (Don’t Touch)'!$J$2:$J$151,$AI62)),INDEX('Roadmap Calc (Don’t Touch)'!$J$2:$J$151,$AI62),""))</f>
        <v/>
      </c>
      <c r="J62" s="158" t="str">
        <f>IF($AI62="","",IF(AND($AN62&lt;&gt;"",$AN62&lt;=EOMONTH(J$12,0),$AO62&gt;=J$12),IF(AND(INDEX('Roadmap Calc (Don’t Touch)'!$AA$2:$AX$151,$AI62,COLUMN()-COLUMN($J$16)+1)&gt;0,OR($D62="03. UX Discovery",$D62="04. UX Design")),IF(AND($H62&lt;&gt;"",$H62&lt;=EOMONTH(J$12,0),$I62&gt;=J$12),"ALL","PD+UX"),IF(AND($H62&lt;&gt;"",$H62&lt;=EOMONTH(J$12,0),$I62&gt;=J$12),"PD+DEV","PD")),IF(AND(INDEX('Roadmap Calc (Don’t Touch)'!$AA$2:$AX$151,$AI62,COLUMN()-COLUMN($J$16)+1)&gt;0,OR($D62="03. UX Discovery",$D62="04. UX Design")),IF(AND($H62&lt;&gt;"",$H62&lt;=EOMONTH(J$12,0),$I62&gt;=J$12),"UX+DEV","UX"),IF(AND($H62&lt;&gt;"",$H62&lt;=EOMONTH(J$12,0),$I62&gt;=J$12),"DEV",""))))</f>
      </c>
      <c r="K62" s="158" t="str">
        <f>IF($AI62="","",IF(AND($AN62&lt;&gt;"",$AN62&lt;=EOMONTH(K$12,0),$AO62&gt;=K$12),IF(AND(INDEX('Roadmap Calc (Don’t Touch)'!$AA$2:$AX$151,$AI62,COLUMN()-COLUMN($J$16)+1)&gt;0,OR($D62="03. UX Discovery",$D62="04. UX Design")),IF(AND($H62&lt;&gt;"",$H62&lt;=EOMONTH(K$12,0),$I62&gt;=K$12),"ALL","PD+UX"),IF(AND($H62&lt;&gt;"",$H62&lt;=EOMONTH(K$12,0),$I62&gt;=K$12),"PD+DEV","PD")),IF(AND(INDEX('Roadmap Calc (Don’t Touch)'!$AA$2:$AX$151,$AI62,COLUMN()-COLUMN($J$16)+1)&gt;0,OR($D62="03. UX Discovery",$D62="04. UX Design")),IF(AND($H62&lt;&gt;"",$H62&lt;=EOMONTH(K$12,0),$I62&gt;=K$12),"UX+DEV","UX"),IF(AND($H62&lt;&gt;"",$H62&lt;=EOMONTH(K$12,0),$I62&gt;=K$12),"DEV",""))))</f>
      </c>
      <c r="L62" s="158" t="str">
        <f>IF($AI62="","",IF(AND($AN62&lt;&gt;"",$AN62&lt;=EOMONTH(L$12,0),$AO62&gt;=L$12),IF(AND(INDEX('Roadmap Calc (Don’t Touch)'!$AA$2:$AX$151,$AI62,COLUMN()-COLUMN($J$16)+1)&gt;0,OR($D62="03. UX Discovery",$D62="04. UX Design")),IF(AND($H62&lt;&gt;"",$H62&lt;=EOMONTH(L$12,0),$I62&gt;=L$12),"ALL","PD+UX"),IF(AND($H62&lt;&gt;"",$H62&lt;=EOMONTH(L$12,0),$I62&gt;=L$12),"PD+DEV","PD")),IF(AND(INDEX('Roadmap Calc (Don’t Touch)'!$AA$2:$AX$151,$AI62,COLUMN()-COLUMN($J$16)+1)&gt;0,OR($D62="03. UX Discovery",$D62="04. UX Design")),IF(AND($H62&lt;&gt;"",$H62&lt;=EOMONTH(L$12,0),$I62&gt;=L$12),"UX+DEV","UX"),IF(AND($H62&lt;&gt;"",$H62&lt;=EOMONTH(L$12,0),$I62&gt;=L$12),"DEV",""))))</f>
      </c>
      <c r="M62" s="158" t="str">
        <f>IF($AI62="","",IF(AND($AN62&lt;&gt;"",$AN62&lt;=EOMONTH(M$12,0),$AO62&gt;=M$12),IF(AND(INDEX('Roadmap Calc (Don’t Touch)'!$AA$2:$AX$151,$AI62,COLUMN()-COLUMN($J$16)+1)&gt;0,OR($D62="03. UX Discovery",$D62="04. UX Design")),IF(AND($H62&lt;&gt;"",$H62&lt;=EOMONTH(M$12,0),$I62&gt;=M$12),"ALL","PD+UX"),IF(AND($H62&lt;&gt;"",$H62&lt;=EOMONTH(M$12,0),$I62&gt;=M$12),"PD+DEV","PD")),IF(AND(INDEX('Roadmap Calc (Don’t Touch)'!$AA$2:$AX$151,$AI62,COLUMN()-COLUMN($J$16)+1)&gt;0,OR($D62="03. UX Discovery",$D62="04. UX Design")),IF(AND($H62&lt;&gt;"",$H62&lt;=EOMONTH(M$12,0),$I62&gt;=M$12),"UX+DEV","UX"),IF(AND($H62&lt;&gt;"",$H62&lt;=EOMONTH(M$12,0),$I62&gt;=M$12),"DEV",""))))</f>
      </c>
      <c r="N62" s="158" t="str">
        <f>IF($AI62="","",IF(AND($AN62&lt;&gt;"",$AN62&lt;=EOMONTH(N$12,0),$AO62&gt;=N$12),IF(AND(INDEX('Roadmap Calc (Don’t Touch)'!$AA$2:$AX$151,$AI62,COLUMN()-COLUMN($J$16)+1)&gt;0,OR($D62="03. UX Discovery",$D62="04. UX Design")),IF(AND($H62&lt;&gt;"",$H62&lt;=EOMONTH(N$12,0),$I62&gt;=N$12),"ALL","PD+UX"),IF(AND($H62&lt;&gt;"",$H62&lt;=EOMONTH(N$12,0),$I62&gt;=N$12),"PD+DEV","PD")),IF(AND(INDEX('Roadmap Calc (Don’t Touch)'!$AA$2:$AX$151,$AI62,COLUMN()-COLUMN($J$16)+1)&gt;0,OR($D62="03. UX Discovery",$D62="04. UX Design")),IF(AND($H62&lt;&gt;"",$H62&lt;=EOMONTH(N$12,0),$I62&gt;=N$12),"UX+DEV","UX"),IF(AND($H62&lt;&gt;"",$H62&lt;=EOMONTH(N$12,0),$I62&gt;=N$12),"DEV",""))))</f>
      </c>
      <c r="O62" s="158" t="str">
        <f>IF($AI62="","",IF(AND($AN62&lt;&gt;"",$AN62&lt;=EOMONTH(O$12,0),$AO62&gt;=O$12),IF(AND(INDEX('Roadmap Calc (Don’t Touch)'!$AA$2:$AX$151,$AI62,COLUMN()-COLUMN($J$16)+1)&gt;0,OR($D62="03. UX Discovery",$D62="04. UX Design")),IF(AND($H62&lt;&gt;"",$H62&lt;=EOMONTH(O$12,0),$I62&gt;=O$12),"ALL","PD+UX"),IF(AND($H62&lt;&gt;"",$H62&lt;=EOMONTH(O$12,0),$I62&gt;=O$12),"PD+DEV","PD")),IF(AND(INDEX('Roadmap Calc (Don’t Touch)'!$AA$2:$AX$151,$AI62,COLUMN()-COLUMN($J$16)+1)&gt;0,OR($D62="03. UX Discovery",$D62="04. UX Design")),IF(AND($H62&lt;&gt;"",$H62&lt;=EOMONTH(O$12,0),$I62&gt;=O$12),"UX+DEV","UX"),IF(AND($H62&lt;&gt;"",$H62&lt;=EOMONTH(O$12,0),$I62&gt;=O$12),"DEV",""))))</f>
      </c>
      <c r="P62" s="158" t="str">
        <f>IF($AI62="","",IF(AND($AN62&lt;&gt;"",$AN62&lt;=EOMONTH(P$12,0),$AO62&gt;=P$12),IF(AND(INDEX('Roadmap Calc (Don’t Touch)'!$AA$2:$AX$151,$AI62,COLUMN()-COLUMN($J$16)+1)&gt;0,OR($D62="03. UX Discovery",$D62="04. UX Design")),IF(AND($H62&lt;&gt;"",$H62&lt;=EOMONTH(P$12,0),$I62&gt;=P$12),"ALL","PD+UX"),IF(AND($H62&lt;&gt;"",$H62&lt;=EOMONTH(P$12,0),$I62&gt;=P$12),"PD+DEV","PD")),IF(AND(INDEX('Roadmap Calc (Don’t Touch)'!$AA$2:$AX$151,$AI62,COLUMN()-COLUMN($J$16)+1)&gt;0,OR($D62="03. UX Discovery",$D62="04. UX Design")),IF(AND($H62&lt;&gt;"",$H62&lt;=EOMONTH(P$12,0),$I62&gt;=P$12),"UX+DEV","UX"),IF(AND($H62&lt;&gt;"",$H62&lt;=EOMONTH(P$12,0),$I62&gt;=P$12),"DEV",""))))</f>
      </c>
      <c r="Q62" s="158" t="str">
        <f>IF($AI62="","",IF(AND($AN62&lt;&gt;"",$AN62&lt;=EOMONTH(Q$12,0),$AO62&gt;=Q$12),IF(AND(INDEX('Roadmap Calc (Don’t Touch)'!$AA$2:$AX$151,$AI62,COLUMN()-COLUMN($J$16)+1)&gt;0,OR($D62="03. UX Discovery",$D62="04. UX Design")),IF(AND($H62&lt;&gt;"",$H62&lt;=EOMONTH(Q$12,0),$I62&gt;=Q$12),"ALL","PD+UX"),IF(AND($H62&lt;&gt;"",$H62&lt;=EOMONTH(Q$12,0),$I62&gt;=Q$12),"PD+DEV","PD")),IF(AND(INDEX('Roadmap Calc (Don’t Touch)'!$AA$2:$AX$151,$AI62,COLUMN()-COLUMN($J$16)+1)&gt;0,OR($D62="03. UX Discovery",$D62="04. UX Design")),IF(AND($H62&lt;&gt;"",$H62&lt;=EOMONTH(Q$12,0),$I62&gt;=Q$12),"UX+DEV","UX"),IF(AND($H62&lt;&gt;"",$H62&lt;=EOMONTH(Q$12,0),$I62&gt;=Q$12),"DEV",""))))</f>
      </c>
      <c r="R62" s="158" t="str">
        <f>IF($AI62="","",IF(AND($AN62&lt;&gt;"",$AN62&lt;=EOMONTH(R$12,0),$AO62&gt;=R$12),IF(AND(INDEX('Roadmap Calc (Don’t Touch)'!$AA$2:$AX$151,$AI62,COLUMN()-COLUMN($J$16)+1)&gt;0,OR($D62="03. UX Discovery",$D62="04. UX Design")),IF(AND($H62&lt;&gt;"",$H62&lt;=EOMONTH(R$12,0),$I62&gt;=R$12),"ALL","PD+UX"),IF(AND($H62&lt;&gt;"",$H62&lt;=EOMONTH(R$12,0),$I62&gt;=R$12),"PD+DEV","PD")),IF(AND(INDEX('Roadmap Calc (Don’t Touch)'!$AA$2:$AX$151,$AI62,COLUMN()-COLUMN($J$16)+1)&gt;0,OR($D62="03. UX Discovery",$D62="04. UX Design")),IF(AND($H62&lt;&gt;"",$H62&lt;=EOMONTH(R$12,0),$I62&gt;=R$12),"UX+DEV","UX"),IF(AND($H62&lt;&gt;"",$H62&lt;=EOMONTH(R$12,0),$I62&gt;=R$12),"DEV",""))))</f>
      </c>
      <c r="S62" s="158" t="str">
        <f>IF($AI62="","",IF(AND($AN62&lt;&gt;"",$AN62&lt;=EOMONTH(S$12,0),$AO62&gt;=S$12),IF(AND(INDEX('Roadmap Calc (Don’t Touch)'!$AA$2:$AX$151,$AI62,COLUMN()-COLUMN($J$16)+1)&gt;0,OR($D62="03. UX Discovery",$D62="04. UX Design")),IF(AND($H62&lt;&gt;"",$H62&lt;=EOMONTH(S$12,0),$I62&gt;=S$12),"ALL","PD+UX"),IF(AND($H62&lt;&gt;"",$H62&lt;=EOMONTH(S$12,0),$I62&gt;=S$12),"PD+DEV","PD")),IF(AND(INDEX('Roadmap Calc (Don’t Touch)'!$AA$2:$AX$151,$AI62,COLUMN()-COLUMN($J$16)+1)&gt;0,OR($D62="03. UX Discovery",$D62="04. UX Design")),IF(AND($H62&lt;&gt;"",$H62&lt;=EOMONTH(S$12,0),$I62&gt;=S$12),"UX+DEV","UX"),IF(AND($H62&lt;&gt;"",$H62&lt;=EOMONTH(S$12,0),$I62&gt;=S$12),"DEV",""))))</f>
      </c>
      <c r="T62" s="158" t="str">
        <f>IF($AI62="","",IF(AND($AN62&lt;&gt;"",$AN62&lt;=EOMONTH(T$12,0),$AO62&gt;=T$12),IF(AND(INDEX('Roadmap Calc (Don’t Touch)'!$AA$2:$AX$151,$AI62,COLUMN()-COLUMN($J$16)+1)&gt;0,OR($D62="03. UX Discovery",$D62="04. UX Design")),IF(AND($H62&lt;&gt;"",$H62&lt;=EOMONTH(T$12,0),$I62&gt;=T$12),"ALL","PD+UX"),IF(AND($H62&lt;&gt;"",$H62&lt;=EOMONTH(T$12,0),$I62&gt;=T$12),"PD+DEV","PD")),IF(AND(INDEX('Roadmap Calc (Don’t Touch)'!$AA$2:$AX$151,$AI62,COLUMN()-COLUMN($J$16)+1)&gt;0,OR($D62="03. UX Discovery",$D62="04. UX Design")),IF(AND($H62&lt;&gt;"",$H62&lt;=EOMONTH(T$12,0),$I62&gt;=T$12),"UX+DEV","UX"),IF(AND($H62&lt;&gt;"",$H62&lt;=EOMONTH(T$12,0),$I62&gt;=T$12),"DEV",""))))</f>
      </c>
      <c r="U62" s="158" t="str">
        <f>IF($AI62="","",IF(AND($AN62&lt;&gt;"",$AN62&lt;=EOMONTH(U$12,0),$AO62&gt;=U$12),IF(AND(INDEX('Roadmap Calc (Don’t Touch)'!$AA$2:$AX$151,$AI62,COLUMN()-COLUMN($J$16)+1)&gt;0,OR($D62="03. UX Discovery",$D62="04. UX Design")),IF(AND($H62&lt;&gt;"",$H62&lt;=EOMONTH(U$12,0),$I62&gt;=U$12),"ALL","PD+UX"),IF(AND($H62&lt;&gt;"",$H62&lt;=EOMONTH(U$12,0),$I62&gt;=U$12),"PD+DEV","PD")),IF(AND(INDEX('Roadmap Calc (Don’t Touch)'!$AA$2:$AX$151,$AI62,COLUMN()-COLUMN($J$16)+1)&gt;0,OR($D62="03. UX Discovery",$D62="04. UX Design")),IF(AND($H62&lt;&gt;"",$H62&lt;=EOMONTH(U$12,0),$I62&gt;=U$12),"UX+DEV","UX"),IF(AND($H62&lt;&gt;"",$H62&lt;=EOMONTH(U$12,0),$I62&gt;=U$12),"DEV",""))))</f>
      </c>
      <c r="V62" s="158" t="str">
        <f>IF($AI62="","",IF(AND($AN62&lt;&gt;"",$AN62&lt;=EOMONTH(V$12,0),$AO62&gt;=V$12),IF(AND(INDEX('Roadmap Calc (Don’t Touch)'!$AA$2:$AX$151,$AI62,COLUMN()-COLUMN($J$16)+1)&gt;0,OR($D62="03. UX Discovery",$D62="04. UX Design")),IF(AND($H62&lt;&gt;"",$H62&lt;=EOMONTH(V$12,0),$I62&gt;=V$12),"ALL","PD+UX"),IF(AND($H62&lt;&gt;"",$H62&lt;=EOMONTH(V$12,0),$I62&gt;=V$12),"PD+DEV","PD")),IF(AND(INDEX('Roadmap Calc (Don’t Touch)'!$AA$2:$AX$151,$AI62,COLUMN()-COLUMN($J$16)+1)&gt;0,OR($D62="03. UX Discovery",$D62="04. UX Design")),IF(AND($H62&lt;&gt;"",$H62&lt;=EOMONTH(V$12,0),$I62&gt;=V$12),"UX+DEV","UX"),IF(AND($H62&lt;&gt;"",$H62&lt;=EOMONTH(V$12,0),$I62&gt;=V$12),"DEV",""))))</f>
      </c>
      <c r="W62" s="158" t="str">
        <f>IF($AI62="","",IF(AND($AN62&lt;&gt;"",$AN62&lt;=EOMONTH(W$12,0),$AO62&gt;=W$12),IF(AND(INDEX('Roadmap Calc (Don’t Touch)'!$AA$2:$AX$151,$AI62,COLUMN()-COLUMN($J$16)+1)&gt;0,OR($D62="03. UX Discovery",$D62="04. UX Design")),IF(AND($H62&lt;&gt;"",$H62&lt;=EOMONTH(W$12,0),$I62&gt;=W$12),"ALL","PD+UX"),IF(AND($H62&lt;&gt;"",$H62&lt;=EOMONTH(W$12,0),$I62&gt;=W$12),"PD+DEV","PD")),IF(AND(INDEX('Roadmap Calc (Don’t Touch)'!$AA$2:$AX$151,$AI62,COLUMN()-COLUMN($J$16)+1)&gt;0,OR($D62="03. UX Discovery",$D62="04. UX Design")),IF(AND($H62&lt;&gt;"",$H62&lt;=EOMONTH(W$12,0),$I62&gt;=W$12),"UX+DEV","UX"),IF(AND($H62&lt;&gt;"",$H62&lt;=EOMONTH(W$12,0),$I62&gt;=W$12),"DEV",""))))</f>
      </c>
      <c r="X62" s="158" t="str">
        <f>IF($AI62="","",IF(AND($AN62&lt;&gt;"",$AN62&lt;=EOMONTH(X$12,0),$AO62&gt;=X$12),IF(AND(INDEX('Roadmap Calc (Don’t Touch)'!$AA$2:$AX$151,$AI62,COLUMN()-COLUMN($J$16)+1)&gt;0,OR($D62="03. UX Discovery",$D62="04. UX Design")),IF(AND($H62&lt;&gt;"",$H62&lt;=EOMONTH(X$12,0),$I62&gt;=X$12),"ALL","PD+UX"),IF(AND($H62&lt;&gt;"",$H62&lt;=EOMONTH(X$12,0),$I62&gt;=X$12),"PD+DEV","PD")),IF(AND(INDEX('Roadmap Calc (Don’t Touch)'!$AA$2:$AX$151,$AI62,COLUMN()-COLUMN($J$16)+1)&gt;0,OR($D62="03. UX Discovery",$D62="04. UX Design")),IF(AND($H62&lt;&gt;"",$H62&lt;=EOMONTH(X$12,0),$I62&gt;=X$12),"UX+DEV","UX"),IF(AND($H62&lt;&gt;"",$H62&lt;=EOMONTH(X$12,0),$I62&gt;=X$12),"DEV",""))))</f>
      </c>
      <c r="Y62" s="158" t="str">
        <f>IF($AI62="","",IF(AND($AN62&lt;&gt;"",$AN62&lt;=EOMONTH(Y$12,0),$AO62&gt;=Y$12),IF(AND(INDEX('Roadmap Calc (Don’t Touch)'!$AA$2:$AX$151,$AI62,COLUMN()-COLUMN($J$16)+1)&gt;0,OR($D62="03. UX Discovery",$D62="04. UX Design")),IF(AND($H62&lt;&gt;"",$H62&lt;=EOMONTH(Y$12,0),$I62&gt;=Y$12),"ALL","PD+UX"),IF(AND($H62&lt;&gt;"",$H62&lt;=EOMONTH(Y$12,0),$I62&gt;=Y$12),"PD+DEV","PD")),IF(AND(INDEX('Roadmap Calc (Don’t Touch)'!$AA$2:$AX$151,$AI62,COLUMN()-COLUMN($J$16)+1)&gt;0,OR($D62="03. UX Discovery",$D62="04. UX Design")),IF(AND($H62&lt;&gt;"",$H62&lt;=EOMONTH(Y$12,0),$I62&gt;=Y$12),"UX+DEV","UX"),IF(AND($H62&lt;&gt;"",$H62&lt;=EOMONTH(Y$12,0),$I62&gt;=Y$12),"DEV",""))))</f>
      </c>
      <c r="Z62" s="158" t="str">
        <f>IF($AI62="","",IF(AND($AN62&lt;&gt;"",$AN62&lt;=EOMONTH(Z$12,0),$AO62&gt;=Z$12),IF(AND(INDEX('Roadmap Calc (Don’t Touch)'!$AA$2:$AX$151,$AI62,COLUMN()-COLUMN($J$16)+1)&gt;0,OR($D62="03. UX Discovery",$D62="04. UX Design")),IF(AND($H62&lt;&gt;"",$H62&lt;=EOMONTH(Z$12,0),$I62&gt;=Z$12),"ALL","PD+UX"),IF(AND($H62&lt;&gt;"",$H62&lt;=EOMONTH(Z$12,0),$I62&gt;=Z$12),"PD+DEV","PD")),IF(AND(INDEX('Roadmap Calc (Don’t Touch)'!$AA$2:$AX$151,$AI62,COLUMN()-COLUMN($J$16)+1)&gt;0,OR($D62="03. UX Discovery",$D62="04. UX Design")),IF(AND($H62&lt;&gt;"",$H62&lt;=EOMONTH(Z$12,0),$I62&gt;=Z$12),"UX+DEV","UX"),IF(AND($H62&lt;&gt;"",$H62&lt;=EOMONTH(Z$12,0),$I62&gt;=Z$12),"DEV",""))))</f>
      </c>
      <c r="AA62" s="158" t="str">
        <f>IF($AI62="","",IF(AND($AN62&lt;&gt;"",$AN62&lt;=EOMONTH(AA$12,0),$AO62&gt;=AA$12),IF(AND(INDEX('Roadmap Calc (Don’t Touch)'!$AA$2:$AX$151,$AI62,COLUMN()-COLUMN($J$16)+1)&gt;0,OR($D62="03. UX Discovery",$D62="04. UX Design")),IF(AND($H62&lt;&gt;"",$H62&lt;=EOMONTH(AA$12,0),$I62&gt;=AA$12),"ALL","PD+UX"),IF(AND($H62&lt;&gt;"",$H62&lt;=EOMONTH(AA$12,0),$I62&gt;=AA$12),"PD+DEV","PD")),IF(AND(INDEX('Roadmap Calc (Don’t Touch)'!$AA$2:$AX$151,$AI62,COLUMN()-COLUMN($J$16)+1)&gt;0,OR($D62="03. UX Discovery",$D62="04. UX Design")),IF(AND($H62&lt;&gt;"",$H62&lt;=EOMONTH(AA$12,0),$I62&gt;=AA$12),"UX+DEV","UX"),IF(AND($H62&lt;&gt;"",$H62&lt;=EOMONTH(AA$12,0),$I62&gt;=AA$12),"DEV",""))))</f>
      </c>
      <c r="AB62" s="158" t="str">
        <f>IF($AI62="","",IF(AND($AN62&lt;&gt;"",$AN62&lt;=EOMONTH(AB$12,0),$AO62&gt;=AB$12),IF(AND(INDEX('Roadmap Calc (Don’t Touch)'!$AA$2:$AX$151,$AI62,COLUMN()-COLUMN($J$16)+1)&gt;0,OR($D62="03. UX Discovery",$D62="04. UX Design")),IF(AND($H62&lt;&gt;"",$H62&lt;=EOMONTH(AB$12,0),$I62&gt;=AB$12),"ALL","PD+UX"),IF(AND($H62&lt;&gt;"",$H62&lt;=EOMONTH(AB$12,0),$I62&gt;=AB$12),"PD+DEV","PD")),IF(AND(INDEX('Roadmap Calc (Don’t Touch)'!$AA$2:$AX$151,$AI62,COLUMN()-COLUMN($J$16)+1)&gt;0,OR($D62="03. UX Discovery",$D62="04. UX Design")),IF(AND($H62&lt;&gt;"",$H62&lt;=EOMONTH(AB$12,0),$I62&gt;=AB$12),"UX+DEV","UX"),IF(AND($H62&lt;&gt;"",$H62&lt;=EOMONTH(AB$12,0),$I62&gt;=AB$12),"DEV",""))))</f>
      </c>
      <c r="AC62" s="158" t="str">
        <f>IF($AI62="","",IF(AND($AN62&lt;&gt;"",$AN62&lt;=EOMONTH(AC$12,0),$AO62&gt;=AC$12),IF(AND(INDEX('Roadmap Calc (Don’t Touch)'!$AA$2:$AX$151,$AI62,COLUMN()-COLUMN($J$16)+1)&gt;0,OR($D62="03. UX Discovery",$D62="04. UX Design")),IF(AND($H62&lt;&gt;"",$H62&lt;=EOMONTH(AC$12,0),$I62&gt;=AC$12),"ALL","PD+UX"),IF(AND($H62&lt;&gt;"",$H62&lt;=EOMONTH(AC$12,0),$I62&gt;=AC$12),"PD+DEV","PD")),IF(AND(INDEX('Roadmap Calc (Don’t Touch)'!$AA$2:$AX$151,$AI62,COLUMN()-COLUMN($J$16)+1)&gt;0,OR($D62="03. UX Discovery",$D62="04. UX Design")),IF(AND($H62&lt;&gt;"",$H62&lt;=EOMONTH(AC$12,0),$I62&gt;=AC$12),"UX+DEV","UX"),IF(AND($H62&lt;&gt;"",$H62&lt;=EOMONTH(AC$12,0),$I62&gt;=AC$12),"DEV",""))))</f>
      </c>
      <c r="AD62" s="158" t="str">
        <f>IF($AI62="","",IF(AND($AN62&lt;&gt;"",$AN62&lt;=EOMONTH(AD$12,0),$AO62&gt;=AD$12),IF(AND(INDEX('Roadmap Calc (Don’t Touch)'!$AA$2:$AX$151,$AI62,COLUMN()-COLUMN($J$16)+1)&gt;0,OR($D62="03. UX Discovery",$D62="04. UX Design")),IF(AND($H62&lt;&gt;"",$H62&lt;=EOMONTH(AD$12,0),$I62&gt;=AD$12),"ALL","PD+UX"),IF(AND($H62&lt;&gt;"",$H62&lt;=EOMONTH(AD$12,0),$I62&gt;=AD$12),"PD+DEV","PD")),IF(AND(INDEX('Roadmap Calc (Don’t Touch)'!$AA$2:$AX$151,$AI62,COLUMN()-COLUMN($J$16)+1)&gt;0,OR($D62="03. UX Discovery",$D62="04. UX Design")),IF(AND($H62&lt;&gt;"",$H62&lt;=EOMONTH(AD$12,0),$I62&gt;=AD$12),"UX+DEV","UX"),IF(AND($H62&lt;&gt;"",$H62&lt;=EOMONTH(AD$12,0),$I62&gt;=AD$12),"DEV",""))))</f>
      </c>
      <c r="AE62" s="158" t="str">
        <f>IF($AI62="","",IF(AND($AN62&lt;&gt;"",$AN62&lt;=EOMONTH(AE$12,0),$AO62&gt;=AE$12),IF(AND(INDEX('Roadmap Calc (Don’t Touch)'!$AA$2:$AX$151,$AI62,COLUMN()-COLUMN($J$16)+1)&gt;0,OR($D62="03. UX Discovery",$D62="04. UX Design")),IF(AND($H62&lt;&gt;"",$H62&lt;=EOMONTH(AE$12,0),$I62&gt;=AE$12),"ALL","PD+UX"),IF(AND($H62&lt;&gt;"",$H62&lt;=EOMONTH(AE$12,0),$I62&gt;=AE$12),"PD+DEV","PD")),IF(AND(INDEX('Roadmap Calc (Don’t Touch)'!$AA$2:$AX$151,$AI62,COLUMN()-COLUMN($J$16)+1)&gt;0,OR($D62="03. UX Discovery",$D62="04. UX Design")),IF(AND($H62&lt;&gt;"",$H62&lt;=EOMONTH(AE$12,0),$I62&gt;=AE$12),"UX+DEV","UX"),IF(AND($H62&lt;&gt;"",$H62&lt;=EOMONTH(AE$12,0),$I62&gt;=AE$12),"DEV",""))))</f>
      </c>
      <c r="AF62" s="158" t="str">
        <f>IF($AI62="","",IF(AND($AN62&lt;&gt;"",$AN62&lt;=EOMONTH(AF$12,0),$AO62&gt;=AF$12),IF(AND(INDEX('Roadmap Calc (Don’t Touch)'!$AA$2:$AX$151,$AI62,COLUMN()-COLUMN($J$16)+1)&gt;0,OR($D62="03. UX Discovery",$D62="04. UX Design")),IF(AND($H62&lt;&gt;"",$H62&lt;=EOMONTH(AF$12,0),$I62&gt;=AF$12),"ALL","PD+UX"),IF(AND($H62&lt;&gt;"",$H62&lt;=EOMONTH(AF$12,0),$I62&gt;=AF$12),"PD+DEV","PD")),IF(AND(INDEX('Roadmap Calc (Don’t Touch)'!$AA$2:$AX$151,$AI62,COLUMN()-COLUMN($J$16)+1)&gt;0,OR($D62="03. UX Discovery",$D62="04. UX Design")),IF(AND($H62&lt;&gt;"",$H62&lt;=EOMONTH(AF$12,0),$I62&gt;=AF$12),"UX+DEV","UX"),IF(AND($H62&lt;&gt;"",$H62&lt;=EOMONTH(AF$12,0),$I62&gt;=AF$12),"DEV",""))))</f>
      </c>
      <c r="AG62" s="158" t="str">
        <f>IF($AI62="","",IF(AND($AN62&lt;&gt;"",$AN62&lt;=EOMONTH(AG$12,0),$AO62&gt;=AG$12),IF(AND(INDEX('Roadmap Calc (Don’t Touch)'!$AA$2:$AX$151,$AI62,COLUMN()-COLUMN($J$16)+1)&gt;0,OR($D62="03. UX Discovery",$D62="04. UX Design")),IF(AND($H62&lt;&gt;"",$H62&lt;=EOMONTH(AG$12,0),$I62&gt;=AG$12),"ALL","PD+UX"),IF(AND($H62&lt;&gt;"",$H62&lt;=EOMONTH(AG$12,0),$I62&gt;=AG$12),"PD+DEV","PD")),IF(AND(INDEX('Roadmap Calc (Don’t Touch)'!$AA$2:$AX$151,$AI62,COLUMN()-COLUMN($J$16)+1)&gt;0,OR($D62="03. UX Discovery",$D62="04. UX Design")),IF(AND($H62&lt;&gt;"",$H62&lt;=EOMONTH(AG$12,0),$I62&gt;=AG$12),"UX+DEV","UX"),IF(AND($H62&lt;&gt;"",$H62&lt;=EOMONTH(AG$12,0),$I62&gt;=AG$12),"DEV",""))))</f>
      </c>
      <c r="AH62" s="145" t="str">
        <f>IF($AI62="","",INDEX('Roadmap Calc (Don’t Touch)'!$D$2:$D$151,$AI62))</f>
        <v/>
      </c>
      <c r="AI62" s="145" t="str">
        <f>IFERROR(MATCH(47,'Roadmap Calc (Don’t Touch)'!$O$2:$O$151,0),"")</f>
        <v/>
      </c>
      <c r="AJ62" s="145"/>
      <c r="AK62" s="145"/>
      <c r="AL62" s="145"/>
      <c r="AM62" s="145"/>
      <c r="AN62">
        <f>IF($AI62="","",IF(ISNUMBER(INDEX('Roadmap Calc (Don’t Touch)'!$BB$2:$BB$151,$AI62)),INDEX('Roadmap Calc (Don’t Touch)'!$BB$2:$BB$151,$AI62),""))</f>
      </c>
      <c r="AO62">
        <f>IF($AI62="","",IF(ISNUMBER(INDEX('Roadmap Calc (Don’t Touch)'!$BC$2:$BC$151,$AI62)),INDEX('Roadmap Calc (Don’t Touch)'!$BC$2:$BC$151,$AI62),""))</f>
      </c>
    </row>
    <row r="63" spans="1:41" ht="17" customHeight="1" x14ac:dyDescent="0.25">
      <c r="A63" s="198" t="str">
        <f>IF($AI63="","",IF($AH63=$AH62,"",IF(INDEX('Roadmap Calc (Don’t Touch)'!$U$2:$U$151,$AI63)=0,$AH63,HYPERLINK("#'Control (Don’t Touch)'!E"&amp;INDEX('Roadmap Calc (Don’t Touch)'!$U$2:$U$151,$AI63),$AH63))))</f>
        <v/>
      </c>
      <c r="B63" s="153" t="str">
        <f>IF($AI63="","",IF(INDEX('Roadmap Calc (Don’t Touch)'!$K$2:$K$151,$AI63)="",INDEX('Roadmap Calc (Don’t Touch)'!$B$2:$B$151,$AI63),HYPERLINK("https://jira.bnh.com/browse/"&amp;INDEX('Roadmap Calc (Don’t Touch)'!$K$2:$K$151,$AI63),INDEX('Roadmap Calc (Don’t Touch)'!$B$2:$B$151,$AI63))))</f>
        <v/>
      </c>
      <c r="C63" s="159" t="str">
        <f>IF($AI63="","",IF(INDEX('Roadmap Calc (Don’t Touch)'!$E$2:$E$151,$AI63)="","",HYPERLINK("https://jira.bnh.com/browse/"&amp;INDEX('Roadmap Calc (Don’t Touch)'!$E$2:$E$151,$AI63),INDEX('Roadmap Calc (Don’t Touch)'!$E$2:$E$151,$AI63))))</f>
        <v/>
      </c>
      <c r="D63" s="160" t="str">
        <f>IF($AI63="","",INDEX('Roadmap Calc (Don’t Touch)'!$F$2:$F$151,$AI63))</f>
        <v/>
      </c>
      <c r="E63" s="155" t="str">
        <f>IF($AI63="","",IF(ISNUMBER(INDEX('Roadmap Calc (Don’t Touch)'!$G$2:$G$151,$AI63)),INDEX('Roadmap Calc (Don’t Touch)'!$G$2:$G$151,$AI63),""))</f>
        <v/>
      </c>
      <c r="F63" s="155" t="str">
        <f>IF($AI63="","",IF(ISNUMBER(INDEX('Roadmap Calc (Don’t Touch)'!$H$2:$H$151,$AI63)),INDEX('Roadmap Calc (Don’t Touch)'!$H$2:$H$151,$AI63),""))</f>
        <v/>
      </c>
      <c r="G63" s="156" t="str">
        <f>IF($AI63="","",INDEX('Roadmap Calc (Don’t Touch)'!$T$2:$T$151,$AI63))</f>
        <v/>
      </c>
      <c r="H63" s="157" t="str">
        <f>IF($AI63="","",IF(ISNUMBER(INDEX('Roadmap Calc (Don’t Touch)'!$I$2:$I$151,$AI63)),INDEX('Roadmap Calc (Don’t Touch)'!$I$2:$I$151,$AI63),""))</f>
        <v/>
      </c>
      <c r="I63" s="157" t="str">
        <f>IF($AI63="","",IF(ISNUMBER(INDEX('Roadmap Calc (Don’t Touch)'!$J$2:$J$151,$AI63)),INDEX('Roadmap Calc (Don’t Touch)'!$J$2:$J$151,$AI63),""))</f>
        <v/>
      </c>
      <c r="J63" s="158" t="str">
        <f>IF($AI63="","",IF(AND($AN63&lt;&gt;"",$AN63&lt;=EOMONTH(J$12,0),$AO63&gt;=J$12),IF(AND(INDEX('Roadmap Calc (Don’t Touch)'!$AA$2:$AX$151,$AI63,COLUMN()-COLUMN($J$16)+1)&gt;0,OR($D63="03. UX Discovery",$D63="04. UX Design")),IF(AND($H63&lt;&gt;"",$H63&lt;=EOMONTH(J$12,0),$I63&gt;=J$12),"ALL","PD+UX"),IF(AND($H63&lt;&gt;"",$H63&lt;=EOMONTH(J$12,0),$I63&gt;=J$12),"PD+DEV","PD")),IF(AND(INDEX('Roadmap Calc (Don’t Touch)'!$AA$2:$AX$151,$AI63,COLUMN()-COLUMN($J$16)+1)&gt;0,OR($D63="03. UX Discovery",$D63="04. UX Design")),IF(AND($H63&lt;&gt;"",$H63&lt;=EOMONTH(J$12,0),$I63&gt;=J$12),"UX+DEV","UX"),IF(AND($H63&lt;&gt;"",$H63&lt;=EOMONTH(J$12,0),$I63&gt;=J$12),"DEV",""))))</f>
      </c>
      <c r="K63" s="158" t="str">
        <f>IF($AI63="","",IF(AND($AN63&lt;&gt;"",$AN63&lt;=EOMONTH(K$12,0),$AO63&gt;=K$12),IF(AND(INDEX('Roadmap Calc (Don’t Touch)'!$AA$2:$AX$151,$AI63,COLUMN()-COLUMN($J$16)+1)&gt;0,OR($D63="03. UX Discovery",$D63="04. UX Design")),IF(AND($H63&lt;&gt;"",$H63&lt;=EOMONTH(K$12,0),$I63&gt;=K$12),"ALL","PD+UX"),IF(AND($H63&lt;&gt;"",$H63&lt;=EOMONTH(K$12,0),$I63&gt;=K$12),"PD+DEV","PD")),IF(AND(INDEX('Roadmap Calc (Don’t Touch)'!$AA$2:$AX$151,$AI63,COLUMN()-COLUMN($J$16)+1)&gt;0,OR($D63="03. UX Discovery",$D63="04. UX Design")),IF(AND($H63&lt;&gt;"",$H63&lt;=EOMONTH(K$12,0),$I63&gt;=K$12),"UX+DEV","UX"),IF(AND($H63&lt;&gt;"",$H63&lt;=EOMONTH(K$12,0),$I63&gt;=K$12),"DEV",""))))</f>
      </c>
      <c r="L63" s="158" t="str">
        <f>IF($AI63="","",IF(AND($AN63&lt;&gt;"",$AN63&lt;=EOMONTH(L$12,0),$AO63&gt;=L$12),IF(AND(INDEX('Roadmap Calc (Don’t Touch)'!$AA$2:$AX$151,$AI63,COLUMN()-COLUMN($J$16)+1)&gt;0,OR($D63="03. UX Discovery",$D63="04. UX Design")),IF(AND($H63&lt;&gt;"",$H63&lt;=EOMONTH(L$12,0),$I63&gt;=L$12),"ALL","PD+UX"),IF(AND($H63&lt;&gt;"",$H63&lt;=EOMONTH(L$12,0),$I63&gt;=L$12),"PD+DEV","PD")),IF(AND(INDEX('Roadmap Calc (Don’t Touch)'!$AA$2:$AX$151,$AI63,COLUMN()-COLUMN($J$16)+1)&gt;0,OR($D63="03. UX Discovery",$D63="04. UX Design")),IF(AND($H63&lt;&gt;"",$H63&lt;=EOMONTH(L$12,0),$I63&gt;=L$12),"UX+DEV","UX"),IF(AND($H63&lt;&gt;"",$H63&lt;=EOMONTH(L$12,0),$I63&gt;=L$12),"DEV",""))))</f>
      </c>
      <c r="M63" s="158" t="str">
        <f>IF($AI63="","",IF(AND($AN63&lt;&gt;"",$AN63&lt;=EOMONTH(M$12,0),$AO63&gt;=M$12),IF(AND(INDEX('Roadmap Calc (Don’t Touch)'!$AA$2:$AX$151,$AI63,COLUMN()-COLUMN($J$16)+1)&gt;0,OR($D63="03. UX Discovery",$D63="04. UX Design")),IF(AND($H63&lt;&gt;"",$H63&lt;=EOMONTH(M$12,0),$I63&gt;=M$12),"ALL","PD+UX"),IF(AND($H63&lt;&gt;"",$H63&lt;=EOMONTH(M$12,0),$I63&gt;=M$12),"PD+DEV","PD")),IF(AND(INDEX('Roadmap Calc (Don’t Touch)'!$AA$2:$AX$151,$AI63,COLUMN()-COLUMN($J$16)+1)&gt;0,OR($D63="03. UX Discovery",$D63="04. UX Design")),IF(AND($H63&lt;&gt;"",$H63&lt;=EOMONTH(M$12,0),$I63&gt;=M$12),"UX+DEV","UX"),IF(AND($H63&lt;&gt;"",$H63&lt;=EOMONTH(M$12,0),$I63&gt;=M$12),"DEV",""))))</f>
      </c>
      <c r="N63" s="158" t="str">
        <f>IF($AI63="","",IF(AND($AN63&lt;&gt;"",$AN63&lt;=EOMONTH(N$12,0),$AO63&gt;=N$12),IF(AND(INDEX('Roadmap Calc (Don’t Touch)'!$AA$2:$AX$151,$AI63,COLUMN()-COLUMN($J$16)+1)&gt;0,OR($D63="03. UX Discovery",$D63="04. UX Design")),IF(AND($H63&lt;&gt;"",$H63&lt;=EOMONTH(N$12,0),$I63&gt;=N$12),"ALL","PD+UX"),IF(AND($H63&lt;&gt;"",$H63&lt;=EOMONTH(N$12,0),$I63&gt;=N$12),"PD+DEV","PD")),IF(AND(INDEX('Roadmap Calc (Don’t Touch)'!$AA$2:$AX$151,$AI63,COLUMN()-COLUMN($J$16)+1)&gt;0,OR($D63="03. UX Discovery",$D63="04. UX Design")),IF(AND($H63&lt;&gt;"",$H63&lt;=EOMONTH(N$12,0),$I63&gt;=N$12),"UX+DEV","UX"),IF(AND($H63&lt;&gt;"",$H63&lt;=EOMONTH(N$12,0),$I63&gt;=N$12),"DEV",""))))</f>
      </c>
      <c r="O63" s="158" t="str">
        <f>IF($AI63="","",IF(AND($AN63&lt;&gt;"",$AN63&lt;=EOMONTH(O$12,0),$AO63&gt;=O$12),IF(AND(INDEX('Roadmap Calc (Don’t Touch)'!$AA$2:$AX$151,$AI63,COLUMN()-COLUMN($J$16)+1)&gt;0,OR($D63="03. UX Discovery",$D63="04. UX Design")),IF(AND($H63&lt;&gt;"",$H63&lt;=EOMONTH(O$12,0),$I63&gt;=O$12),"ALL","PD+UX"),IF(AND($H63&lt;&gt;"",$H63&lt;=EOMONTH(O$12,0),$I63&gt;=O$12),"PD+DEV","PD")),IF(AND(INDEX('Roadmap Calc (Don’t Touch)'!$AA$2:$AX$151,$AI63,COLUMN()-COLUMN($J$16)+1)&gt;0,OR($D63="03. UX Discovery",$D63="04. UX Design")),IF(AND($H63&lt;&gt;"",$H63&lt;=EOMONTH(O$12,0),$I63&gt;=O$12),"UX+DEV","UX"),IF(AND($H63&lt;&gt;"",$H63&lt;=EOMONTH(O$12,0),$I63&gt;=O$12),"DEV",""))))</f>
      </c>
      <c r="P63" s="158" t="str">
        <f>IF($AI63="","",IF(AND($AN63&lt;&gt;"",$AN63&lt;=EOMONTH(P$12,0),$AO63&gt;=P$12),IF(AND(INDEX('Roadmap Calc (Don’t Touch)'!$AA$2:$AX$151,$AI63,COLUMN()-COLUMN($J$16)+1)&gt;0,OR($D63="03. UX Discovery",$D63="04. UX Design")),IF(AND($H63&lt;&gt;"",$H63&lt;=EOMONTH(P$12,0),$I63&gt;=P$12),"ALL","PD+UX"),IF(AND($H63&lt;&gt;"",$H63&lt;=EOMONTH(P$12,0),$I63&gt;=P$12),"PD+DEV","PD")),IF(AND(INDEX('Roadmap Calc (Don’t Touch)'!$AA$2:$AX$151,$AI63,COLUMN()-COLUMN($J$16)+1)&gt;0,OR($D63="03. UX Discovery",$D63="04. UX Design")),IF(AND($H63&lt;&gt;"",$H63&lt;=EOMONTH(P$12,0),$I63&gt;=P$12),"UX+DEV","UX"),IF(AND($H63&lt;&gt;"",$H63&lt;=EOMONTH(P$12,0),$I63&gt;=P$12),"DEV",""))))</f>
      </c>
      <c r="Q63" s="158" t="str">
        <f>IF($AI63="","",IF(AND($AN63&lt;&gt;"",$AN63&lt;=EOMONTH(Q$12,0),$AO63&gt;=Q$12),IF(AND(INDEX('Roadmap Calc (Don’t Touch)'!$AA$2:$AX$151,$AI63,COLUMN()-COLUMN($J$16)+1)&gt;0,OR($D63="03. UX Discovery",$D63="04. UX Design")),IF(AND($H63&lt;&gt;"",$H63&lt;=EOMONTH(Q$12,0),$I63&gt;=Q$12),"ALL","PD+UX"),IF(AND($H63&lt;&gt;"",$H63&lt;=EOMONTH(Q$12,0),$I63&gt;=Q$12),"PD+DEV","PD")),IF(AND(INDEX('Roadmap Calc (Don’t Touch)'!$AA$2:$AX$151,$AI63,COLUMN()-COLUMN($J$16)+1)&gt;0,OR($D63="03. UX Discovery",$D63="04. UX Design")),IF(AND($H63&lt;&gt;"",$H63&lt;=EOMONTH(Q$12,0),$I63&gt;=Q$12),"UX+DEV","UX"),IF(AND($H63&lt;&gt;"",$H63&lt;=EOMONTH(Q$12,0),$I63&gt;=Q$12),"DEV",""))))</f>
      </c>
      <c r="R63" s="158" t="str">
        <f>IF($AI63="","",IF(AND($AN63&lt;&gt;"",$AN63&lt;=EOMONTH(R$12,0),$AO63&gt;=R$12),IF(AND(INDEX('Roadmap Calc (Don’t Touch)'!$AA$2:$AX$151,$AI63,COLUMN()-COLUMN($J$16)+1)&gt;0,OR($D63="03. UX Discovery",$D63="04. UX Design")),IF(AND($H63&lt;&gt;"",$H63&lt;=EOMONTH(R$12,0),$I63&gt;=R$12),"ALL","PD+UX"),IF(AND($H63&lt;&gt;"",$H63&lt;=EOMONTH(R$12,0),$I63&gt;=R$12),"PD+DEV","PD")),IF(AND(INDEX('Roadmap Calc (Don’t Touch)'!$AA$2:$AX$151,$AI63,COLUMN()-COLUMN($J$16)+1)&gt;0,OR($D63="03. UX Discovery",$D63="04. UX Design")),IF(AND($H63&lt;&gt;"",$H63&lt;=EOMONTH(R$12,0),$I63&gt;=R$12),"UX+DEV","UX"),IF(AND($H63&lt;&gt;"",$H63&lt;=EOMONTH(R$12,0),$I63&gt;=R$12),"DEV",""))))</f>
      </c>
      <c r="S63" s="158" t="str">
        <f>IF($AI63="","",IF(AND($AN63&lt;&gt;"",$AN63&lt;=EOMONTH(S$12,0),$AO63&gt;=S$12),IF(AND(INDEX('Roadmap Calc (Don’t Touch)'!$AA$2:$AX$151,$AI63,COLUMN()-COLUMN($J$16)+1)&gt;0,OR($D63="03. UX Discovery",$D63="04. UX Design")),IF(AND($H63&lt;&gt;"",$H63&lt;=EOMONTH(S$12,0),$I63&gt;=S$12),"ALL","PD+UX"),IF(AND($H63&lt;&gt;"",$H63&lt;=EOMONTH(S$12,0),$I63&gt;=S$12),"PD+DEV","PD")),IF(AND(INDEX('Roadmap Calc (Don’t Touch)'!$AA$2:$AX$151,$AI63,COLUMN()-COLUMN($J$16)+1)&gt;0,OR($D63="03. UX Discovery",$D63="04. UX Design")),IF(AND($H63&lt;&gt;"",$H63&lt;=EOMONTH(S$12,0),$I63&gt;=S$12),"UX+DEV","UX"),IF(AND($H63&lt;&gt;"",$H63&lt;=EOMONTH(S$12,0),$I63&gt;=S$12),"DEV",""))))</f>
      </c>
      <c r="T63" s="158" t="str">
        <f>IF($AI63="","",IF(AND($AN63&lt;&gt;"",$AN63&lt;=EOMONTH(T$12,0),$AO63&gt;=T$12),IF(AND(INDEX('Roadmap Calc (Don’t Touch)'!$AA$2:$AX$151,$AI63,COLUMN()-COLUMN($J$16)+1)&gt;0,OR($D63="03. UX Discovery",$D63="04. UX Design")),IF(AND($H63&lt;&gt;"",$H63&lt;=EOMONTH(T$12,0),$I63&gt;=T$12),"ALL","PD+UX"),IF(AND($H63&lt;&gt;"",$H63&lt;=EOMONTH(T$12,0),$I63&gt;=T$12),"PD+DEV","PD")),IF(AND(INDEX('Roadmap Calc (Don’t Touch)'!$AA$2:$AX$151,$AI63,COLUMN()-COLUMN($J$16)+1)&gt;0,OR($D63="03. UX Discovery",$D63="04. UX Design")),IF(AND($H63&lt;&gt;"",$H63&lt;=EOMONTH(T$12,0),$I63&gt;=T$12),"UX+DEV","UX"),IF(AND($H63&lt;&gt;"",$H63&lt;=EOMONTH(T$12,0),$I63&gt;=T$12),"DEV",""))))</f>
      </c>
      <c r="U63" s="158" t="str">
        <f>IF($AI63="","",IF(AND($AN63&lt;&gt;"",$AN63&lt;=EOMONTH(U$12,0),$AO63&gt;=U$12),IF(AND(INDEX('Roadmap Calc (Don’t Touch)'!$AA$2:$AX$151,$AI63,COLUMN()-COLUMN($J$16)+1)&gt;0,OR($D63="03. UX Discovery",$D63="04. UX Design")),IF(AND($H63&lt;&gt;"",$H63&lt;=EOMONTH(U$12,0),$I63&gt;=U$12),"ALL","PD+UX"),IF(AND($H63&lt;&gt;"",$H63&lt;=EOMONTH(U$12,0),$I63&gt;=U$12),"PD+DEV","PD")),IF(AND(INDEX('Roadmap Calc (Don’t Touch)'!$AA$2:$AX$151,$AI63,COLUMN()-COLUMN($J$16)+1)&gt;0,OR($D63="03. UX Discovery",$D63="04. UX Design")),IF(AND($H63&lt;&gt;"",$H63&lt;=EOMONTH(U$12,0),$I63&gt;=U$12),"UX+DEV","UX"),IF(AND($H63&lt;&gt;"",$H63&lt;=EOMONTH(U$12,0),$I63&gt;=U$12),"DEV",""))))</f>
      </c>
      <c r="V63" s="158" t="str">
        <f>IF($AI63="","",IF(AND($AN63&lt;&gt;"",$AN63&lt;=EOMONTH(V$12,0),$AO63&gt;=V$12),IF(AND(INDEX('Roadmap Calc (Don’t Touch)'!$AA$2:$AX$151,$AI63,COLUMN()-COLUMN($J$16)+1)&gt;0,OR($D63="03. UX Discovery",$D63="04. UX Design")),IF(AND($H63&lt;&gt;"",$H63&lt;=EOMONTH(V$12,0),$I63&gt;=V$12),"ALL","PD+UX"),IF(AND($H63&lt;&gt;"",$H63&lt;=EOMONTH(V$12,0),$I63&gt;=V$12),"PD+DEV","PD")),IF(AND(INDEX('Roadmap Calc (Don’t Touch)'!$AA$2:$AX$151,$AI63,COLUMN()-COLUMN($J$16)+1)&gt;0,OR($D63="03. UX Discovery",$D63="04. UX Design")),IF(AND($H63&lt;&gt;"",$H63&lt;=EOMONTH(V$12,0),$I63&gt;=V$12),"UX+DEV","UX"),IF(AND($H63&lt;&gt;"",$H63&lt;=EOMONTH(V$12,0),$I63&gt;=V$12),"DEV",""))))</f>
      </c>
      <c r="W63" s="158" t="str">
        <f>IF($AI63="","",IF(AND($AN63&lt;&gt;"",$AN63&lt;=EOMONTH(W$12,0),$AO63&gt;=W$12),IF(AND(INDEX('Roadmap Calc (Don’t Touch)'!$AA$2:$AX$151,$AI63,COLUMN()-COLUMN($J$16)+1)&gt;0,OR($D63="03. UX Discovery",$D63="04. UX Design")),IF(AND($H63&lt;&gt;"",$H63&lt;=EOMONTH(W$12,0),$I63&gt;=W$12),"ALL","PD+UX"),IF(AND($H63&lt;&gt;"",$H63&lt;=EOMONTH(W$12,0),$I63&gt;=W$12),"PD+DEV","PD")),IF(AND(INDEX('Roadmap Calc (Don’t Touch)'!$AA$2:$AX$151,$AI63,COLUMN()-COLUMN($J$16)+1)&gt;0,OR($D63="03. UX Discovery",$D63="04. UX Design")),IF(AND($H63&lt;&gt;"",$H63&lt;=EOMONTH(W$12,0),$I63&gt;=W$12),"UX+DEV","UX"),IF(AND($H63&lt;&gt;"",$H63&lt;=EOMONTH(W$12,0),$I63&gt;=W$12),"DEV",""))))</f>
      </c>
      <c r="X63" s="158" t="str">
        <f>IF($AI63="","",IF(AND($AN63&lt;&gt;"",$AN63&lt;=EOMONTH(X$12,0),$AO63&gt;=X$12),IF(AND(INDEX('Roadmap Calc (Don’t Touch)'!$AA$2:$AX$151,$AI63,COLUMN()-COLUMN($J$16)+1)&gt;0,OR($D63="03. UX Discovery",$D63="04. UX Design")),IF(AND($H63&lt;&gt;"",$H63&lt;=EOMONTH(X$12,0),$I63&gt;=X$12),"ALL","PD+UX"),IF(AND($H63&lt;&gt;"",$H63&lt;=EOMONTH(X$12,0),$I63&gt;=X$12),"PD+DEV","PD")),IF(AND(INDEX('Roadmap Calc (Don’t Touch)'!$AA$2:$AX$151,$AI63,COLUMN()-COLUMN($J$16)+1)&gt;0,OR($D63="03. UX Discovery",$D63="04. UX Design")),IF(AND($H63&lt;&gt;"",$H63&lt;=EOMONTH(X$12,0),$I63&gt;=X$12),"UX+DEV","UX"),IF(AND($H63&lt;&gt;"",$H63&lt;=EOMONTH(X$12,0),$I63&gt;=X$12),"DEV",""))))</f>
      </c>
      <c r="Y63" s="158" t="str">
        <f>IF($AI63="","",IF(AND($AN63&lt;&gt;"",$AN63&lt;=EOMONTH(Y$12,0),$AO63&gt;=Y$12),IF(AND(INDEX('Roadmap Calc (Don’t Touch)'!$AA$2:$AX$151,$AI63,COLUMN()-COLUMN($J$16)+1)&gt;0,OR($D63="03. UX Discovery",$D63="04. UX Design")),IF(AND($H63&lt;&gt;"",$H63&lt;=EOMONTH(Y$12,0),$I63&gt;=Y$12),"ALL","PD+UX"),IF(AND($H63&lt;&gt;"",$H63&lt;=EOMONTH(Y$12,0),$I63&gt;=Y$12),"PD+DEV","PD")),IF(AND(INDEX('Roadmap Calc (Don’t Touch)'!$AA$2:$AX$151,$AI63,COLUMN()-COLUMN($J$16)+1)&gt;0,OR($D63="03. UX Discovery",$D63="04. UX Design")),IF(AND($H63&lt;&gt;"",$H63&lt;=EOMONTH(Y$12,0),$I63&gt;=Y$12),"UX+DEV","UX"),IF(AND($H63&lt;&gt;"",$H63&lt;=EOMONTH(Y$12,0),$I63&gt;=Y$12),"DEV",""))))</f>
      </c>
      <c r="Z63" s="158" t="str">
        <f>IF($AI63="","",IF(AND($AN63&lt;&gt;"",$AN63&lt;=EOMONTH(Z$12,0),$AO63&gt;=Z$12),IF(AND(INDEX('Roadmap Calc (Don’t Touch)'!$AA$2:$AX$151,$AI63,COLUMN()-COLUMN($J$16)+1)&gt;0,OR($D63="03. UX Discovery",$D63="04. UX Design")),IF(AND($H63&lt;&gt;"",$H63&lt;=EOMONTH(Z$12,0),$I63&gt;=Z$12),"ALL","PD+UX"),IF(AND($H63&lt;&gt;"",$H63&lt;=EOMONTH(Z$12,0),$I63&gt;=Z$12),"PD+DEV","PD")),IF(AND(INDEX('Roadmap Calc (Don’t Touch)'!$AA$2:$AX$151,$AI63,COLUMN()-COLUMN($J$16)+1)&gt;0,OR($D63="03. UX Discovery",$D63="04. UX Design")),IF(AND($H63&lt;&gt;"",$H63&lt;=EOMONTH(Z$12,0),$I63&gt;=Z$12),"UX+DEV","UX"),IF(AND($H63&lt;&gt;"",$H63&lt;=EOMONTH(Z$12,0),$I63&gt;=Z$12),"DEV",""))))</f>
      </c>
      <c r="AA63" s="158" t="str">
        <f>IF($AI63="","",IF(AND($AN63&lt;&gt;"",$AN63&lt;=EOMONTH(AA$12,0),$AO63&gt;=AA$12),IF(AND(INDEX('Roadmap Calc (Don’t Touch)'!$AA$2:$AX$151,$AI63,COLUMN()-COLUMN($J$16)+1)&gt;0,OR($D63="03. UX Discovery",$D63="04. UX Design")),IF(AND($H63&lt;&gt;"",$H63&lt;=EOMONTH(AA$12,0),$I63&gt;=AA$12),"ALL","PD+UX"),IF(AND($H63&lt;&gt;"",$H63&lt;=EOMONTH(AA$12,0),$I63&gt;=AA$12),"PD+DEV","PD")),IF(AND(INDEX('Roadmap Calc (Don’t Touch)'!$AA$2:$AX$151,$AI63,COLUMN()-COLUMN($J$16)+1)&gt;0,OR($D63="03. UX Discovery",$D63="04. UX Design")),IF(AND($H63&lt;&gt;"",$H63&lt;=EOMONTH(AA$12,0),$I63&gt;=AA$12),"UX+DEV","UX"),IF(AND($H63&lt;&gt;"",$H63&lt;=EOMONTH(AA$12,0),$I63&gt;=AA$12),"DEV",""))))</f>
      </c>
      <c r="AB63" s="158" t="str">
        <f>IF($AI63="","",IF(AND($AN63&lt;&gt;"",$AN63&lt;=EOMONTH(AB$12,0),$AO63&gt;=AB$12),IF(AND(INDEX('Roadmap Calc (Don’t Touch)'!$AA$2:$AX$151,$AI63,COLUMN()-COLUMN($J$16)+1)&gt;0,OR($D63="03. UX Discovery",$D63="04. UX Design")),IF(AND($H63&lt;&gt;"",$H63&lt;=EOMONTH(AB$12,0),$I63&gt;=AB$12),"ALL","PD+UX"),IF(AND($H63&lt;&gt;"",$H63&lt;=EOMONTH(AB$12,0),$I63&gt;=AB$12),"PD+DEV","PD")),IF(AND(INDEX('Roadmap Calc (Don’t Touch)'!$AA$2:$AX$151,$AI63,COLUMN()-COLUMN($J$16)+1)&gt;0,OR($D63="03. UX Discovery",$D63="04. UX Design")),IF(AND($H63&lt;&gt;"",$H63&lt;=EOMONTH(AB$12,0),$I63&gt;=AB$12),"UX+DEV","UX"),IF(AND($H63&lt;&gt;"",$H63&lt;=EOMONTH(AB$12,0),$I63&gt;=AB$12),"DEV",""))))</f>
      </c>
      <c r="AC63" s="158" t="str">
        <f>IF($AI63="","",IF(AND($AN63&lt;&gt;"",$AN63&lt;=EOMONTH(AC$12,0),$AO63&gt;=AC$12),IF(AND(INDEX('Roadmap Calc (Don’t Touch)'!$AA$2:$AX$151,$AI63,COLUMN()-COLUMN($J$16)+1)&gt;0,OR($D63="03. UX Discovery",$D63="04. UX Design")),IF(AND($H63&lt;&gt;"",$H63&lt;=EOMONTH(AC$12,0),$I63&gt;=AC$12),"ALL","PD+UX"),IF(AND($H63&lt;&gt;"",$H63&lt;=EOMONTH(AC$12,0),$I63&gt;=AC$12),"PD+DEV","PD")),IF(AND(INDEX('Roadmap Calc (Don’t Touch)'!$AA$2:$AX$151,$AI63,COLUMN()-COLUMN($J$16)+1)&gt;0,OR($D63="03. UX Discovery",$D63="04. UX Design")),IF(AND($H63&lt;&gt;"",$H63&lt;=EOMONTH(AC$12,0),$I63&gt;=AC$12),"UX+DEV","UX"),IF(AND($H63&lt;&gt;"",$H63&lt;=EOMONTH(AC$12,0),$I63&gt;=AC$12),"DEV",""))))</f>
      </c>
      <c r="AD63" s="158" t="str">
        <f>IF($AI63="","",IF(AND($AN63&lt;&gt;"",$AN63&lt;=EOMONTH(AD$12,0),$AO63&gt;=AD$12),IF(AND(INDEX('Roadmap Calc (Don’t Touch)'!$AA$2:$AX$151,$AI63,COLUMN()-COLUMN($J$16)+1)&gt;0,OR($D63="03. UX Discovery",$D63="04. UX Design")),IF(AND($H63&lt;&gt;"",$H63&lt;=EOMONTH(AD$12,0),$I63&gt;=AD$12),"ALL","PD+UX"),IF(AND($H63&lt;&gt;"",$H63&lt;=EOMONTH(AD$12,0),$I63&gt;=AD$12),"PD+DEV","PD")),IF(AND(INDEX('Roadmap Calc (Don’t Touch)'!$AA$2:$AX$151,$AI63,COLUMN()-COLUMN($J$16)+1)&gt;0,OR($D63="03. UX Discovery",$D63="04. UX Design")),IF(AND($H63&lt;&gt;"",$H63&lt;=EOMONTH(AD$12,0),$I63&gt;=AD$12),"UX+DEV","UX"),IF(AND($H63&lt;&gt;"",$H63&lt;=EOMONTH(AD$12,0),$I63&gt;=AD$12),"DEV",""))))</f>
      </c>
      <c r="AE63" s="158" t="str">
        <f>IF($AI63="","",IF(AND($AN63&lt;&gt;"",$AN63&lt;=EOMONTH(AE$12,0),$AO63&gt;=AE$12),IF(AND(INDEX('Roadmap Calc (Don’t Touch)'!$AA$2:$AX$151,$AI63,COLUMN()-COLUMN($J$16)+1)&gt;0,OR($D63="03. UX Discovery",$D63="04. UX Design")),IF(AND($H63&lt;&gt;"",$H63&lt;=EOMONTH(AE$12,0),$I63&gt;=AE$12),"ALL","PD+UX"),IF(AND($H63&lt;&gt;"",$H63&lt;=EOMONTH(AE$12,0),$I63&gt;=AE$12),"PD+DEV","PD")),IF(AND(INDEX('Roadmap Calc (Don’t Touch)'!$AA$2:$AX$151,$AI63,COLUMN()-COLUMN($J$16)+1)&gt;0,OR($D63="03. UX Discovery",$D63="04. UX Design")),IF(AND($H63&lt;&gt;"",$H63&lt;=EOMONTH(AE$12,0),$I63&gt;=AE$12),"UX+DEV","UX"),IF(AND($H63&lt;&gt;"",$H63&lt;=EOMONTH(AE$12,0),$I63&gt;=AE$12),"DEV",""))))</f>
      </c>
      <c r="AF63" s="158" t="str">
        <f>IF($AI63="","",IF(AND($AN63&lt;&gt;"",$AN63&lt;=EOMONTH(AF$12,0),$AO63&gt;=AF$12),IF(AND(INDEX('Roadmap Calc (Don’t Touch)'!$AA$2:$AX$151,$AI63,COLUMN()-COLUMN($J$16)+1)&gt;0,OR($D63="03. UX Discovery",$D63="04. UX Design")),IF(AND($H63&lt;&gt;"",$H63&lt;=EOMONTH(AF$12,0),$I63&gt;=AF$12),"ALL","PD+UX"),IF(AND($H63&lt;&gt;"",$H63&lt;=EOMONTH(AF$12,0),$I63&gt;=AF$12),"PD+DEV","PD")),IF(AND(INDEX('Roadmap Calc (Don’t Touch)'!$AA$2:$AX$151,$AI63,COLUMN()-COLUMN($J$16)+1)&gt;0,OR($D63="03. UX Discovery",$D63="04. UX Design")),IF(AND($H63&lt;&gt;"",$H63&lt;=EOMONTH(AF$12,0),$I63&gt;=AF$12),"UX+DEV","UX"),IF(AND($H63&lt;&gt;"",$H63&lt;=EOMONTH(AF$12,0),$I63&gt;=AF$12),"DEV",""))))</f>
      </c>
      <c r="AG63" s="158" t="str">
        <f>IF($AI63="","",IF(AND($AN63&lt;&gt;"",$AN63&lt;=EOMONTH(AG$12,0),$AO63&gt;=AG$12),IF(AND(INDEX('Roadmap Calc (Don’t Touch)'!$AA$2:$AX$151,$AI63,COLUMN()-COLUMN($J$16)+1)&gt;0,OR($D63="03. UX Discovery",$D63="04. UX Design")),IF(AND($H63&lt;&gt;"",$H63&lt;=EOMONTH(AG$12,0),$I63&gt;=AG$12),"ALL","PD+UX"),IF(AND($H63&lt;&gt;"",$H63&lt;=EOMONTH(AG$12,0),$I63&gt;=AG$12),"PD+DEV","PD")),IF(AND(INDEX('Roadmap Calc (Don’t Touch)'!$AA$2:$AX$151,$AI63,COLUMN()-COLUMN($J$16)+1)&gt;0,OR($D63="03. UX Discovery",$D63="04. UX Design")),IF(AND($H63&lt;&gt;"",$H63&lt;=EOMONTH(AG$12,0),$I63&gt;=AG$12),"UX+DEV","UX"),IF(AND($H63&lt;&gt;"",$H63&lt;=EOMONTH(AG$12,0),$I63&gt;=AG$12),"DEV",""))))</f>
      </c>
      <c r="AH63" s="145" t="str">
        <f>IF($AI63="","",INDEX('Roadmap Calc (Don’t Touch)'!$D$2:$D$151,$AI63))</f>
        <v/>
      </c>
      <c r="AI63" s="145" t="str">
        <f>IFERROR(MATCH(48,'Roadmap Calc (Don’t Touch)'!$O$2:$O$151,0),"")</f>
        <v/>
      </c>
      <c r="AJ63" s="145"/>
      <c r="AK63" s="145"/>
      <c r="AL63" s="145"/>
      <c r="AM63" s="145"/>
      <c r="AN63">
        <f>IF($AI63="","",IF(ISNUMBER(INDEX('Roadmap Calc (Don’t Touch)'!$BB$2:$BB$151,$AI63)),INDEX('Roadmap Calc (Don’t Touch)'!$BB$2:$BB$151,$AI63),""))</f>
      </c>
      <c r="AO63">
        <f>IF($AI63="","",IF(ISNUMBER(INDEX('Roadmap Calc (Don’t Touch)'!$BC$2:$BC$151,$AI63)),INDEX('Roadmap Calc (Don’t Touch)'!$BC$2:$BC$151,$AI63),""))</f>
      </c>
    </row>
    <row r="64" spans="1:41" ht="17" customHeight="1" x14ac:dyDescent="0.25">
      <c r="A64" s="198" t="str">
        <f>IF($AI64="","",IF($AH64=$AH63,"",IF(INDEX('Roadmap Calc (Don’t Touch)'!$U$2:$U$151,$AI64)=0,$AH64,HYPERLINK("#'Control (Don’t Touch)'!E"&amp;INDEX('Roadmap Calc (Don’t Touch)'!$U$2:$U$151,$AI64),$AH64))))</f>
        <v/>
      </c>
      <c r="B64" s="153" t="str">
        <f>IF($AI64="","",IF(INDEX('Roadmap Calc (Don’t Touch)'!$K$2:$K$151,$AI64)="",INDEX('Roadmap Calc (Don’t Touch)'!$B$2:$B$151,$AI64),HYPERLINK("https://jira.bnh.com/browse/"&amp;INDEX('Roadmap Calc (Don’t Touch)'!$K$2:$K$151,$AI64),INDEX('Roadmap Calc (Don’t Touch)'!$B$2:$B$151,$AI64))))</f>
        <v/>
      </c>
      <c r="C64" s="159" t="str">
        <f>IF($AI64="","",IF(INDEX('Roadmap Calc (Don’t Touch)'!$E$2:$E$151,$AI64)="","",HYPERLINK("https://jira.bnh.com/browse/"&amp;INDEX('Roadmap Calc (Don’t Touch)'!$E$2:$E$151,$AI64),INDEX('Roadmap Calc (Don’t Touch)'!$E$2:$E$151,$AI64))))</f>
        <v/>
      </c>
      <c r="D64" s="160" t="str">
        <f>IF($AI64="","",INDEX('Roadmap Calc (Don’t Touch)'!$F$2:$F$151,$AI64))</f>
        <v/>
      </c>
      <c r="E64" s="155" t="str">
        <f>IF($AI64="","",IF(ISNUMBER(INDEX('Roadmap Calc (Don’t Touch)'!$G$2:$G$151,$AI64)),INDEX('Roadmap Calc (Don’t Touch)'!$G$2:$G$151,$AI64),""))</f>
        <v/>
      </c>
      <c r="F64" s="155" t="str">
        <f>IF($AI64="","",IF(ISNUMBER(INDEX('Roadmap Calc (Don’t Touch)'!$H$2:$H$151,$AI64)),INDEX('Roadmap Calc (Don’t Touch)'!$H$2:$H$151,$AI64),""))</f>
        <v/>
      </c>
      <c r="G64" s="156" t="str">
        <f>IF($AI64="","",INDEX('Roadmap Calc (Don’t Touch)'!$T$2:$T$151,$AI64))</f>
        <v/>
      </c>
      <c r="H64" s="157" t="str">
        <f>IF($AI64="","",IF(ISNUMBER(INDEX('Roadmap Calc (Don’t Touch)'!$I$2:$I$151,$AI64)),INDEX('Roadmap Calc (Don’t Touch)'!$I$2:$I$151,$AI64),""))</f>
        <v/>
      </c>
      <c r="I64" s="157" t="str">
        <f>IF($AI64="","",IF(ISNUMBER(INDEX('Roadmap Calc (Don’t Touch)'!$J$2:$J$151,$AI64)),INDEX('Roadmap Calc (Don’t Touch)'!$J$2:$J$151,$AI64),""))</f>
        <v/>
      </c>
      <c r="J64" s="158" t="str">
        <f>IF($AI64="","",IF(AND($AN64&lt;&gt;"",$AN64&lt;=EOMONTH(J$12,0),$AO64&gt;=J$12),IF(AND(INDEX('Roadmap Calc (Don’t Touch)'!$AA$2:$AX$151,$AI64,COLUMN()-COLUMN($J$16)+1)&gt;0,OR($D64="03. UX Discovery",$D64="04. UX Design")),IF(AND($H64&lt;&gt;"",$H64&lt;=EOMONTH(J$12,0),$I64&gt;=J$12),"ALL","PD+UX"),IF(AND($H64&lt;&gt;"",$H64&lt;=EOMONTH(J$12,0),$I64&gt;=J$12),"PD+DEV","PD")),IF(AND(INDEX('Roadmap Calc (Don’t Touch)'!$AA$2:$AX$151,$AI64,COLUMN()-COLUMN($J$16)+1)&gt;0,OR($D64="03. UX Discovery",$D64="04. UX Design")),IF(AND($H64&lt;&gt;"",$H64&lt;=EOMONTH(J$12,0),$I64&gt;=J$12),"UX+DEV","UX"),IF(AND($H64&lt;&gt;"",$H64&lt;=EOMONTH(J$12,0),$I64&gt;=J$12),"DEV",""))))</f>
      </c>
      <c r="K64" s="158" t="str">
        <f>IF($AI64="","",IF(AND($AN64&lt;&gt;"",$AN64&lt;=EOMONTH(K$12,0),$AO64&gt;=K$12),IF(AND(INDEX('Roadmap Calc (Don’t Touch)'!$AA$2:$AX$151,$AI64,COLUMN()-COLUMN($J$16)+1)&gt;0,OR($D64="03. UX Discovery",$D64="04. UX Design")),IF(AND($H64&lt;&gt;"",$H64&lt;=EOMONTH(K$12,0),$I64&gt;=K$12),"ALL","PD+UX"),IF(AND($H64&lt;&gt;"",$H64&lt;=EOMONTH(K$12,0),$I64&gt;=K$12),"PD+DEV","PD")),IF(AND(INDEX('Roadmap Calc (Don’t Touch)'!$AA$2:$AX$151,$AI64,COLUMN()-COLUMN($J$16)+1)&gt;0,OR($D64="03. UX Discovery",$D64="04. UX Design")),IF(AND($H64&lt;&gt;"",$H64&lt;=EOMONTH(K$12,0),$I64&gt;=K$12),"UX+DEV","UX"),IF(AND($H64&lt;&gt;"",$H64&lt;=EOMONTH(K$12,0),$I64&gt;=K$12),"DEV",""))))</f>
      </c>
      <c r="L64" s="158" t="str">
        <f>IF($AI64="","",IF(AND($AN64&lt;&gt;"",$AN64&lt;=EOMONTH(L$12,0),$AO64&gt;=L$12),IF(AND(INDEX('Roadmap Calc (Don’t Touch)'!$AA$2:$AX$151,$AI64,COLUMN()-COLUMN($J$16)+1)&gt;0,OR($D64="03. UX Discovery",$D64="04. UX Design")),IF(AND($H64&lt;&gt;"",$H64&lt;=EOMONTH(L$12,0),$I64&gt;=L$12),"ALL","PD+UX"),IF(AND($H64&lt;&gt;"",$H64&lt;=EOMONTH(L$12,0),$I64&gt;=L$12),"PD+DEV","PD")),IF(AND(INDEX('Roadmap Calc (Don’t Touch)'!$AA$2:$AX$151,$AI64,COLUMN()-COLUMN($J$16)+1)&gt;0,OR($D64="03. UX Discovery",$D64="04. UX Design")),IF(AND($H64&lt;&gt;"",$H64&lt;=EOMONTH(L$12,0),$I64&gt;=L$12),"UX+DEV","UX"),IF(AND($H64&lt;&gt;"",$H64&lt;=EOMONTH(L$12,0),$I64&gt;=L$12),"DEV",""))))</f>
      </c>
      <c r="M64" s="158" t="str">
        <f>IF($AI64="","",IF(AND($AN64&lt;&gt;"",$AN64&lt;=EOMONTH(M$12,0),$AO64&gt;=M$12),IF(AND(INDEX('Roadmap Calc (Don’t Touch)'!$AA$2:$AX$151,$AI64,COLUMN()-COLUMN($J$16)+1)&gt;0,OR($D64="03. UX Discovery",$D64="04. UX Design")),IF(AND($H64&lt;&gt;"",$H64&lt;=EOMONTH(M$12,0),$I64&gt;=M$12),"ALL","PD+UX"),IF(AND($H64&lt;&gt;"",$H64&lt;=EOMONTH(M$12,0),$I64&gt;=M$12),"PD+DEV","PD")),IF(AND(INDEX('Roadmap Calc (Don’t Touch)'!$AA$2:$AX$151,$AI64,COLUMN()-COLUMN($J$16)+1)&gt;0,OR($D64="03. UX Discovery",$D64="04. UX Design")),IF(AND($H64&lt;&gt;"",$H64&lt;=EOMONTH(M$12,0),$I64&gt;=M$12),"UX+DEV","UX"),IF(AND($H64&lt;&gt;"",$H64&lt;=EOMONTH(M$12,0),$I64&gt;=M$12),"DEV",""))))</f>
      </c>
      <c r="N64" s="158" t="str">
        <f>IF($AI64="","",IF(AND($AN64&lt;&gt;"",$AN64&lt;=EOMONTH(N$12,0),$AO64&gt;=N$12),IF(AND(INDEX('Roadmap Calc (Don’t Touch)'!$AA$2:$AX$151,$AI64,COLUMN()-COLUMN($J$16)+1)&gt;0,OR($D64="03. UX Discovery",$D64="04. UX Design")),IF(AND($H64&lt;&gt;"",$H64&lt;=EOMONTH(N$12,0),$I64&gt;=N$12),"ALL","PD+UX"),IF(AND($H64&lt;&gt;"",$H64&lt;=EOMONTH(N$12,0),$I64&gt;=N$12),"PD+DEV","PD")),IF(AND(INDEX('Roadmap Calc (Don’t Touch)'!$AA$2:$AX$151,$AI64,COLUMN()-COLUMN($J$16)+1)&gt;0,OR($D64="03. UX Discovery",$D64="04. UX Design")),IF(AND($H64&lt;&gt;"",$H64&lt;=EOMONTH(N$12,0),$I64&gt;=N$12),"UX+DEV","UX"),IF(AND($H64&lt;&gt;"",$H64&lt;=EOMONTH(N$12,0),$I64&gt;=N$12),"DEV",""))))</f>
      </c>
      <c r="O64" s="158" t="str">
        <f>IF($AI64="","",IF(AND($AN64&lt;&gt;"",$AN64&lt;=EOMONTH(O$12,0),$AO64&gt;=O$12),IF(AND(INDEX('Roadmap Calc (Don’t Touch)'!$AA$2:$AX$151,$AI64,COLUMN()-COLUMN($J$16)+1)&gt;0,OR($D64="03. UX Discovery",$D64="04. UX Design")),IF(AND($H64&lt;&gt;"",$H64&lt;=EOMONTH(O$12,0),$I64&gt;=O$12),"ALL","PD+UX"),IF(AND($H64&lt;&gt;"",$H64&lt;=EOMONTH(O$12,0),$I64&gt;=O$12),"PD+DEV","PD")),IF(AND(INDEX('Roadmap Calc (Don’t Touch)'!$AA$2:$AX$151,$AI64,COLUMN()-COLUMN($J$16)+1)&gt;0,OR($D64="03. UX Discovery",$D64="04. UX Design")),IF(AND($H64&lt;&gt;"",$H64&lt;=EOMONTH(O$12,0),$I64&gt;=O$12),"UX+DEV","UX"),IF(AND($H64&lt;&gt;"",$H64&lt;=EOMONTH(O$12,0),$I64&gt;=O$12),"DEV",""))))</f>
      </c>
      <c r="P64" s="158" t="str">
        <f>IF($AI64="","",IF(AND($AN64&lt;&gt;"",$AN64&lt;=EOMONTH(P$12,0),$AO64&gt;=P$12),IF(AND(INDEX('Roadmap Calc (Don’t Touch)'!$AA$2:$AX$151,$AI64,COLUMN()-COLUMN($J$16)+1)&gt;0,OR($D64="03. UX Discovery",$D64="04. UX Design")),IF(AND($H64&lt;&gt;"",$H64&lt;=EOMONTH(P$12,0),$I64&gt;=P$12),"ALL","PD+UX"),IF(AND($H64&lt;&gt;"",$H64&lt;=EOMONTH(P$12,0),$I64&gt;=P$12),"PD+DEV","PD")),IF(AND(INDEX('Roadmap Calc (Don’t Touch)'!$AA$2:$AX$151,$AI64,COLUMN()-COLUMN($J$16)+1)&gt;0,OR($D64="03. UX Discovery",$D64="04. UX Design")),IF(AND($H64&lt;&gt;"",$H64&lt;=EOMONTH(P$12,0),$I64&gt;=P$12),"UX+DEV","UX"),IF(AND($H64&lt;&gt;"",$H64&lt;=EOMONTH(P$12,0),$I64&gt;=P$12),"DEV",""))))</f>
      </c>
      <c r="Q64" s="158" t="str">
        <f>IF($AI64="","",IF(AND($AN64&lt;&gt;"",$AN64&lt;=EOMONTH(Q$12,0),$AO64&gt;=Q$12),IF(AND(INDEX('Roadmap Calc (Don’t Touch)'!$AA$2:$AX$151,$AI64,COLUMN()-COLUMN($J$16)+1)&gt;0,OR($D64="03. UX Discovery",$D64="04. UX Design")),IF(AND($H64&lt;&gt;"",$H64&lt;=EOMONTH(Q$12,0),$I64&gt;=Q$12),"ALL","PD+UX"),IF(AND($H64&lt;&gt;"",$H64&lt;=EOMONTH(Q$12,0),$I64&gt;=Q$12),"PD+DEV","PD")),IF(AND(INDEX('Roadmap Calc (Don’t Touch)'!$AA$2:$AX$151,$AI64,COLUMN()-COLUMN($J$16)+1)&gt;0,OR($D64="03. UX Discovery",$D64="04. UX Design")),IF(AND($H64&lt;&gt;"",$H64&lt;=EOMONTH(Q$12,0),$I64&gt;=Q$12),"UX+DEV","UX"),IF(AND($H64&lt;&gt;"",$H64&lt;=EOMONTH(Q$12,0),$I64&gt;=Q$12),"DEV",""))))</f>
      </c>
      <c r="R64" s="158" t="str">
        <f>IF($AI64="","",IF(AND($AN64&lt;&gt;"",$AN64&lt;=EOMONTH(R$12,0),$AO64&gt;=R$12),IF(AND(INDEX('Roadmap Calc (Don’t Touch)'!$AA$2:$AX$151,$AI64,COLUMN()-COLUMN($J$16)+1)&gt;0,OR($D64="03. UX Discovery",$D64="04. UX Design")),IF(AND($H64&lt;&gt;"",$H64&lt;=EOMONTH(R$12,0),$I64&gt;=R$12),"ALL","PD+UX"),IF(AND($H64&lt;&gt;"",$H64&lt;=EOMONTH(R$12,0),$I64&gt;=R$12),"PD+DEV","PD")),IF(AND(INDEX('Roadmap Calc (Don’t Touch)'!$AA$2:$AX$151,$AI64,COLUMN()-COLUMN($J$16)+1)&gt;0,OR($D64="03. UX Discovery",$D64="04. UX Design")),IF(AND($H64&lt;&gt;"",$H64&lt;=EOMONTH(R$12,0),$I64&gt;=R$12),"UX+DEV","UX"),IF(AND($H64&lt;&gt;"",$H64&lt;=EOMONTH(R$12,0),$I64&gt;=R$12),"DEV",""))))</f>
      </c>
      <c r="S64" s="158" t="str">
        <f>IF($AI64="","",IF(AND($AN64&lt;&gt;"",$AN64&lt;=EOMONTH(S$12,0),$AO64&gt;=S$12),IF(AND(INDEX('Roadmap Calc (Don’t Touch)'!$AA$2:$AX$151,$AI64,COLUMN()-COLUMN($J$16)+1)&gt;0,OR($D64="03. UX Discovery",$D64="04. UX Design")),IF(AND($H64&lt;&gt;"",$H64&lt;=EOMONTH(S$12,0),$I64&gt;=S$12),"ALL","PD+UX"),IF(AND($H64&lt;&gt;"",$H64&lt;=EOMONTH(S$12,0),$I64&gt;=S$12),"PD+DEV","PD")),IF(AND(INDEX('Roadmap Calc (Don’t Touch)'!$AA$2:$AX$151,$AI64,COLUMN()-COLUMN($J$16)+1)&gt;0,OR($D64="03. UX Discovery",$D64="04. UX Design")),IF(AND($H64&lt;&gt;"",$H64&lt;=EOMONTH(S$12,0),$I64&gt;=S$12),"UX+DEV","UX"),IF(AND($H64&lt;&gt;"",$H64&lt;=EOMONTH(S$12,0),$I64&gt;=S$12),"DEV",""))))</f>
      </c>
      <c r="T64" s="158" t="str">
        <f>IF($AI64="","",IF(AND($AN64&lt;&gt;"",$AN64&lt;=EOMONTH(T$12,0),$AO64&gt;=T$12),IF(AND(INDEX('Roadmap Calc (Don’t Touch)'!$AA$2:$AX$151,$AI64,COLUMN()-COLUMN($J$16)+1)&gt;0,OR($D64="03. UX Discovery",$D64="04. UX Design")),IF(AND($H64&lt;&gt;"",$H64&lt;=EOMONTH(T$12,0),$I64&gt;=T$12),"ALL","PD+UX"),IF(AND($H64&lt;&gt;"",$H64&lt;=EOMONTH(T$12,0),$I64&gt;=T$12),"PD+DEV","PD")),IF(AND(INDEX('Roadmap Calc (Don’t Touch)'!$AA$2:$AX$151,$AI64,COLUMN()-COLUMN($J$16)+1)&gt;0,OR($D64="03. UX Discovery",$D64="04. UX Design")),IF(AND($H64&lt;&gt;"",$H64&lt;=EOMONTH(T$12,0),$I64&gt;=T$12),"UX+DEV","UX"),IF(AND($H64&lt;&gt;"",$H64&lt;=EOMONTH(T$12,0),$I64&gt;=T$12),"DEV",""))))</f>
      </c>
      <c r="U64" s="158" t="str">
        <f>IF($AI64="","",IF(AND($AN64&lt;&gt;"",$AN64&lt;=EOMONTH(U$12,0),$AO64&gt;=U$12),IF(AND(INDEX('Roadmap Calc (Don’t Touch)'!$AA$2:$AX$151,$AI64,COLUMN()-COLUMN($J$16)+1)&gt;0,OR($D64="03. UX Discovery",$D64="04. UX Design")),IF(AND($H64&lt;&gt;"",$H64&lt;=EOMONTH(U$12,0),$I64&gt;=U$12),"ALL","PD+UX"),IF(AND($H64&lt;&gt;"",$H64&lt;=EOMONTH(U$12,0),$I64&gt;=U$12),"PD+DEV","PD")),IF(AND(INDEX('Roadmap Calc (Don’t Touch)'!$AA$2:$AX$151,$AI64,COLUMN()-COLUMN($J$16)+1)&gt;0,OR($D64="03. UX Discovery",$D64="04. UX Design")),IF(AND($H64&lt;&gt;"",$H64&lt;=EOMONTH(U$12,0),$I64&gt;=U$12),"UX+DEV","UX"),IF(AND($H64&lt;&gt;"",$H64&lt;=EOMONTH(U$12,0),$I64&gt;=U$12),"DEV",""))))</f>
      </c>
      <c r="V64" s="158" t="str">
        <f>IF($AI64="","",IF(AND($AN64&lt;&gt;"",$AN64&lt;=EOMONTH(V$12,0),$AO64&gt;=V$12),IF(AND(INDEX('Roadmap Calc (Don’t Touch)'!$AA$2:$AX$151,$AI64,COLUMN()-COLUMN($J$16)+1)&gt;0,OR($D64="03. UX Discovery",$D64="04. UX Design")),IF(AND($H64&lt;&gt;"",$H64&lt;=EOMONTH(V$12,0),$I64&gt;=V$12),"ALL","PD+UX"),IF(AND($H64&lt;&gt;"",$H64&lt;=EOMONTH(V$12,0),$I64&gt;=V$12),"PD+DEV","PD")),IF(AND(INDEX('Roadmap Calc (Don’t Touch)'!$AA$2:$AX$151,$AI64,COLUMN()-COLUMN($J$16)+1)&gt;0,OR($D64="03. UX Discovery",$D64="04. UX Design")),IF(AND($H64&lt;&gt;"",$H64&lt;=EOMONTH(V$12,0),$I64&gt;=V$12),"UX+DEV","UX"),IF(AND($H64&lt;&gt;"",$H64&lt;=EOMONTH(V$12,0),$I64&gt;=V$12),"DEV",""))))</f>
      </c>
      <c r="W64" s="158" t="str">
        <f>IF($AI64="","",IF(AND($AN64&lt;&gt;"",$AN64&lt;=EOMONTH(W$12,0),$AO64&gt;=W$12),IF(AND(INDEX('Roadmap Calc (Don’t Touch)'!$AA$2:$AX$151,$AI64,COLUMN()-COLUMN($J$16)+1)&gt;0,OR($D64="03. UX Discovery",$D64="04. UX Design")),IF(AND($H64&lt;&gt;"",$H64&lt;=EOMONTH(W$12,0),$I64&gt;=W$12),"ALL","PD+UX"),IF(AND($H64&lt;&gt;"",$H64&lt;=EOMONTH(W$12,0),$I64&gt;=W$12),"PD+DEV","PD")),IF(AND(INDEX('Roadmap Calc (Don’t Touch)'!$AA$2:$AX$151,$AI64,COLUMN()-COLUMN($J$16)+1)&gt;0,OR($D64="03. UX Discovery",$D64="04. UX Design")),IF(AND($H64&lt;&gt;"",$H64&lt;=EOMONTH(W$12,0),$I64&gt;=W$12),"UX+DEV","UX"),IF(AND($H64&lt;&gt;"",$H64&lt;=EOMONTH(W$12,0),$I64&gt;=W$12),"DEV",""))))</f>
      </c>
      <c r="X64" s="158" t="str">
        <f>IF($AI64="","",IF(AND($AN64&lt;&gt;"",$AN64&lt;=EOMONTH(X$12,0),$AO64&gt;=X$12),IF(AND(INDEX('Roadmap Calc (Don’t Touch)'!$AA$2:$AX$151,$AI64,COLUMN()-COLUMN($J$16)+1)&gt;0,OR($D64="03. UX Discovery",$D64="04. UX Design")),IF(AND($H64&lt;&gt;"",$H64&lt;=EOMONTH(X$12,0),$I64&gt;=X$12),"ALL","PD+UX"),IF(AND($H64&lt;&gt;"",$H64&lt;=EOMONTH(X$12,0),$I64&gt;=X$12),"PD+DEV","PD")),IF(AND(INDEX('Roadmap Calc (Don’t Touch)'!$AA$2:$AX$151,$AI64,COLUMN()-COLUMN($J$16)+1)&gt;0,OR($D64="03. UX Discovery",$D64="04. UX Design")),IF(AND($H64&lt;&gt;"",$H64&lt;=EOMONTH(X$12,0),$I64&gt;=X$12),"UX+DEV","UX"),IF(AND($H64&lt;&gt;"",$H64&lt;=EOMONTH(X$12,0),$I64&gt;=X$12),"DEV",""))))</f>
      </c>
      <c r="Y64" s="158" t="str">
        <f>IF($AI64="","",IF(AND($AN64&lt;&gt;"",$AN64&lt;=EOMONTH(Y$12,0),$AO64&gt;=Y$12),IF(AND(INDEX('Roadmap Calc (Don’t Touch)'!$AA$2:$AX$151,$AI64,COLUMN()-COLUMN($J$16)+1)&gt;0,OR($D64="03. UX Discovery",$D64="04. UX Design")),IF(AND($H64&lt;&gt;"",$H64&lt;=EOMONTH(Y$12,0),$I64&gt;=Y$12),"ALL","PD+UX"),IF(AND($H64&lt;&gt;"",$H64&lt;=EOMONTH(Y$12,0),$I64&gt;=Y$12),"PD+DEV","PD")),IF(AND(INDEX('Roadmap Calc (Don’t Touch)'!$AA$2:$AX$151,$AI64,COLUMN()-COLUMN($J$16)+1)&gt;0,OR($D64="03. UX Discovery",$D64="04. UX Design")),IF(AND($H64&lt;&gt;"",$H64&lt;=EOMONTH(Y$12,0),$I64&gt;=Y$12),"UX+DEV","UX"),IF(AND($H64&lt;&gt;"",$H64&lt;=EOMONTH(Y$12,0),$I64&gt;=Y$12),"DEV",""))))</f>
      </c>
      <c r="Z64" s="158" t="str">
        <f>IF($AI64="","",IF(AND($AN64&lt;&gt;"",$AN64&lt;=EOMONTH(Z$12,0),$AO64&gt;=Z$12),IF(AND(INDEX('Roadmap Calc (Don’t Touch)'!$AA$2:$AX$151,$AI64,COLUMN()-COLUMN($J$16)+1)&gt;0,OR($D64="03. UX Discovery",$D64="04. UX Design")),IF(AND($H64&lt;&gt;"",$H64&lt;=EOMONTH(Z$12,0),$I64&gt;=Z$12),"ALL","PD+UX"),IF(AND($H64&lt;&gt;"",$H64&lt;=EOMONTH(Z$12,0),$I64&gt;=Z$12),"PD+DEV","PD")),IF(AND(INDEX('Roadmap Calc (Don’t Touch)'!$AA$2:$AX$151,$AI64,COLUMN()-COLUMN($J$16)+1)&gt;0,OR($D64="03. UX Discovery",$D64="04. UX Design")),IF(AND($H64&lt;&gt;"",$H64&lt;=EOMONTH(Z$12,0),$I64&gt;=Z$12),"UX+DEV","UX"),IF(AND($H64&lt;&gt;"",$H64&lt;=EOMONTH(Z$12,0),$I64&gt;=Z$12),"DEV",""))))</f>
      </c>
      <c r="AA64" s="158" t="str">
        <f>IF($AI64="","",IF(AND($AN64&lt;&gt;"",$AN64&lt;=EOMONTH(AA$12,0),$AO64&gt;=AA$12),IF(AND(INDEX('Roadmap Calc (Don’t Touch)'!$AA$2:$AX$151,$AI64,COLUMN()-COLUMN($J$16)+1)&gt;0,OR($D64="03. UX Discovery",$D64="04. UX Design")),IF(AND($H64&lt;&gt;"",$H64&lt;=EOMONTH(AA$12,0),$I64&gt;=AA$12),"ALL","PD+UX"),IF(AND($H64&lt;&gt;"",$H64&lt;=EOMONTH(AA$12,0),$I64&gt;=AA$12),"PD+DEV","PD")),IF(AND(INDEX('Roadmap Calc (Don’t Touch)'!$AA$2:$AX$151,$AI64,COLUMN()-COLUMN($J$16)+1)&gt;0,OR($D64="03. UX Discovery",$D64="04. UX Design")),IF(AND($H64&lt;&gt;"",$H64&lt;=EOMONTH(AA$12,0),$I64&gt;=AA$12),"UX+DEV","UX"),IF(AND($H64&lt;&gt;"",$H64&lt;=EOMONTH(AA$12,0),$I64&gt;=AA$12),"DEV",""))))</f>
      </c>
      <c r="AB64" s="158" t="str">
        <f>IF($AI64="","",IF(AND($AN64&lt;&gt;"",$AN64&lt;=EOMONTH(AB$12,0),$AO64&gt;=AB$12),IF(AND(INDEX('Roadmap Calc (Don’t Touch)'!$AA$2:$AX$151,$AI64,COLUMN()-COLUMN($J$16)+1)&gt;0,OR($D64="03. UX Discovery",$D64="04. UX Design")),IF(AND($H64&lt;&gt;"",$H64&lt;=EOMONTH(AB$12,0),$I64&gt;=AB$12),"ALL","PD+UX"),IF(AND($H64&lt;&gt;"",$H64&lt;=EOMONTH(AB$12,0),$I64&gt;=AB$12),"PD+DEV","PD")),IF(AND(INDEX('Roadmap Calc (Don’t Touch)'!$AA$2:$AX$151,$AI64,COLUMN()-COLUMN($J$16)+1)&gt;0,OR($D64="03. UX Discovery",$D64="04. UX Design")),IF(AND($H64&lt;&gt;"",$H64&lt;=EOMONTH(AB$12,0),$I64&gt;=AB$12),"UX+DEV","UX"),IF(AND($H64&lt;&gt;"",$H64&lt;=EOMONTH(AB$12,0),$I64&gt;=AB$12),"DEV",""))))</f>
      </c>
      <c r="AC64" s="158" t="str">
        <f>IF($AI64="","",IF(AND($AN64&lt;&gt;"",$AN64&lt;=EOMONTH(AC$12,0),$AO64&gt;=AC$12),IF(AND(INDEX('Roadmap Calc (Don’t Touch)'!$AA$2:$AX$151,$AI64,COLUMN()-COLUMN($J$16)+1)&gt;0,OR($D64="03. UX Discovery",$D64="04. UX Design")),IF(AND($H64&lt;&gt;"",$H64&lt;=EOMONTH(AC$12,0),$I64&gt;=AC$12),"ALL","PD+UX"),IF(AND($H64&lt;&gt;"",$H64&lt;=EOMONTH(AC$12,0),$I64&gt;=AC$12),"PD+DEV","PD")),IF(AND(INDEX('Roadmap Calc (Don’t Touch)'!$AA$2:$AX$151,$AI64,COLUMN()-COLUMN($J$16)+1)&gt;0,OR($D64="03. UX Discovery",$D64="04. UX Design")),IF(AND($H64&lt;&gt;"",$H64&lt;=EOMONTH(AC$12,0),$I64&gt;=AC$12),"UX+DEV","UX"),IF(AND($H64&lt;&gt;"",$H64&lt;=EOMONTH(AC$12,0),$I64&gt;=AC$12),"DEV",""))))</f>
      </c>
      <c r="AD64" s="158" t="str">
        <f>IF($AI64="","",IF(AND($AN64&lt;&gt;"",$AN64&lt;=EOMONTH(AD$12,0),$AO64&gt;=AD$12),IF(AND(INDEX('Roadmap Calc (Don’t Touch)'!$AA$2:$AX$151,$AI64,COLUMN()-COLUMN($J$16)+1)&gt;0,OR($D64="03. UX Discovery",$D64="04. UX Design")),IF(AND($H64&lt;&gt;"",$H64&lt;=EOMONTH(AD$12,0),$I64&gt;=AD$12),"ALL","PD+UX"),IF(AND($H64&lt;&gt;"",$H64&lt;=EOMONTH(AD$12,0),$I64&gt;=AD$12),"PD+DEV","PD")),IF(AND(INDEX('Roadmap Calc (Don’t Touch)'!$AA$2:$AX$151,$AI64,COLUMN()-COLUMN($J$16)+1)&gt;0,OR($D64="03. UX Discovery",$D64="04. UX Design")),IF(AND($H64&lt;&gt;"",$H64&lt;=EOMONTH(AD$12,0),$I64&gt;=AD$12),"UX+DEV","UX"),IF(AND($H64&lt;&gt;"",$H64&lt;=EOMONTH(AD$12,0),$I64&gt;=AD$12),"DEV",""))))</f>
      </c>
      <c r="AE64" s="158" t="str">
        <f>IF($AI64="","",IF(AND($AN64&lt;&gt;"",$AN64&lt;=EOMONTH(AE$12,0),$AO64&gt;=AE$12),IF(AND(INDEX('Roadmap Calc (Don’t Touch)'!$AA$2:$AX$151,$AI64,COLUMN()-COLUMN($J$16)+1)&gt;0,OR($D64="03. UX Discovery",$D64="04. UX Design")),IF(AND($H64&lt;&gt;"",$H64&lt;=EOMONTH(AE$12,0),$I64&gt;=AE$12),"ALL","PD+UX"),IF(AND($H64&lt;&gt;"",$H64&lt;=EOMONTH(AE$12,0),$I64&gt;=AE$12),"PD+DEV","PD")),IF(AND(INDEX('Roadmap Calc (Don’t Touch)'!$AA$2:$AX$151,$AI64,COLUMN()-COLUMN($J$16)+1)&gt;0,OR($D64="03. UX Discovery",$D64="04. UX Design")),IF(AND($H64&lt;&gt;"",$H64&lt;=EOMONTH(AE$12,0),$I64&gt;=AE$12),"UX+DEV","UX"),IF(AND($H64&lt;&gt;"",$H64&lt;=EOMONTH(AE$12,0),$I64&gt;=AE$12),"DEV",""))))</f>
      </c>
      <c r="AF64" s="158" t="str">
        <f>IF($AI64="","",IF(AND($AN64&lt;&gt;"",$AN64&lt;=EOMONTH(AF$12,0),$AO64&gt;=AF$12),IF(AND(INDEX('Roadmap Calc (Don’t Touch)'!$AA$2:$AX$151,$AI64,COLUMN()-COLUMN($J$16)+1)&gt;0,OR($D64="03. UX Discovery",$D64="04. UX Design")),IF(AND($H64&lt;&gt;"",$H64&lt;=EOMONTH(AF$12,0),$I64&gt;=AF$12),"ALL","PD+UX"),IF(AND($H64&lt;&gt;"",$H64&lt;=EOMONTH(AF$12,0),$I64&gt;=AF$12),"PD+DEV","PD")),IF(AND(INDEX('Roadmap Calc (Don’t Touch)'!$AA$2:$AX$151,$AI64,COLUMN()-COLUMN($J$16)+1)&gt;0,OR($D64="03. UX Discovery",$D64="04. UX Design")),IF(AND($H64&lt;&gt;"",$H64&lt;=EOMONTH(AF$12,0),$I64&gt;=AF$12),"UX+DEV","UX"),IF(AND($H64&lt;&gt;"",$H64&lt;=EOMONTH(AF$12,0),$I64&gt;=AF$12),"DEV",""))))</f>
      </c>
      <c r="AG64" s="158" t="str">
        <f>IF($AI64="","",IF(AND($AN64&lt;&gt;"",$AN64&lt;=EOMONTH(AG$12,0),$AO64&gt;=AG$12),IF(AND(INDEX('Roadmap Calc (Don’t Touch)'!$AA$2:$AX$151,$AI64,COLUMN()-COLUMN($J$16)+1)&gt;0,OR($D64="03. UX Discovery",$D64="04. UX Design")),IF(AND($H64&lt;&gt;"",$H64&lt;=EOMONTH(AG$12,0),$I64&gt;=AG$12),"ALL","PD+UX"),IF(AND($H64&lt;&gt;"",$H64&lt;=EOMONTH(AG$12,0),$I64&gt;=AG$12),"PD+DEV","PD")),IF(AND(INDEX('Roadmap Calc (Don’t Touch)'!$AA$2:$AX$151,$AI64,COLUMN()-COLUMN($J$16)+1)&gt;0,OR($D64="03. UX Discovery",$D64="04. UX Design")),IF(AND($H64&lt;&gt;"",$H64&lt;=EOMONTH(AG$12,0),$I64&gt;=AG$12),"UX+DEV","UX"),IF(AND($H64&lt;&gt;"",$H64&lt;=EOMONTH(AG$12,0),$I64&gt;=AG$12),"DEV",""))))</f>
      </c>
      <c r="AH64" s="145" t="str">
        <f>IF($AI64="","",INDEX('Roadmap Calc (Don’t Touch)'!$D$2:$D$151,$AI64))</f>
        <v/>
      </c>
      <c r="AI64" s="145" t="str">
        <f>IFERROR(MATCH(49,'Roadmap Calc (Don’t Touch)'!$O$2:$O$151,0),"")</f>
        <v/>
      </c>
      <c r="AJ64" s="145"/>
      <c r="AK64" s="145"/>
      <c r="AL64" s="145"/>
      <c r="AM64" s="145"/>
      <c r="AN64">
        <f>IF($AI64="","",IF(ISNUMBER(INDEX('Roadmap Calc (Don’t Touch)'!$BB$2:$BB$151,$AI64)),INDEX('Roadmap Calc (Don’t Touch)'!$BB$2:$BB$151,$AI64),""))</f>
      </c>
      <c r="AO64">
        <f>IF($AI64="","",IF(ISNUMBER(INDEX('Roadmap Calc (Don’t Touch)'!$BC$2:$BC$151,$AI64)),INDEX('Roadmap Calc (Don’t Touch)'!$BC$2:$BC$151,$AI64),""))</f>
      </c>
    </row>
    <row r="65" spans="1:41" ht="17" customHeight="1" x14ac:dyDescent="0.25">
      <c r="A65" s="152" t="str">
        <f>IF($AI65="","",IF($AH65=$AH64,"",IF(INDEX('Roadmap Calc (Don’t Touch)'!$U$2:$U$151,$AI65)=0,$AH65,HYPERLINK("#'Control (Don’t Touch)'!E"&amp;INDEX('Roadmap Calc (Don’t Touch)'!$U$2:$U$151,$AI65),$AH65))))</f>
        <v/>
      </c>
      <c r="B65" s="153" t="str">
        <f>IF($AI65="","",IF(INDEX('Roadmap Calc (Don’t Touch)'!$K$2:$K$151,$AI65)="",INDEX('Roadmap Calc (Don’t Touch)'!$B$2:$B$151,$AI65),HYPERLINK("https://jira.bnh.com/browse/"&amp;INDEX('Roadmap Calc (Don’t Touch)'!$K$2:$K$151,$AI65),INDEX('Roadmap Calc (Don’t Touch)'!$B$2:$B$151,$AI65))))</f>
        <v/>
      </c>
      <c r="C65" s="153" t="str">
        <f>IF($AI65="","",IF(INDEX('Roadmap Calc (Don’t Touch)'!$E$2:$E$151,$AI65)="","",HYPERLINK("https://jira.bnh.com/browse/"&amp;INDEX('Roadmap Calc (Don’t Touch)'!$E$2:$E$151,$AI65),INDEX('Roadmap Calc (Don’t Touch)'!$E$2:$E$151,$AI65))))</f>
        <v/>
      </c>
      <c r="D65" s="160" t="str">
        <f>IF($AI65="","",INDEX('Roadmap Calc (Don’t Touch)'!$F$2:$F$151,$AI65))</f>
        <v/>
      </c>
      <c r="E65" s="155" t="str">
        <f>IF($AI65="","",IF(ISNUMBER(INDEX('Roadmap Calc (Don’t Touch)'!$G$2:$G$151,$AI65)),INDEX('Roadmap Calc (Don’t Touch)'!$G$2:$G$151,$AI65),""))</f>
        <v/>
      </c>
      <c r="F65" s="155" t="str">
        <f>IF($AI65="","",IF(ISNUMBER(INDEX('Roadmap Calc (Don’t Touch)'!$H$2:$H$151,$AI65)),INDEX('Roadmap Calc (Don’t Touch)'!$H$2:$H$151,$AI65),""))</f>
        <v/>
      </c>
      <c r="G65" s="156" t="str">
        <f>IF($AI65="","",INDEX('Roadmap Calc (Don’t Touch)'!$T$2:$T$151,$AI65))</f>
        <v/>
      </c>
      <c r="H65" s="157" t="str">
        <f>IF($AI65="","",IF(ISNUMBER(INDEX('Roadmap Calc (Don’t Touch)'!$I$2:$I$151,$AI65)),INDEX('Roadmap Calc (Don’t Touch)'!$I$2:$I$151,$AI65),""))</f>
        <v/>
      </c>
      <c r="I65" s="157" t="str">
        <f>IF($AI65="","",IF(ISNUMBER(INDEX('Roadmap Calc (Don’t Touch)'!$J$2:$J$151,$AI65)),INDEX('Roadmap Calc (Don’t Touch)'!$J$2:$J$151,$AI65),""))</f>
        <v/>
      </c>
      <c r="J65" s="158" t="str">
        <f>IF($AI65="","",IF(AND($AN65&lt;&gt;"",$AN65&lt;=EOMONTH(J$12,0),$AO65&gt;=J$12),IF(AND(INDEX('Roadmap Calc (Don’t Touch)'!$AA$2:$AX$151,$AI65,COLUMN()-COLUMN($J$16)+1)&gt;0,OR($D65="03. UX Discovery",$D65="04. UX Design")),IF(AND($H65&lt;&gt;"",$H65&lt;=EOMONTH(J$12,0),$I65&gt;=J$12),"ALL","PD+UX"),IF(AND($H65&lt;&gt;"",$H65&lt;=EOMONTH(J$12,0),$I65&gt;=J$12),"PD+DEV","PD")),IF(AND(INDEX('Roadmap Calc (Don’t Touch)'!$AA$2:$AX$151,$AI65,COLUMN()-COLUMN($J$16)+1)&gt;0,OR($D65="03. UX Discovery",$D65="04. UX Design")),IF(AND($H65&lt;&gt;"",$H65&lt;=EOMONTH(J$12,0),$I65&gt;=J$12),"UX+DEV","UX"),IF(AND($H65&lt;&gt;"",$H65&lt;=EOMONTH(J$12,0),$I65&gt;=J$12),"DEV",""))))</f>
      </c>
      <c r="K65" s="158" t="str">
        <f>IF($AI65="","",IF(AND($AN65&lt;&gt;"",$AN65&lt;=EOMONTH(K$12,0),$AO65&gt;=K$12),IF(AND(INDEX('Roadmap Calc (Don’t Touch)'!$AA$2:$AX$151,$AI65,COLUMN()-COLUMN($J$16)+1)&gt;0,OR($D65="03. UX Discovery",$D65="04. UX Design")),IF(AND($H65&lt;&gt;"",$H65&lt;=EOMONTH(K$12,0),$I65&gt;=K$12),"ALL","PD+UX"),IF(AND($H65&lt;&gt;"",$H65&lt;=EOMONTH(K$12,0),$I65&gt;=K$12),"PD+DEV","PD")),IF(AND(INDEX('Roadmap Calc (Don’t Touch)'!$AA$2:$AX$151,$AI65,COLUMN()-COLUMN($J$16)+1)&gt;0,OR($D65="03. UX Discovery",$D65="04. UX Design")),IF(AND($H65&lt;&gt;"",$H65&lt;=EOMONTH(K$12,0),$I65&gt;=K$12),"UX+DEV","UX"),IF(AND($H65&lt;&gt;"",$H65&lt;=EOMONTH(K$12,0),$I65&gt;=K$12),"DEV",""))))</f>
      </c>
      <c r="L65" s="158" t="str">
        <f>IF($AI65="","",IF(AND($AN65&lt;&gt;"",$AN65&lt;=EOMONTH(L$12,0),$AO65&gt;=L$12),IF(AND(INDEX('Roadmap Calc (Don’t Touch)'!$AA$2:$AX$151,$AI65,COLUMN()-COLUMN($J$16)+1)&gt;0,OR($D65="03. UX Discovery",$D65="04. UX Design")),IF(AND($H65&lt;&gt;"",$H65&lt;=EOMONTH(L$12,0),$I65&gt;=L$12),"ALL","PD+UX"),IF(AND($H65&lt;&gt;"",$H65&lt;=EOMONTH(L$12,0),$I65&gt;=L$12),"PD+DEV","PD")),IF(AND(INDEX('Roadmap Calc (Don’t Touch)'!$AA$2:$AX$151,$AI65,COLUMN()-COLUMN($J$16)+1)&gt;0,OR($D65="03. UX Discovery",$D65="04. UX Design")),IF(AND($H65&lt;&gt;"",$H65&lt;=EOMONTH(L$12,0),$I65&gt;=L$12),"UX+DEV","UX"),IF(AND($H65&lt;&gt;"",$H65&lt;=EOMONTH(L$12,0),$I65&gt;=L$12),"DEV",""))))</f>
      </c>
      <c r="M65" s="158" t="str">
        <f>IF($AI65="","",IF(AND($AN65&lt;&gt;"",$AN65&lt;=EOMONTH(M$12,0),$AO65&gt;=M$12),IF(AND(INDEX('Roadmap Calc (Don’t Touch)'!$AA$2:$AX$151,$AI65,COLUMN()-COLUMN($J$16)+1)&gt;0,OR($D65="03. UX Discovery",$D65="04. UX Design")),IF(AND($H65&lt;&gt;"",$H65&lt;=EOMONTH(M$12,0),$I65&gt;=M$12),"ALL","PD+UX"),IF(AND($H65&lt;&gt;"",$H65&lt;=EOMONTH(M$12,0),$I65&gt;=M$12),"PD+DEV","PD")),IF(AND(INDEX('Roadmap Calc (Don’t Touch)'!$AA$2:$AX$151,$AI65,COLUMN()-COLUMN($J$16)+1)&gt;0,OR($D65="03. UX Discovery",$D65="04. UX Design")),IF(AND($H65&lt;&gt;"",$H65&lt;=EOMONTH(M$12,0),$I65&gt;=M$12),"UX+DEV","UX"),IF(AND($H65&lt;&gt;"",$H65&lt;=EOMONTH(M$12,0),$I65&gt;=M$12),"DEV",""))))</f>
      </c>
      <c r="N65" s="158" t="str">
        <f>IF($AI65="","",IF(AND($AN65&lt;&gt;"",$AN65&lt;=EOMONTH(N$12,0),$AO65&gt;=N$12),IF(AND(INDEX('Roadmap Calc (Don’t Touch)'!$AA$2:$AX$151,$AI65,COLUMN()-COLUMN($J$16)+1)&gt;0,OR($D65="03. UX Discovery",$D65="04. UX Design")),IF(AND($H65&lt;&gt;"",$H65&lt;=EOMONTH(N$12,0),$I65&gt;=N$12),"ALL","PD+UX"),IF(AND($H65&lt;&gt;"",$H65&lt;=EOMONTH(N$12,0),$I65&gt;=N$12),"PD+DEV","PD")),IF(AND(INDEX('Roadmap Calc (Don’t Touch)'!$AA$2:$AX$151,$AI65,COLUMN()-COLUMN($J$16)+1)&gt;0,OR($D65="03. UX Discovery",$D65="04. UX Design")),IF(AND($H65&lt;&gt;"",$H65&lt;=EOMONTH(N$12,0),$I65&gt;=N$12),"UX+DEV","UX"),IF(AND($H65&lt;&gt;"",$H65&lt;=EOMONTH(N$12,0),$I65&gt;=N$12),"DEV",""))))</f>
      </c>
      <c r="O65" s="158" t="str">
        <f>IF($AI65="","",IF(AND($AN65&lt;&gt;"",$AN65&lt;=EOMONTH(O$12,0),$AO65&gt;=O$12),IF(AND(INDEX('Roadmap Calc (Don’t Touch)'!$AA$2:$AX$151,$AI65,COLUMN()-COLUMN($J$16)+1)&gt;0,OR($D65="03. UX Discovery",$D65="04. UX Design")),IF(AND($H65&lt;&gt;"",$H65&lt;=EOMONTH(O$12,0),$I65&gt;=O$12),"ALL","PD+UX"),IF(AND($H65&lt;&gt;"",$H65&lt;=EOMONTH(O$12,0),$I65&gt;=O$12),"PD+DEV","PD")),IF(AND(INDEX('Roadmap Calc (Don’t Touch)'!$AA$2:$AX$151,$AI65,COLUMN()-COLUMN($J$16)+1)&gt;0,OR($D65="03. UX Discovery",$D65="04. UX Design")),IF(AND($H65&lt;&gt;"",$H65&lt;=EOMONTH(O$12,0),$I65&gt;=O$12),"UX+DEV","UX"),IF(AND($H65&lt;&gt;"",$H65&lt;=EOMONTH(O$12,0),$I65&gt;=O$12),"DEV",""))))</f>
      </c>
      <c r="P65" s="158" t="str">
        <f>IF($AI65="","",IF(AND($AN65&lt;&gt;"",$AN65&lt;=EOMONTH(P$12,0),$AO65&gt;=P$12),IF(AND(INDEX('Roadmap Calc (Don’t Touch)'!$AA$2:$AX$151,$AI65,COLUMN()-COLUMN($J$16)+1)&gt;0,OR($D65="03. UX Discovery",$D65="04. UX Design")),IF(AND($H65&lt;&gt;"",$H65&lt;=EOMONTH(P$12,0),$I65&gt;=P$12),"ALL","PD+UX"),IF(AND($H65&lt;&gt;"",$H65&lt;=EOMONTH(P$12,0),$I65&gt;=P$12),"PD+DEV","PD")),IF(AND(INDEX('Roadmap Calc (Don’t Touch)'!$AA$2:$AX$151,$AI65,COLUMN()-COLUMN($J$16)+1)&gt;0,OR($D65="03. UX Discovery",$D65="04. UX Design")),IF(AND($H65&lt;&gt;"",$H65&lt;=EOMONTH(P$12,0),$I65&gt;=P$12),"UX+DEV","UX"),IF(AND($H65&lt;&gt;"",$H65&lt;=EOMONTH(P$12,0),$I65&gt;=P$12),"DEV",""))))</f>
      </c>
      <c r="Q65" s="158" t="str">
        <f>IF($AI65="","",IF(AND($AN65&lt;&gt;"",$AN65&lt;=EOMONTH(Q$12,0),$AO65&gt;=Q$12),IF(AND(INDEX('Roadmap Calc (Don’t Touch)'!$AA$2:$AX$151,$AI65,COLUMN()-COLUMN($J$16)+1)&gt;0,OR($D65="03. UX Discovery",$D65="04. UX Design")),IF(AND($H65&lt;&gt;"",$H65&lt;=EOMONTH(Q$12,0),$I65&gt;=Q$12),"ALL","PD+UX"),IF(AND($H65&lt;&gt;"",$H65&lt;=EOMONTH(Q$12,0),$I65&gt;=Q$12),"PD+DEV","PD")),IF(AND(INDEX('Roadmap Calc (Don’t Touch)'!$AA$2:$AX$151,$AI65,COLUMN()-COLUMN($J$16)+1)&gt;0,OR($D65="03. UX Discovery",$D65="04. UX Design")),IF(AND($H65&lt;&gt;"",$H65&lt;=EOMONTH(Q$12,0),$I65&gt;=Q$12),"UX+DEV","UX"),IF(AND($H65&lt;&gt;"",$H65&lt;=EOMONTH(Q$12,0),$I65&gt;=Q$12),"DEV",""))))</f>
      </c>
      <c r="R65" s="158" t="str">
        <f>IF($AI65="","",IF(AND($AN65&lt;&gt;"",$AN65&lt;=EOMONTH(R$12,0),$AO65&gt;=R$12),IF(AND(INDEX('Roadmap Calc (Don’t Touch)'!$AA$2:$AX$151,$AI65,COLUMN()-COLUMN($J$16)+1)&gt;0,OR($D65="03. UX Discovery",$D65="04. UX Design")),IF(AND($H65&lt;&gt;"",$H65&lt;=EOMONTH(R$12,0),$I65&gt;=R$12),"ALL","PD+UX"),IF(AND($H65&lt;&gt;"",$H65&lt;=EOMONTH(R$12,0),$I65&gt;=R$12),"PD+DEV","PD")),IF(AND(INDEX('Roadmap Calc (Don’t Touch)'!$AA$2:$AX$151,$AI65,COLUMN()-COLUMN($J$16)+1)&gt;0,OR($D65="03. UX Discovery",$D65="04. UX Design")),IF(AND($H65&lt;&gt;"",$H65&lt;=EOMONTH(R$12,0),$I65&gt;=R$12),"UX+DEV","UX"),IF(AND($H65&lt;&gt;"",$H65&lt;=EOMONTH(R$12,0),$I65&gt;=R$12),"DEV",""))))</f>
      </c>
      <c r="S65" s="158" t="str">
        <f>IF($AI65="","",IF(AND($AN65&lt;&gt;"",$AN65&lt;=EOMONTH(S$12,0),$AO65&gt;=S$12),IF(AND(INDEX('Roadmap Calc (Don’t Touch)'!$AA$2:$AX$151,$AI65,COLUMN()-COLUMN($J$16)+1)&gt;0,OR($D65="03. UX Discovery",$D65="04. UX Design")),IF(AND($H65&lt;&gt;"",$H65&lt;=EOMONTH(S$12,0),$I65&gt;=S$12),"ALL","PD+UX"),IF(AND($H65&lt;&gt;"",$H65&lt;=EOMONTH(S$12,0),$I65&gt;=S$12),"PD+DEV","PD")),IF(AND(INDEX('Roadmap Calc (Don’t Touch)'!$AA$2:$AX$151,$AI65,COLUMN()-COLUMN($J$16)+1)&gt;0,OR($D65="03. UX Discovery",$D65="04. UX Design")),IF(AND($H65&lt;&gt;"",$H65&lt;=EOMONTH(S$12,0),$I65&gt;=S$12),"UX+DEV","UX"),IF(AND($H65&lt;&gt;"",$H65&lt;=EOMONTH(S$12,0),$I65&gt;=S$12),"DEV",""))))</f>
      </c>
      <c r="T65" s="158" t="str">
        <f>IF($AI65="","",IF(AND($AN65&lt;&gt;"",$AN65&lt;=EOMONTH(T$12,0),$AO65&gt;=T$12),IF(AND(INDEX('Roadmap Calc (Don’t Touch)'!$AA$2:$AX$151,$AI65,COLUMN()-COLUMN($J$16)+1)&gt;0,OR($D65="03. UX Discovery",$D65="04. UX Design")),IF(AND($H65&lt;&gt;"",$H65&lt;=EOMONTH(T$12,0),$I65&gt;=T$12),"ALL","PD+UX"),IF(AND($H65&lt;&gt;"",$H65&lt;=EOMONTH(T$12,0),$I65&gt;=T$12),"PD+DEV","PD")),IF(AND(INDEX('Roadmap Calc (Don’t Touch)'!$AA$2:$AX$151,$AI65,COLUMN()-COLUMN($J$16)+1)&gt;0,OR($D65="03. UX Discovery",$D65="04. UX Design")),IF(AND($H65&lt;&gt;"",$H65&lt;=EOMONTH(T$12,0),$I65&gt;=T$12),"UX+DEV","UX"),IF(AND($H65&lt;&gt;"",$H65&lt;=EOMONTH(T$12,0),$I65&gt;=T$12),"DEV",""))))</f>
      </c>
      <c r="U65" s="158" t="str">
        <f>IF($AI65="","",IF(AND($AN65&lt;&gt;"",$AN65&lt;=EOMONTH(U$12,0),$AO65&gt;=U$12),IF(AND(INDEX('Roadmap Calc (Don’t Touch)'!$AA$2:$AX$151,$AI65,COLUMN()-COLUMN($J$16)+1)&gt;0,OR($D65="03. UX Discovery",$D65="04. UX Design")),IF(AND($H65&lt;&gt;"",$H65&lt;=EOMONTH(U$12,0),$I65&gt;=U$12),"ALL","PD+UX"),IF(AND($H65&lt;&gt;"",$H65&lt;=EOMONTH(U$12,0),$I65&gt;=U$12),"PD+DEV","PD")),IF(AND(INDEX('Roadmap Calc (Don’t Touch)'!$AA$2:$AX$151,$AI65,COLUMN()-COLUMN($J$16)+1)&gt;0,OR($D65="03. UX Discovery",$D65="04. UX Design")),IF(AND($H65&lt;&gt;"",$H65&lt;=EOMONTH(U$12,0),$I65&gt;=U$12),"UX+DEV","UX"),IF(AND($H65&lt;&gt;"",$H65&lt;=EOMONTH(U$12,0),$I65&gt;=U$12),"DEV",""))))</f>
      </c>
      <c r="V65" s="158" t="str">
        <f>IF($AI65="","",IF(AND($AN65&lt;&gt;"",$AN65&lt;=EOMONTH(V$12,0),$AO65&gt;=V$12),IF(AND(INDEX('Roadmap Calc (Don’t Touch)'!$AA$2:$AX$151,$AI65,COLUMN()-COLUMN($J$16)+1)&gt;0,OR($D65="03. UX Discovery",$D65="04. UX Design")),IF(AND($H65&lt;&gt;"",$H65&lt;=EOMONTH(V$12,0),$I65&gt;=V$12),"ALL","PD+UX"),IF(AND($H65&lt;&gt;"",$H65&lt;=EOMONTH(V$12,0),$I65&gt;=V$12),"PD+DEV","PD")),IF(AND(INDEX('Roadmap Calc (Don’t Touch)'!$AA$2:$AX$151,$AI65,COLUMN()-COLUMN($J$16)+1)&gt;0,OR($D65="03. UX Discovery",$D65="04. UX Design")),IF(AND($H65&lt;&gt;"",$H65&lt;=EOMONTH(V$12,0),$I65&gt;=V$12),"UX+DEV","UX"),IF(AND($H65&lt;&gt;"",$H65&lt;=EOMONTH(V$12,0),$I65&gt;=V$12),"DEV",""))))</f>
      </c>
      <c r="W65" s="158" t="str">
        <f>IF($AI65="","",IF(AND($AN65&lt;&gt;"",$AN65&lt;=EOMONTH(W$12,0),$AO65&gt;=W$12),IF(AND(INDEX('Roadmap Calc (Don’t Touch)'!$AA$2:$AX$151,$AI65,COLUMN()-COLUMN($J$16)+1)&gt;0,OR($D65="03. UX Discovery",$D65="04. UX Design")),IF(AND($H65&lt;&gt;"",$H65&lt;=EOMONTH(W$12,0),$I65&gt;=W$12),"ALL","PD+UX"),IF(AND($H65&lt;&gt;"",$H65&lt;=EOMONTH(W$12,0),$I65&gt;=W$12),"PD+DEV","PD")),IF(AND(INDEX('Roadmap Calc (Don’t Touch)'!$AA$2:$AX$151,$AI65,COLUMN()-COLUMN($J$16)+1)&gt;0,OR($D65="03. UX Discovery",$D65="04. UX Design")),IF(AND($H65&lt;&gt;"",$H65&lt;=EOMONTH(W$12,0),$I65&gt;=W$12),"UX+DEV","UX"),IF(AND($H65&lt;&gt;"",$H65&lt;=EOMONTH(W$12,0),$I65&gt;=W$12),"DEV",""))))</f>
      </c>
      <c r="X65" s="158" t="str">
        <f>IF($AI65="","",IF(AND($AN65&lt;&gt;"",$AN65&lt;=EOMONTH(X$12,0),$AO65&gt;=X$12),IF(AND(INDEX('Roadmap Calc (Don’t Touch)'!$AA$2:$AX$151,$AI65,COLUMN()-COLUMN($J$16)+1)&gt;0,OR($D65="03. UX Discovery",$D65="04. UX Design")),IF(AND($H65&lt;&gt;"",$H65&lt;=EOMONTH(X$12,0),$I65&gt;=X$12),"ALL","PD+UX"),IF(AND($H65&lt;&gt;"",$H65&lt;=EOMONTH(X$12,0),$I65&gt;=X$12),"PD+DEV","PD")),IF(AND(INDEX('Roadmap Calc (Don’t Touch)'!$AA$2:$AX$151,$AI65,COLUMN()-COLUMN($J$16)+1)&gt;0,OR($D65="03. UX Discovery",$D65="04. UX Design")),IF(AND($H65&lt;&gt;"",$H65&lt;=EOMONTH(X$12,0),$I65&gt;=X$12),"UX+DEV","UX"),IF(AND($H65&lt;&gt;"",$H65&lt;=EOMONTH(X$12,0),$I65&gt;=X$12),"DEV",""))))</f>
      </c>
      <c r="Y65" s="158" t="str">
        <f>IF($AI65="","",IF(AND($AN65&lt;&gt;"",$AN65&lt;=EOMONTH(Y$12,0),$AO65&gt;=Y$12),IF(AND(INDEX('Roadmap Calc (Don’t Touch)'!$AA$2:$AX$151,$AI65,COLUMN()-COLUMN($J$16)+1)&gt;0,OR($D65="03. UX Discovery",$D65="04. UX Design")),IF(AND($H65&lt;&gt;"",$H65&lt;=EOMONTH(Y$12,0),$I65&gt;=Y$12),"ALL","PD+UX"),IF(AND($H65&lt;&gt;"",$H65&lt;=EOMONTH(Y$12,0),$I65&gt;=Y$12),"PD+DEV","PD")),IF(AND(INDEX('Roadmap Calc (Don’t Touch)'!$AA$2:$AX$151,$AI65,COLUMN()-COLUMN($J$16)+1)&gt;0,OR($D65="03. UX Discovery",$D65="04. UX Design")),IF(AND($H65&lt;&gt;"",$H65&lt;=EOMONTH(Y$12,0),$I65&gt;=Y$12),"UX+DEV","UX"),IF(AND($H65&lt;&gt;"",$H65&lt;=EOMONTH(Y$12,0),$I65&gt;=Y$12),"DEV",""))))</f>
      </c>
      <c r="Z65" s="158" t="str">
        <f>IF($AI65="","",IF(AND($AN65&lt;&gt;"",$AN65&lt;=EOMONTH(Z$12,0),$AO65&gt;=Z$12),IF(AND(INDEX('Roadmap Calc (Don’t Touch)'!$AA$2:$AX$151,$AI65,COLUMN()-COLUMN($J$16)+1)&gt;0,OR($D65="03. UX Discovery",$D65="04. UX Design")),IF(AND($H65&lt;&gt;"",$H65&lt;=EOMONTH(Z$12,0),$I65&gt;=Z$12),"ALL","PD+UX"),IF(AND($H65&lt;&gt;"",$H65&lt;=EOMONTH(Z$12,0),$I65&gt;=Z$12),"PD+DEV","PD")),IF(AND(INDEX('Roadmap Calc (Don’t Touch)'!$AA$2:$AX$151,$AI65,COLUMN()-COLUMN($J$16)+1)&gt;0,OR($D65="03. UX Discovery",$D65="04. UX Design")),IF(AND($H65&lt;&gt;"",$H65&lt;=EOMONTH(Z$12,0),$I65&gt;=Z$12),"UX+DEV","UX"),IF(AND($H65&lt;&gt;"",$H65&lt;=EOMONTH(Z$12,0),$I65&gt;=Z$12),"DEV",""))))</f>
      </c>
      <c r="AA65" s="158" t="str">
        <f>IF($AI65="","",IF(AND($AN65&lt;&gt;"",$AN65&lt;=EOMONTH(AA$12,0),$AO65&gt;=AA$12),IF(AND(INDEX('Roadmap Calc (Don’t Touch)'!$AA$2:$AX$151,$AI65,COLUMN()-COLUMN($J$16)+1)&gt;0,OR($D65="03. UX Discovery",$D65="04. UX Design")),IF(AND($H65&lt;&gt;"",$H65&lt;=EOMONTH(AA$12,0),$I65&gt;=AA$12),"ALL","PD+UX"),IF(AND($H65&lt;&gt;"",$H65&lt;=EOMONTH(AA$12,0),$I65&gt;=AA$12),"PD+DEV","PD")),IF(AND(INDEX('Roadmap Calc (Don’t Touch)'!$AA$2:$AX$151,$AI65,COLUMN()-COLUMN($J$16)+1)&gt;0,OR($D65="03. UX Discovery",$D65="04. UX Design")),IF(AND($H65&lt;&gt;"",$H65&lt;=EOMONTH(AA$12,0),$I65&gt;=AA$12),"UX+DEV","UX"),IF(AND($H65&lt;&gt;"",$H65&lt;=EOMONTH(AA$12,0),$I65&gt;=AA$12),"DEV",""))))</f>
      </c>
      <c r="AB65" s="158" t="str">
        <f>IF($AI65="","",IF(AND($AN65&lt;&gt;"",$AN65&lt;=EOMONTH(AB$12,0),$AO65&gt;=AB$12),IF(AND(INDEX('Roadmap Calc (Don’t Touch)'!$AA$2:$AX$151,$AI65,COLUMN()-COLUMN($J$16)+1)&gt;0,OR($D65="03. UX Discovery",$D65="04. UX Design")),IF(AND($H65&lt;&gt;"",$H65&lt;=EOMONTH(AB$12,0),$I65&gt;=AB$12),"ALL","PD+UX"),IF(AND($H65&lt;&gt;"",$H65&lt;=EOMONTH(AB$12,0),$I65&gt;=AB$12),"PD+DEV","PD")),IF(AND(INDEX('Roadmap Calc (Don’t Touch)'!$AA$2:$AX$151,$AI65,COLUMN()-COLUMN($J$16)+1)&gt;0,OR($D65="03. UX Discovery",$D65="04. UX Design")),IF(AND($H65&lt;&gt;"",$H65&lt;=EOMONTH(AB$12,0),$I65&gt;=AB$12),"UX+DEV","UX"),IF(AND($H65&lt;&gt;"",$H65&lt;=EOMONTH(AB$12,0),$I65&gt;=AB$12),"DEV",""))))</f>
      </c>
      <c r="AC65" s="158" t="str">
        <f>IF($AI65="","",IF(AND($AN65&lt;&gt;"",$AN65&lt;=EOMONTH(AC$12,0),$AO65&gt;=AC$12),IF(AND(INDEX('Roadmap Calc (Don’t Touch)'!$AA$2:$AX$151,$AI65,COLUMN()-COLUMN($J$16)+1)&gt;0,OR($D65="03. UX Discovery",$D65="04. UX Design")),IF(AND($H65&lt;&gt;"",$H65&lt;=EOMONTH(AC$12,0),$I65&gt;=AC$12),"ALL","PD+UX"),IF(AND($H65&lt;&gt;"",$H65&lt;=EOMONTH(AC$12,0),$I65&gt;=AC$12),"PD+DEV","PD")),IF(AND(INDEX('Roadmap Calc (Don’t Touch)'!$AA$2:$AX$151,$AI65,COLUMN()-COLUMN($J$16)+1)&gt;0,OR($D65="03. UX Discovery",$D65="04. UX Design")),IF(AND($H65&lt;&gt;"",$H65&lt;=EOMONTH(AC$12,0),$I65&gt;=AC$12),"UX+DEV","UX"),IF(AND($H65&lt;&gt;"",$H65&lt;=EOMONTH(AC$12,0),$I65&gt;=AC$12),"DEV",""))))</f>
      </c>
      <c r="AD65" s="158" t="str">
        <f>IF($AI65="","",IF(AND($AN65&lt;&gt;"",$AN65&lt;=EOMONTH(AD$12,0),$AO65&gt;=AD$12),IF(AND(INDEX('Roadmap Calc (Don’t Touch)'!$AA$2:$AX$151,$AI65,COLUMN()-COLUMN($J$16)+1)&gt;0,OR($D65="03. UX Discovery",$D65="04. UX Design")),IF(AND($H65&lt;&gt;"",$H65&lt;=EOMONTH(AD$12,0),$I65&gt;=AD$12),"ALL","PD+UX"),IF(AND($H65&lt;&gt;"",$H65&lt;=EOMONTH(AD$12,0),$I65&gt;=AD$12),"PD+DEV","PD")),IF(AND(INDEX('Roadmap Calc (Don’t Touch)'!$AA$2:$AX$151,$AI65,COLUMN()-COLUMN($J$16)+1)&gt;0,OR($D65="03. UX Discovery",$D65="04. UX Design")),IF(AND($H65&lt;&gt;"",$H65&lt;=EOMONTH(AD$12,0),$I65&gt;=AD$12),"UX+DEV","UX"),IF(AND($H65&lt;&gt;"",$H65&lt;=EOMONTH(AD$12,0),$I65&gt;=AD$12),"DEV",""))))</f>
      </c>
      <c r="AE65" s="158" t="str">
        <f>IF($AI65="","",IF(AND($AN65&lt;&gt;"",$AN65&lt;=EOMONTH(AE$12,0),$AO65&gt;=AE$12),IF(AND(INDEX('Roadmap Calc (Don’t Touch)'!$AA$2:$AX$151,$AI65,COLUMN()-COLUMN($J$16)+1)&gt;0,OR($D65="03. UX Discovery",$D65="04. UX Design")),IF(AND($H65&lt;&gt;"",$H65&lt;=EOMONTH(AE$12,0),$I65&gt;=AE$12),"ALL","PD+UX"),IF(AND($H65&lt;&gt;"",$H65&lt;=EOMONTH(AE$12,0),$I65&gt;=AE$12),"PD+DEV","PD")),IF(AND(INDEX('Roadmap Calc (Don’t Touch)'!$AA$2:$AX$151,$AI65,COLUMN()-COLUMN($J$16)+1)&gt;0,OR($D65="03. UX Discovery",$D65="04. UX Design")),IF(AND($H65&lt;&gt;"",$H65&lt;=EOMONTH(AE$12,0),$I65&gt;=AE$12),"UX+DEV","UX"),IF(AND($H65&lt;&gt;"",$H65&lt;=EOMONTH(AE$12,0),$I65&gt;=AE$12),"DEV",""))))</f>
      </c>
      <c r="AF65" s="158" t="str">
        <f>IF($AI65="","",IF(AND($AN65&lt;&gt;"",$AN65&lt;=EOMONTH(AF$12,0),$AO65&gt;=AF$12),IF(AND(INDEX('Roadmap Calc (Don’t Touch)'!$AA$2:$AX$151,$AI65,COLUMN()-COLUMN($J$16)+1)&gt;0,OR($D65="03. UX Discovery",$D65="04. UX Design")),IF(AND($H65&lt;&gt;"",$H65&lt;=EOMONTH(AF$12,0),$I65&gt;=AF$12),"ALL","PD+UX"),IF(AND($H65&lt;&gt;"",$H65&lt;=EOMONTH(AF$12,0),$I65&gt;=AF$12),"PD+DEV","PD")),IF(AND(INDEX('Roadmap Calc (Don’t Touch)'!$AA$2:$AX$151,$AI65,COLUMN()-COLUMN($J$16)+1)&gt;0,OR($D65="03. UX Discovery",$D65="04. UX Design")),IF(AND($H65&lt;&gt;"",$H65&lt;=EOMONTH(AF$12,0),$I65&gt;=AF$12),"UX+DEV","UX"),IF(AND($H65&lt;&gt;"",$H65&lt;=EOMONTH(AF$12,0),$I65&gt;=AF$12),"DEV",""))))</f>
      </c>
      <c r="AG65" s="158" t="str">
        <f>IF($AI65="","",IF(AND($AN65&lt;&gt;"",$AN65&lt;=EOMONTH(AG$12,0),$AO65&gt;=AG$12),IF(AND(INDEX('Roadmap Calc (Don’t Touch)'!$AA$2:$AX$151,$AI65,COLUMN()-COLUMN($J$16)+1)&gt;0,OR($D65="03. UX Discovery",$D65="04. UX Design")),IF(AND($H65&lt;&gt;"",$H65&lt;=EOMONTH(AG$12,0),$I65&gt;=AG$12),"ALL","PD+UX"),IF(AND($H65&lt;&gt;"",$H65&lt;=EOMONTH(AG$12,0),$I65&gt;=AG$12),"PD+DEV","PD")),IF(AND(INDEX('Roadmap Calc (Don’t Touch)'!$AA$2:$AX$151,$AI65,COLUMN()-COLUMN($J$16)+1)&gt;0,OR($D65="03. UX Discovery",$D65="04. UX Design")),IF(AND($H65&lt;&gt;"",$H65&lt;=EOMONTH(AG$12,0),$I65&gt;=AG$12),"UX+DEV","UX"),IF(AND($H65&lt;&gt;"",$H65&lt;=EOMONTH(AG$12,0),$I65&gt;=AG$12),"DEV",""))))</f>
      </c>
      <c r="AH65" s="145" t="str">
        <f>IF($AI65="","",INDEX('Roadmap Calc (Don’t Touch)'!$D$2:$D$151,$AI65))</f>
        <v/>
      </c>
      <c r="AI65" s="145" t="str">
        <f>IFERROR(MATCH(50,'Roadmap Calc (Don’t Touch)'!$O$2:$O$151,0),"")</f>
        <v/>
      </c>
      <c r="AJ65" s="145"/>
      <c r="AK65" s="145"/>
      <c r="AL65" s="145"/>
      <c r="AM65" s="145"/>
      <c r="AN65">
        <f>IF($AI65="","",IF(ISNUMBER(INDEX('Roadmap Calc (Don’t Touch)'!$BB$2:$BB$151,$AI65)),INDEX('Roadmap Calc (Don’t Touch)'!$BB$2:$BB$151,$AI65),""))</f>
      </c>
      <c r="AO65">
        <f>IF($AI65="","",IF(ISNUMBER(INDEX('Roadmap Calc (Don’t Touch)'!$BC$2:$BC$151,$AI65)),INDEX('Roadmap Calc (Don’t Touch)'!$BC$2:$BC$151,$AI65),""))</f>
      </c>
    </row>
    <row r="66" spans="1:41" ht="17" customHeight="1" x14ac:dyDescent="0.25">
      <c r="A66" s="152" t="str">
        <f>IF($AI66="","",IF($AH66=$AH65,"",IF(INDEX('Roadmap Calc (Don’t Touch)'!$U$2:$U$151,$AI66)=0,$AH66,HYPERLINK("#'Control (Don’t Touch)'!E"&amp;INDEX('Roadmap Calc (Don’t Touch)'!$U$2:$U$151,$AI66),$AH66))))</f>
        <v/>
      </c>
      <c r="B66" s="153" t="str">
        <f>IF($AI66="","",IF(INDEX('Roadmap Calc (Don’t Touch)'!$K$2:$K$151,$AI66)="",INDEX('Roadmap Calc (Don’t Touch)'!$B$2:$B$151,$AI66),HYPERLINK("https://jira.bnh.com/browse/"&amp;INDEX('Roadmap Calc (Don’t Touch)'!$K$2:$K$151,$AI66),INDEX('Roadmap Calc (Don’t Touch)'!$B$2:$B$151,$AI66))))</f>
        <v/>
      </c>
      <c r="C66" s="153" t="str">
        <f>IF($AI66="","",IF(INDEX('Roadmap Calc (Don’t Touch)'!$E$2:$E$151,$AI66)="","",HYPERLINK("https://jira.bnh.com/browse/"&amp;INDEX('Roadmap Calc (Don’t Touch)'!$E$2:$E$151,$AI66),INDEX('Roadmap Calc (Don’t Touch)'!$E$2:$E$151,$AI66))))</f>
        <v/>
      </c>
      <c r="D66" s="160" t="str">
        <f>IF($AI66="","",INDEX('Roadmap Calc (Don’t Touch)'!$F$2:$F$151,$AI66))</f>
        <v/>
      </c>
      <c r="E66" s="155" t="str">
        <f>IF($AI66="","",IF(ISNUMBER(INDEX('Roadmap Calc (Don’t Touch)'!$G$2:$G$151,$AI66)),INDEX('Roadmap Calc (Don’t Touch)'!$G$2:$G$151,$AI66),""))</f>
        <v/>
      </c>
      <c r="F66" s="155" t="str">
        <f>IF($AI66="","",IF(ISNUMBER(INDEX('Roadmap Calc (Don’t Touch)'!$H$2:$H$151,$AI66)),INDEX('Roadmap Calc (Don’t Touch)'!$H$2:$H$151,$AI66),""))</f>
        <v/>
      </c>
      <c r="G66" s="156" t="str">
        <f>IF($AI66="","",INDEX('Roadmap Calc (Don’t Touch)'!$T$2:$T$151,$AI66))</f>
        <v/>
      </c>
      <c r="H66" s="157" t="str">
        <f>IF($AI66="","",IF(ISNUMBER(INDEX('Roadmap Calc (Don’t Touch)'!$I$2:$I$151,$AI66)),INDEX('Roadmap Calc (Don’t Touch)'!$I$2:$I$151,$AI66),""))</f>
        <v/>
      </c>
      <c r="I66" s="157" t="str">
        <f>IF($AI66="","",IF(ISNUMBER(INDEX('Roadmap Calc (Don’t Touch)'!$J$2:$J$151,$AI66)),INDEX('Roadmap Calc (Don’t Touch)'!$J$2:$J$151,$AI66),""))</f>
        <v/>
      </c>
      <c r="J66" s="158" t="str">
        <f>IF($AI66="","",IF(AND($AN66&lt;&gt;"",$AN66&lt;=EOMONTH(J$12,0),$AO66&gt;=J$12),IF(AND(INDEX('Roadmap Calc (Don’t Touch)'!$AA$2:$AX$151,$AI66,COLUMN()-COLUMN($J$16)+1)&gt;0,OR($D66="03. UX Discovery",$D66="04. UX Design")),IF(AND($H66&lt;&gt;"",$H66&lt;=EOMONTH(J$12,0),$I66&gt;=J$12),"ALL","PD+UX"),IF(AND($H66&lt;&gt;"",$H66&lt;=EOMONTH(J$12,0),$I66&gt;=J$12),"PD+DEV","PD")),IF(AND(INDEX('Roadmap Calc (Don’t Touch)'!$AA$2:$AX$151,$AI66,COLUMN()-COLUMN($J$16)+1)&gt;0,OR($D66="03. UX Discovery",$D66="04. UX Design")),IF(AND($H66&lt;&gt;"",$H66&lt;=EOMONTH(J$12,0),$I66&gt;=J$12),"UX+DEV","UX"),IF(AND($H66&lt;&gt;"",$H66&lt;=EOMONTH(J$12,0),$I66&gt;=J$12),"DEV",""))))</f>
      </c>
      <c r="K66" s="158" t="str">
        <f>IF($AI66="","",IF(AND($AN66&lt;&gt;"",$AN66&lt;=EOMONTH(K$12,0),$AO66&gt;=K$12),IF(AND(INDEX('Roadmap Calc (Don’t Touch)'!$AA$2:$AX$151,$AI66,COLUMN()-COLUMN($J$16)+1)&gt;0,OR($D66="03. UX Discovery",$D66="04. UX Design")),IF(AND($H66&lt;&gt;"",$H66&lt;=EOMONTH(K$12,0),$I66&gt;=K$12),"ALL","PD+UX"),IF(AND($H66&lt;&gt;"",$H66&lt;=EOMONTH(K$12,0),$I66&gt;=K$12),"PD+DEV","PD")),IF(AND(INDEX('Roadmap Calc (Don’t Touch)'!$AA$2:$AX$151,$AI66,COLUMN()-COLUMN($J$16)+1)&gt;0,OR($D66="03. UX Discovery",$D66="04. UX Design")),IF(AND($H66&lt;&gt;"",$H66&lt;=EOMONTH(K$12,0),$I66&gt;=K$12),"UX+DEV","UX"),IF(AND($H66&lt;&gt;"",$H66&lt;=EOMONTH(K$12,0),$I66&gt;=K$12),"DEV",""))))</f>
      </c>
      <c r="L66" s="158" t="str">
        <f>IF($AI66="","",IF(AND($AN66&lt;&gt;"",$AN66&lt;=EOMONTH(L$12,0),$AO66&gt;=L$12),IF(AND(INDEX('Roadmap Calc (Don’t Touch)'!$AA$2:$AX$151,$AI66,COLUMN()-COLUMN($J$16)+1)&gt;0,OR($D66="03. UX Discovery",$D66="04. UX Design")),IF(AND($H66&lt;&gt;"",$H66&lt;=EOMONTH(L$12,0),$I66&gt;=L$12),"ALL","PD+UX"),IF(AND($H66&lt;&gt;"",$H66&lt;=EOMONTH(L$12,0),$I66&gt;=L$12),"PD+DEV","PD")),IF(AND(INDEX('Roadmap Calc (Don’t Touch)'!$AA$2:$AX$151,$AI66,COLUMN()-COLUMN($J$16)+1)&gt;0,OR($D66="03. UX Discovery",$D66="04. UX Design")),IF(AND($H66&lt;&gt;"",$H66&lt;=EOMONTH(L$12,0),$I66&gt;=L$12),"UX+DEV","UX"),IF(AND($H66&lt;&gt;"",$H66&lt;=EOMONTH(L$12,0),$I66&gt;=L$12),"DEV",""))))</f>
      </c>
      <c r="M66" s="158" t="str">
        <f>IF($AI66="","",IF(AND($AN66&lt;&gt;"",$AN66&lt;=EOMONTH(M$12,0),$AO66&gt;=M$12),IF(AND(INDEX('Roadmap Calc (Don’t Touch)'!$AA$2:$AX$151,$AI66,COLUMN()-COLUMN($J$16)+1)&gt;0,OR($D66="03. UX Discovery",$D66="04. UX Design")),IF(AND($H66&lt;&gt;"",$H66&lt;=EOMONTH(M$12,0),$I66&gt;=M$12),"ALL","PD+UX"),IF(AND($H66&lt;&gt;"",$H66&lt;=EOMONTH(M$12,0),$I66&gt;=M$12),"PD+DEV","PD")),IF(AND(INDEX('Roadmap Calc (Don’t Touch)'!$AA$2:$AX$151,$AI66,COLUMN()-COLUMN($J$16)+1)&gt;0,OR($D66="03. UX Discovery",$D66="04. UX Design")),IF(AND($H66&lt;&gt;"",$H66&lt;=EOMONTH(M$12,0),$I66&gt;=M$12),"UX+DEV","UX"),IF(AND($H66&lt;&gt;"",$H66&lt;=EOMONTH(M$12,0),$I66&gt;=M$12),"DEV",""))))</f>
      </c>
      <c r="N66" s="158" t="str">
        <f>IF($AI66="","",IF(AND($AN66&lt;&gt;"",$AN66&lt;=EOMONTH(N$12,0),$AO66&gt;=N$12),IF(AND(INDEX('Roadmap Calc (Don’t Touch)'!$AA$2:$AX$151,$AI66,COLUMN()-COLUMN($J$16)+1)&gt;0,OR($D66="03. UX Discovery",$D66="04. UX Design")),IF(AND($H66&lt;&gt;"",$H66&lt;=EOMONTH(N$12,0),$I66&gt;=N$12),"ALL","PD+UX"),IF(AND($H66&lt;&gt;"",$H66&lt;=EOMONTH(N$12,0),$I66&gt;=N$12),"PD+DEV","PD")),IF(AND(INDEX('Roadmap Calc (Don’t Touch)'!$AA$2:$AX$151,$AI66,COLUMN()-COLUMN($J$16)+1)&gt;0,OR($D66="03. UX Discovery",$D66="04. UX Design")),IF(AND($H66&lt;&gt;"",$H66&lt;=EOMONTH(N$12,0),$I66&gt;=N$12),"UX+DEV","UX"),IF(AND($H66&lt;&gt;"",$H66&lt;=EOMONTH(N$12,0),$I66&gt;=N$12),"DEV",""))))</f>
      </c>
      <c r="O66" s="158" t="str">
        <f>IF($AI66="","",IF(AND($AN66&lt;&gt;"",$AN66&lt;=EOMONTH(O$12,0),$AO66&gt;=O$12),IF(AND(INDEX('Roadmap Calc (Don’t Touch)'!$AA$2:$AX$151,$AI66,COLUMN()-COLUMN($J$16)+1)&gt;0,OR($D66="03. UX Discovery",$D66="04. UX Design")),IF(AND($H66&lt;&gt;"",$H66&lt;=EOMONTH(O$12,0),$I66&gt;=O$12),"ALL","PD+UX"),IF(AND($H66&lt;&gt;"",$H66&lt;=EOMONTH(O$12,0),$I66&gt;=O$12),"PD+DEV","PD")),IF(AND(INDEX('Roadmap Calc (Don’t Touch)'!$AA$2:$AX$151,$AI66,COLUMN()-COLUMN($J$16)+1)&gt;0,OR($D66="03. UX Discovery",$D66="04. UX Design")),IF(AND($H66&lt;&gt;"",$H66&lt;=EOMONTH(O$12,0),$I66&gt;=O$12),"UX+DEV","UX"),IF(AND($H66&lt;&gt;"",$H66&lt;=EOMONTH(O$12,0),$I66&gt;=O$12),"DEV",""))))</f>
      </c>
      <c r="P66" s="158" t="str">
        <f>IF($AI66="","",IF(AND($AN66&lt;&gt;"",$AN66&lt;=EOMONTH(P$12,0),$AO66&gt;=P$12),IF(AND(INDEX('Roadmap Calc (Don’t Touch)'!$AA$2:$AX$151,$AI66,COLUMN()-COLUMN($J$16)+1)&gt;0,OR($D66="03. UX Discovery",$D66="04. UX Design")),IF(AND($H66&lt;&gt;"",$H66&lt;=EOMONTH(P$12,0),$I66&gt;=P$12),"ALL","PD+UX"),IF(AND($H66&lt;&gt;"",$H66&lt;=EOMONTH(P$12,0),$I66&gt;=P$12),"PD+DEV","PD")),IF(AND(INDEX('Roadmap Calc (Don’t Touch)'!$AA$2:$AX$151,$AI66,COLUMN()-COLUMN($J$16)+1)&gt;0,OR($D66="03. UX Discovery",$D66="04. UX Design")),IF(AND($H66&lt;&gt;"",$H66&lt;=EOMONTH(P$12,0),$I66&gt;=P$12),"UX+DEV","UX"),IF(AND($H66&lt;&gt;"",$H66&lt;=EOMONTH(P$12,0),$I66&gt;=P$12),"DEV",""))))</f>
      </c>
      <c r="Q66" s="158" t="str">
        <f>IF($AI66="","",IF(AND($AN66&lt;&gt;"",$AN66&lt;=EOMONTH(Q$12,0),$AO66&gt;=Q$12),IF(AND(INDEX('Roadmap Calc (Don’t Touch)'!$AA$2:$AX$151,$AI66,COLUMN()-COLUMN($J$16)+1)&gt;0,OR($D66="03. UX Discovery",$D66="04. UX Design")),IF(AND($H66&lt;&gt;"",$H66&lt;=EOMONTH(Q$12,0),$I66&gt;=Q$12),"ALL","PD+UX"),IF(AND($H66&lt;&gt;"",$H66&lt;=EOMONTH(Q$12,0),$I66&gt;=Q$12),"PD+DEV","PD")),IF(AND(INDEX('Roadmap Calc (Don’t Touch)'!$AA$2:$AX$151,$AI66,COLUMN()-COLUMN($J$16)+1)&gt;0,OR($D66="03. UX Discovery",$D66="04. UX Design")),IF(AND($H66&lt;&gt;"",$H66&lt;=EOMONTH(Q$12,0),$I66&gt;=Q$12),"UX+DEV","UX"),IF(AND($H66&lt;&gt;"",$H66&lt;=EOMONTH(Q$12,0),$I66&gt;=Q$12),"DEV",""))))</f>
      </c>
      <c r="R66" s="158" t="str">
        <f>IF($AI66="","",IF(AND($AN66&lt;&gt;"",$AN66&lt;=EOMONTH(R$12,0),$AO66&gt;=R$12),IF(AND(INDEX('Roadmap Calc (Don’t Touch)'!$AA$2:$AX$151,$AI66,COLUMN()-COLUMN($J$16)+1)&gt;0,OR($D66="03. UX Discovery",$D66="04. UX Design")),IF(AND($H66&lt;&gt;"",$H66&lt;=EOMONTH(R$12,0),$I66&gt;=R$12),"ALL","PD+UX"),IF(AND($H66&lt;&gt;"",$H66&lt;=EOMONTH(R$12,0),$I66&gt;=R$12),"PD+DEV","PD")),IF(AND(INDEX('Roadmap Calc (Don’t Touch)'!$AA$2:$AX$151,$AI66,COLUMN()-COLUMN($J$16)+1)&gt;0,OR($D66="03. UX Discovery",$D66="04. UX Design")),IF(AND($H66&lt;&gt;"",$H66&lt;=EOMONTH(R$12,0),$I66&gt;=R$12),"UX+DEV","UX"),IF(AND($H66&lt;&gt;"",$H66&lt;=EOMONTH(R$12,0),$I66&gt;=R$12),"DEV",""))))</f>
      </c>
      <c r="S66" s="158" t="str">
        <f>IF($AI66="","",IF(AND($AN66&lt;&gt;"",$AN66&lt;=EOMONTH(S$12,0),$AO66&gt;=S$12),IF(AND(INDEX('Roadmap Calc (Don’t Touch)'!$AA$2:$AX$151,$AI66,COLUMN()-COLUMN($J$16)+1)&gt;0,OR($D66="03. UX Discovery",$D66="04. UX Design")),IF(AND($H66&lt;&gt;"",$H66&lt;=EOMONTH(S$12,0),$I66&gt;=S$12),"ALL","PD+UX"),IF(AND($H66&lt;&gt;"",$H66&lt;=EOMONTH(S$12,0),$I66&gt;=S$12),"PD+DEV","PD")),IF(AND(INDEX('Roadmap Calc (Don’t Touch)'!$AA$2:$AX$151,$AI66,COLUMN()-COLUMN($J$16)+1)&gt;0,OR($D66="03. UX Discovery",$D66="04. UX Design")),IF(AND($H66&lt;&gt;"",$H66&lt;=EOMONTH(S$12,0),$I66&gt;=S$12),"UX+DEV","UX"),IF(AND($H66&lt;&gt;"",$H66&lt;=EOMONTH(S$12,0),$I66&gt;=S$12),"DEV",""))))</f>
      </c>
      <c r="T66" s="158" t="str">
        <f>IF($AI66="","",IF(AND($AN66&lt;&gt;"",$AN66&lt;=EOMONTH(T$12,0),$AO66&gt;=T$12),IF(AND(INDEX('Roadmap Calc (Don’t Touch)'!$AA$2:$AX$151,$AI66,COLUMN()-COLUMN($J$16)+1)&gt;0,OR($D66="03. UX Discovery",$D66="04. UX Design")),IF(AND($H66&lt;&gt;"",$H66&lt;=EOMONTH(T$12,0),$I66&gt;=T$12),"ALL","PD+UX"),IF(AND($H66&lt;&gt;"",$H66&lt;=EOMONTH(T$12,0),$I66&gt;=T$12),"PD+DEV","PD")),IF(AND(INDEX('Roadmap Calc (Don’t Touch)'!$AA$2:$AX$151,$AI66,COLUMN()-COLUMN($J$16)+1)&gt;0,OR($D66="03. UX Discovery",$D66="04. UX Design")),IF(AND($H66&lt;&gt;"",$H66&lt;=EOMONTH(T$12,0),$I66&gt;=T$12),"UX+DEV","UX"),IF(AND($H66&lt;&gt;"",$H66&lt;=EOMONTH(T$12,0),$I66&gt;=T$12),"DEV",""))))</f>
      </c>
      <c r="U66" s="158" t="str">
        <f>IF($AI66="","",IF(AND($AN66&lt;&gt;"",$AN66&lt;=EOMONTH(U$12,0),$AO66&gt;=U$12),IF(AND(INDEX('Roadmap Calc (Don’t Touch)'!$AA$2:$AX$151,$AI66,COLUMN()-COLUMN($J$16)+1)&gt;0,OR($D66="03. UX Discovery",$D66="04. UX Design")),IF(AND($H66&lt;&gt;"",$H66&lt;=EOMONTH(U$12,0),$I66&gt;=U$12),"ALL","PD+UX"),IF(AND($H66&lt;&gt;"",$H66&lt;=EOMONTH(U$12,0),$I66&gt;=U$12),"PD+DEV","PD")),IF(AND(INDEX('Roadmap Calc (Don’t Touch)'!$AA$2:$AX$151,$AI66,COLUMN()-COLUMN($J$16)+1)&gt;0,OR($D66="03. UX Discovery",$D66="04. UX Design")),IF(AND($H66&lt;&gt;"",$H66&lt;=EOMONTH(U$12,0),$I66&gt;=U$12),"UX+DEV","UX"),IF(AND($H66&lt;&gt;"",$H66&lt;=EOMONTH(U$12,0),$I66&gt;=U$12),"DEV",""))))</f>
      </c>
      <c r="V66" s="158" t="str">
        <f>IF($AI66="","",IF(AND($AN66&lt;&gt;"",$AN66&lt;=EOMONTH(V$12,0),$AO66&gt;=V$12),IF(AND(INDEX('Roadmap Calc (Don’t Touch)'!$AA$2:$AX$151,$AI66,COLUMN()-COLUMN($J$16)+1)&gt;0,OR($D66="03. UX Discovery",$D66="04. UX Design")),IF(AND($H66&lt;&gt;"",$H66&lt;=EOMONTH(V$12,0),$I66&gt;=V$12),"ALL","PD+UX"),IF(AND($H66&lt;&gt;"",$H66&lt;=EOMONTH(V$12,0),$I66&gt;=V$12),"PD+DEV","PD")),IF(AND(INDEX('Roadmap Calc (Don’t Touch)'!$AA$2:$AX$151,$AI66,COLUMN()-COLUMN($J$16)+1)&gt;0,OR($D66="03. UX Discovery",$D66="04. UX Design")),IF(AND($H66&lt;&gt;"",$H66&lt;=EOMONTH(V$12,0),$I66&gt;=V$12),"UX+DEV","UX"),IF(AND($H66&lt;&gt;"",$H66&lt;=EOMONTH(V$12,0),$I66&gt;=V$12),"DEV",""))))</f>
      </c>
      <c r="W66" s="158" t="str">
        <f>IF($AI66="","",IF(AND($AN66&lt;&gt;"",$AN66&lt;=EOMONTH(W$12,0),$AO66&gt;=W$12),IF(AND(INDEX('Roadmap Calc (Don’t Touch)'!$AA$2:$AX$151,$AI66,COLUMN()-COLUMN($J$16)+1)&gt;0,OR($D66="03. UX Discovery",$D66="04. UX Design")),IF(AND($H66&lt;&gt;"",$H66&lt;=EOMONTH(W$12,0),$I66&gt;=W$12),"ALL","PD+UX"),IF(AND($H66&lt;&gt;"",$H66&lt;=EOMONTH(W$12,0),$I66&gt;=W$12),"PD+DEV","PD")),IF(AND(INDEX('Roadmap Calc (Don’t Touch)'!$AA$2:$AX$151,$AI66,COLUMN()-COLUMN($J$16)+1)&gt;0,OR($D66="03. UX Discovery",$D66="04. UX Design")),IF(AND($H66&lt;&gt;"",$H66&lt;=EOMONTH(W$12,0),$I66&gt;=W$12),"UX+DEV","UX"),IF(AND($H66&lt;&gt;"",$H66&lt;=EOMONTH(W$12,0),$I66&gt;=W$12),"DEV",""))))</f>
      </c>
      <c r="X66" s="158" t="str">
        <f>IF($AI66="","",IF(AND($AN66&lt;&gt;"",$AN66&lt;=EOMONTH(X$12,0),$AO66&gt;=X$12),IF(AND(INDEX('Roadmap Calc (Don’t Touch)'!$AA$2:$AX$151,$AI66,COLUMN()-COLUMN($J$16)+1)&gt;0,OR($D66="03. UX Discovery",$D66="04. UX Design")),IF(AND($H66&lt;&gt;"",$H66&lt;=EOMONTH(X$12,0),$I66&gt;=X$12),"ALL","PD+UX"),IF(AND($H66&lt;&gt;"",$H66&lt;=EOMONTH(X$12,0),$I66&gt;=X$12),"PD+DEV","PD")),IF(AND(INDEX('Roadmap Calc (Don’t Touch)'!$AA$2:$AX$151,$AI66,COLUMN()-COLUMN($J$16)+1)&gt;0,OR($D66="03. UX Discovery",$D66="04. UX Design")),IF(AND($H66&lt;&gt;"",$H66&lt;=EOMONTH(X$12,0),$I66&gt;=X$12),"UX+DEV","UX"),IF(AND($H66&lt;&gt;"",$H66&lt;=EOMONTH(X$12,0),$I66&gt;=X$12),"DEV",""))))</f>
      </c>
      <c r="Y66" s="158" t="str">
        <f>IF($AI66="","",IF(AND($AN66&lt;&gt;"",$AN66&lt;=EOMONTH(Y$12,0),$AO66&gt;=Y$12),IF(AND(INDEX('Roadmap Calc (Don’t Touch)'!$AA$2:$AX$151,$AI66,COLUMN()-COLUMN($J$16)+1)&gt;0,OR($D66="03. UX Discovery",$D66="04. UX Design")),IF(AND($H66&lt;&gt;"",$H66&lt;=EOMONTH(Y$12,0),$I66&gt;=Y$12),"ALL","PD+UX"),IF(AND($H66&lt;&gt;"",$H66&lt;=EOMONTH(Y$12,0),$I66&gt;=Y$12),"PD+DEV","PD")),IF(AND(INDEX('Roadmap Calc (Don’t Touch)'!$AA$2:$AX$151,$AI66,COLUMN()-COLUMN($J$16)+1)&gt;0,OR($D66="03. UX Discovery",$D66="04. UX Design")),IF(AND($H66&lt;&gt;"",$H66&lt;=EOMONTH(Y$12,0),$I66&gt;=Y$12),"UX+DEV","UX"),IF(AND($H66&lt;&gt;"",$H66&lt;=EOMONTH(Y$12,0),$I66&gt;=Y$12),"DEV",""))))</f>
      </c>
      <c r="Z66" s="158" t="str">
        <f>IF($AI66="","",IF(AND($AN66&lt;&gt;"",$AN66&lt;=EOMONTH(Z$12,0),$AO66&gt;=Z$12),IF(AND(INDEX('Roadmap Calc (Don’t Touch)'!$AA$2:$AX$151,$AI66,COLUMN()-COLUMN($J$16)+1)&gt;0,OR($D66="03. UX Discovery",$D66="04. UX Design")),IF(AND($H66&lt;&gt;"",$H66&lt;=EOMONTH(Z$12,0),$I66&gt;=Z$12),"ALL","PD+UX"),IF(AND($H66&lt;&gt;"",$H66&lt;=EOMONTH(Z$12,0),$I66&gt;=Z$12),"PD+DEV","PD")),IF(AND(INDEX('Roadmap Calc (Don’t Touch)'!$AA$2:$AX$151,$AI66,COLUMN()-COLUMN($J$16)+1)&gt;0,OR($D66="03. UX Discovery",$D66="04. UX Design")),IF(AND($H66&lt;&gt;"",$H66&lt;=EOMONTH(Z$12,0),$I66&gt;=Z$12),"UX+DEV","UX"),IF(AND($H66&lt;&gt;"",$H66&lt;=EOMONTH(Z$12,0),$I66&gt;=Z$12),"DEV",""))))</f>
      </c>
      <c r="AA66" s="158" t="str">
        <f>IF($AI66="","",IF(AND($AN66&lt;&gt;"",$AN66&lt;=EOMONTH(AA$12,0),$AO66&gt;=AA$12),IF(AND(INDEX('Roadmap Calc (Don’t Touch)'!$AA$2:$AX$151,$AI66,COLUMN()-COLUMN($J$16)+1)&gt;0,OR($D66="03. UX Discovery",$D66="04. UX Design")),IF(AND($H66&lt;&gt;"",$H66&lt;=EOMONTH(AA$12,0),$I66&gt;=AA$12),"ALL","PD+UX"),IF(AND($H66&lt;&gt;"",$H66&lt;=EOMONTH(AA$12,0),$I66&gt;=AA$12),"PD+DEV","PD")),IF(AND(INDEX('Roadmap Calc (Don’t Touch)'!$AA$2:$AX$151,$AI66,COLUMN()-COLUMN($J$16)+1)&gt;0,OR($D66="03. UX Discovery",$D66="04. UX Design")),IF(AND($H66&lt;&gt;"",$H66&lt;=EOMONTH(AA$12,0),$I66&gt;=AA$12),"UX+DEV","UX"),IF(AND($H66&lt;&gt;"",$H66&lt;=EOMONTH(AA$12,0),$I66&gt;=AA$12),"DEV",""))))</f>
      </c>
      <c r="AB66" s="158" t="str">
        <f>IF($AI66="","",IF(AND($AN66&lt;&gt;"",$AN66&lt;=EOMONTH(AB$12,0),$AO66&gt;=AB$12),IF(AND(INDEX('Roadmap Calc (Don’t Touch)'!$AA$2:$AX$151,$AI66,COLUMN()-COLUMN($J$16)+1)&gt;0,OR($D66="03. UX Discovery",$D66="04. UX Design")),IF(AND($H66&lt;&gt;"",$H66&lt;=EOMONTH(AB$12,0),$I66&gt;=AB$12),"ALL","PD+UX"),IF(AND($H66&lt;&gt;"",$H66&lt;=EOMONTH(AB$12,0),$I66&gt;=AB$12),"PD+DEV","PD")),IF(AND(INDEX('Roadmap Calc (Don’t Touch)'!$AA$2:$AX$151,$AI66,COLUMN()-COLUMN($J$16)+1)&gt;0,OR($D66="03. UX Discovery",$D66="04. UX Design")),IF(AND($H66&lt;&gt;"",$H66&lt;=EOMONTH(AB$12,0),$I66&gt;=AB$12),"UX+DEV","UX"),IF(AND($H66&lt;&gt;"",$H66&lt;=EOMONTH(AB$12,0),$I66&gt;=AB$12),"DEV",""))))</f>
      </c>
      <c r="AC66" s="158" t="str">
        <f>IF($AI66="","",IF(AND($AN66&lt;&gt;"",$AN66&lt;=EOMONTH(AC$12,0),$AO66&gt;=AC$12),IF(AND(INDEX('Roadmap Calc (Don’t Touch)'!$AA$2:$AX$151,$AI66,COLUMN()-COLUMN($J$16)+1)&gt;0,OR($D66="03. UX Discovery",$D66="04. UX Design")),IF(AND($H66&lt;&gt;"",$H66&lt;=EOMONTH(AC$12,0),$I66&gt;=AC$12),"ALL","PD+UX"),IF(AND($H66&lt;&gt;"",$H66&lt;=EOMONTH(AC$12,0),$I66&gt;=AC$12),"PD+DEV","PD")),IF(AND(INDEX('Roadmap Calc (Don’t Touch)'!$AA$2:$AX$151,$AI66,COLUMN()-COLUMN($J$16)+1)&gt;0,OR($D66="03. UX Discovery",$D66="04. UX Design")),IF(AND($H66&lt;&gt;"",$H66&lt;=EOMONTH(AC$12,0),$I66&gt;=AC$12),"UX+DEV","UX"),IF(AND($H66&lt;&gt;"",$H66&lt;=EOMONTH(AC$12,0),$I66&gt;=AC$12),"DEV",""))))</f>
      </c>
      <c r="AD66" s="158" t="str">
        <f>IF($AI66="","",IF(AND($AN66&lt;&gt;"",$AN66&lt;=EOMONTH(AD$12,0),$AO66&gt;=AD$12),IF(AND(INDEX('Roadmap Calc (Don’t Touch)'!$AA$2:$AX$151,$AI66,COLUMN()-COLUMN($J$16)+1)&gt;0,OR($D66="03. UX Discovery",$D66="04. UX Design")),IF(AND($H66&lt;&gt;"",$H66&lt;=EOMONTH(AD$12,0),$I66&gt;=AD$12),"ALL","PD+UX"),IF(AND($H66&lt;&gt;"",$H66&lt;=EOMONTH(AD$12,0),$I66&gt;=AD$12),"PD+DEV","PD")),IF(AND(INDEX('Roadmap Calc (Don’t Touch)'!$AA$2:$AX$151,$AI66,COLUMN()-COLUMN($J$16)+1)&gt;0,OR($D66="03. UX Discovery",$D66="04. UX Design")),IF(AND($H66&lt;&gt;"",$H66&lt;=EOMONTH(AD$12,0),$I66&gt;=AD$12),"UX+DEV","UX"),IF(AND($H66&lt;&gt;"",$H66&lt;=EOMONTH(AD$12,0),$I66&gt;=AD$12),"DEV",""))))</f>
      </c>
      <c r="AE66" s="158" t="str">
        <f>IF($AI66="","",IF(AND($AN66&lt;&gt;"",$AN66&lt;=EOMONTH(AE$12,0),$AO66&gt;=AE$12),IF(AND(INDEX('Roadmap Calc (Don’t Touch)'!$AA$2:$AX$151,$AI66,COLUMN()-COLUMN($J$16)+1)&gt;0,OR($D66="03. UX Discovery",$D66="04. UX Design")),IF(AND($H66&lt;&gt;"",$H66&lt;=EOMONTH(AE$12,0),$I66&gt;=AE$12),"ALL","PD+UX"),IF(AND($H66&lt;&gt;"",$H66&lt;=EOMONTH(AE$12,0),$I66&gt;=AE$12),"PD+DEV","PD")),IF(AND(INDEX('Roadmap Calc (Don’t Touch)'!$AA$2:$AX$151,$AI66,COLUMN()-COLUMN($J$16)+1)&gt;0,OR($D66="03. UX Discovery",$D66="04. UX Design")),IF(AND($H66&lt;&gt;"",$H66&lt;=EOMONTH(AE$12,0),$I66&gt;=AE$12),"UX+DEV","UX"),IF(AND($H66&lt;&gt;"",$H66&lt;=EOMONTH(AE$12,0),$I66&gt;=AE$12),"DEV",""))))</f>
      </c>
      <c r="AF66" s="158" t="str">
        <f>IF($AI66="","",IF(AND($AN66&lt;&gt;"",$AN66&lt;=EOMONTH(AF$12,0),$AO66&gt;=AF$12),IF(AND(INDEX('Roadmap Calc (Don’t Touch)'!$AA$2:$AX$151,$AI66,COLUMN()-COLUMN($J$16)+1)&gt;0,OR($D66="03. UX Discovery",$D66="04. UX Design")),IF(AND($H66&lt;&gt;"",$H66&lt;=EOMONTH(AF$12,0),$I66&gt;=AF$12),"ALL","PD+UX"),IF(AND($H66&lt;&gt;"",$H66&lt;=EOMONTH(AF$12,0),$I66&gt;=AF$12),"PD+DEV","PD")),IF(AND(INDEX('Roadmap Calc (Don’t Touch)'!$AA$2:$AX$151,$AI66,COLUMN()-COLUMN($J$16)+1)&gt;0,OR($D66="03. UX Discovery",$D66="04. UX Design")),IF(AND($H66&lt;&gt;"",$H66&lt;=EOMONTH(AF$12,0),$I66&gt;=AF$12),"UX+DEV","UX"),IF(AND($H66&lt;&gt;"",$H66&lt;=EOMONTH(AF$12,0),$I66&gt;=AF$12),"DEV",""))))</f>
      </c>
      <c r="AG66" s="158" t="str">
        <f>IF($AI66="","",IF(AND($AN66&lt;&gt;"",$AN66&lt;=EOMONTH(AG$12,0),$AO66&gt;=AG$12),IF(AND(INDEX('Roadmap Calc (Don’t Touch)'!$AA$2:$AX$151,$AI66,COLUMN()-COLUMN($J$16)+1)&gt;0,OR($D66="03. UX Discovery",$D66="04. UX Design")),IF(AND($H66&lt;&gt;"",$H66&lt;=EOMONTH(AG$12,0),$I66&gt;=AG$12),"ALL","PD+UX"),IF(AND($H66&lt;&gt;"",$H66&lt;=EOMONTH(AG$12,0),$I66&gt;=AG$12),"PD+DEV","PD")),IF(AND(INDEX('Roadmap Calc (Don’t Touch)'!$AA$2:$AX$151,$AI66,COLUMN()-COLUMN($J$16)+1)&gt;0,OR($D66="03. UX Discovery",$D66="04. UX Design")),IF(AND($H66&lt;&gt;"",$H66&lt;=EOMONTH(AG$12,0),$I66&gt;=AG$12),"UX+DEV","UX"),IF(AND($H66&lt;&gt;"",$H66&lt;=EOMONTH(AG$12,0),$I66&gt;=AG$12),"DEV",""))))</f>
      </c>
      <c r="AH66" s="145" t="str">
        <f>IF($AI66="","",INDEX('Roadmap Calc (Don’t Touch)'!$D$2:$D$151,$AI66))</f>
        <v/>
      </c>
      <c r="AI66" s="145" t="str">
        <f>IFERROR(MATCH(51,'Roadmap Calc (Don’t Touch)'!$O$2:$O$151,0),"")</f>
        <v/>
      </c>
      <c r="AJ66" s="145"/>
      <c r="AK66" s="145"/>
      <c r="AL66" s="145"/>
      <c r="AM66" s="145"/>
      <c r="AN66">
        <f>IF($AI66="","",IF(ISNUMBER(INDEX('Roadmap Calc (Don’t Touch)'!$BB$2:$BB$151,$AI66)),INDEX('Roadmap Calc (Don’t Touch)'!$BB$2:$BB$151,$AI66),""))</f>
      </c>
      <c r="AO66">
        <f>IF($AI66="","",IF(ISNUMBER(INDEX('Roadmap Calc (Don’t Touch)'!$BC$2:$BC$151,$AI66)),INDEX('Roadmap Calc (Don’t Touch)'!$BC$2:$BC$151,$AI66),""))</f>
      </c>
    </row>
    <row r="67" spans="1:41" ht="17" customHeight="1" x14ac:dyDescent="0.25">
      <c r="A67" s="152" t="str">
        <f>IF($AI67="","",IF($AH67=$AH66,"",IF(INDEX('Roadmap Calc (Don’t Touch)'!$U$2:$U$151,$AI67)=0,$AH67,HYPERLINK("#'Control (Don’t Touch)'!E"&amp;INDEX('Roadmap Calc (Don’t Touch)'!$U$2:$U$151,$AI67),$AH67))))</f>
        <v/>
      </c>
      <c r="B67" s="153" t="str">
        <f>IF($AI67="","",IF(INDEX('Roadmap Calc (Don’t Touch)'!$K$2:$K$151,$AI67)="",INDEX('Roadmap Calc (Don’t Touch)'!$B$2:$B$151,$AI67),HYPERLINK("https://jira.bnh.com/browse/"&amp;INDEX('Roadmap Calc (Don’t Touch)'!$K$2:$K$151,$AI67),INDEX('Roadmap Calc (Don’t Touch)'!$B$2:$B$151,$AI67))))</f>
        <v/>
      </c>
      <c r="C67" s="153" t="str">
        <f>IF($AI67="","",IF(INDEX('Roadmap Calc (Don’t Touch)'!$E$2:$E$151,$AI67)="","",HYPERLINK("https://jira.bnh.com/browse/"&amp;INDEX('Roadmap Calc (Don’t Touch)'!$E$2:$E$151,$AI67),INDEX('Roadmap Calc (Don’t Touch)'!$E$2:$E$151,$AI67))))</f>
        <v/>
      </c>
      <c r="D67" s="160" t="str">
        <f>IF($AI67="","",INDEX('Roadmap Calc (Don’t Touch)'!$F$2:$F$151,$AI67))</f>
        <v/>
      </c>
      <c r="E67" s="155" t="str">
        <f>IF($AI67="","",IF(ISNUMBER(INDEX('Roadmap Calc (Don’t Touch)'!$G$2:$G$151,$AI67)),INDEX('Roadmap Calc (Don’t Touch)'!$G$2:$G$151,$AI67),""))</f>
        <v/>
      </c>
      <c r="F67" s="155" t="str">
        <f>IF($AI67="","",IF(ISNUMBER(INDEX('Roadmap Calc (Don’t Touch)'!$H$2:$H$151,$AI67)),INDEX('Roadmap Calc (Don’t Touch)'!$H$2:$H$151,$AI67),""))</f>
        <v/>
      </c>
      <c r="G67" s="156" t="str">
        <f>IF($AI67="","",INDEX('Roadmap Calc (Don’t Touch)'!$T$2:$T$151,$AI67))</f>
        <v/>
      </c>
      <c r="H67" s="157" t="str">
        <f>IF($AI67="","",IF(ISNUMBER(INDEX('Roadmap Calc (Don’t Touch)'!$I$2:$I$151,$AI67)),INDEX('Roadmap Calc (Don’t Touch)'!$I$2:$I$151,$AI67),""))</f>
        <v/>
      </c>
      <c r="I67" s="157" t="str">
        <f>IF($AI67="","",IF(ISNUMBER(INDEX('Roadmap Calc (Don’t Touch)'!$J$2:$J$151,$AI67)),INDEX('Roadmap Calc (Don’t Touch)'!$J$2:$J$151,$AI67),""))</f>
        <v/>
      </c>
      <c r="J67" s="158" t="str">
        <f>IF($AI67="","",IF(AND($AN67&lt;&gt;"",$AN67&lt;=EOMONTH(J$12,0),$AO67&gt;=J$12),IF(AND(INDEX('Roadmap Calc (Don’t Touch)'!$AA$2:$AX$151,$AI67,COLUMN()-COLUMN($J$16)+1)&gt;0,OR($D67="03. UX Discovery",$D67="04. UX Design")),IF(AND($H67&lt;&gt;"",$H67&lt;=EOMONTH(J$12,0),$I67&gt;=J$12),"ALL","PD+UX"),IF(AND($H67&lt;&gt;"",$H67&lt;=EOMONTH(J$12,0),$I67&gt;=J$12),"PD+DEV","PD")),IF(AND(INDEX('Roadmap Calc (Don’t Touch)'!$AA$2:$AX$151,$AI67,COLUMN()-COLUMN($J$16)+1)&gt;0,OR($D67="03. UX Discovery",$D67="04. UX Design")),IF(AND($H67&lt;&gt;"",$H67&lt;=EOMONTH(J$12,0),$I67&gt;=J$12),"UX+DEV","UX"),IF(AND($H67&lt;&gt;"",$H67&lt;=EOMONTH(J$12,0),$I67&gt;=J$12),"DEV",""))))</f>
      </c>
      <c r="K67" s="158" t="str">
        <f>IF($AI67="","",IF(AND($AN67&lt;&gt;"",$AN67&lt;=EOMONTH(K$12,0),$AO67&gt;=K$12),IF(AND(INDEX('Roadmap Calc (Don’t Touch)'!$AA$2:$AX$151,$AI67,COLUMN()-COLUMN($J$16)+1)&gt;0,OR($D67="03. UX Discovery",$D67="04. UX Design")),IF(AND($H67&lt;&gt;"",$H67&lt;=EOMONTH(K$12,0),$I67&gt;=K$12),"ALL","PD+UX"),IF(AND($H67&lt;&gt;"",$H67&lt;=EOMONTH(K$12,0),$I67&gt;=K$12),"PD+DEV","PD")),IF(AND(INDEX('Roadmap Calc (Don’t Touch)'!$AA$2:$AX$151,$AI67,COLUMN()-COLUMN($J$16)+1)&gt;0,OR($D67="03. UX Discovery",$D67="04. UX Design")),IF(AND($H67&lt;&gt;"",$H67&lt;=EOMONTH(K$12,0),$I67&gt;=K$12),"UX+DEV","UX"),IF(AND($H67&lt;&gt;"",$H67&lt;=EOMONTH(K$12,0),$I67&gt;=K$12),"DEV",""))))</f>
      </c>
      <c r="L67" s="158" t="str">
        <f>IF($AI67="","",IF(AND($AN67&lt;&gt;"",$AN67&lt;=EOMONTH(L$12,0),$AO67&gt;=L$12),IF(AND(INDEX('Roadmap Calc (Don’t Touch)'!$AA$2:$AX$151,$AI67,COLUMN()-COLUMN($J$16)+1)&gt;0,OR($D67="03. UX Discovery",$D67="04. UX Design")),IF(AND($H67&lt;&gt;"",$H67&lt;=EOMONTH(L$12,0),$I67&gt;=L$12),"ALL","PD+UX"),IF(AND($H67&lt;&gt;"",$H67&lt;=EOMONTH(L$12,0),$I67&gt;=L$12),"PD+DEV","PD")),IF(AND(INDEX('Roadmap Calc (Don’t Touch)'!$AA$2:$AX$151,$AI67,COLUMN()-COLUMN($J$16)+1)&gt;0,OR($D67="03. UX Discovery",$D67="04. UX Design")),IF(AND($H67&lt;&gt;"",$H67&lt;=EOMONTH(L$12,0),$I67&gt;=L$12),"UX+DEV","UX"),IF(AND($H67&lt;&gt;"",$H67&lt;=EOMONTH(L$12,0),$I67&gt;=L$12),"DEV",""))))</f>
      </c>
      <c r="M67" s="158" t="str">
        <f>IF($AI67="","",IF(AND($AN67&lt;&gt;"",$AN67&lt;=EOMONTH(M$12,0),$AO67&gt;=M$12),IF(AND(INDEX('Roadmap Calc (Don’t Touch)'!$AA$2:$AX$151,$AI67,COLUMN()-COLUMN($J$16)+1)&gt;0,OR($D67="03. UX Discovery",$D67="04. UX Design")),IF(AND($H67&lt;&gt;"",$H67&lt;=EOMONTH(M$12,0),$I67&gt;=M$12),"ALL","PD+UX"),IF(AND($H67&lt;&gt;"",$H67&lt;=EOMONTH(M$12,0),$I67&gt;=M$12),"PD+DEV","PD")),IF(AND(INDEX('Roadmap Calc (Don’t Touch)'!$AA$2:$AX$151,$AI67,COLUMN()-COLUMN($J$16)+1)&gt;0,OR($D67="03. UX Discovery",$D67="04. UX Design")),IF(AND($H67&lt;&gt;"",$H67&lt;=EOMONTH(M$12,0),$I67&gt;=M$12),"UX+DEV","UX"),IF(AND($H67&lt;&gt;"",$H67&lt;=EOMONTH(M$12,0),$I67&gt;=M$12),"DEV",""))))</f>
      </c>
      <c r="N67" s="158" t="str">
        <f>IF($AI67="","",IF(AND($AN67&lt;&gt;"",$AN67&lt;=EOMONTH(N$12,0),$AO67&gt;=N$12),IF(AND(INDEX('Roadmap Calc (Don’t Touch)'!$AA$2:$AX$151,$AI67,COLUMN()-COLUMN($J$16)+1)&gt;0,OR($D67="03. UX Discovery",$D67="04. UX Design")),IF(AND($H67&lt;&gt;"",$H67&lt;=EOMONTH(N$12,0),$I67&gt;=N$12),"ALL","PD+UX"),IF(AND($H67&lt;&gt;"",$H67&lt;=EOMONTH(N$12,0),$I67&gt;=N$12),"PD+DEV","PD")),IF(AND(INDEX('Roadmap Calc (Don’t Touch)'!$AA$2:$AX$151,$AI67,COLUMN()-COLUMN($J$16)+1)&gt;0,OR($D67="03. UX Discovery",$D67="04. UX Design")),IF(AND($H67&lt;&gt;"",$H67&lt;=EOMONTH(N$12,0),$I67&gt;=N$12),"UX+DEV","UX"),IF(AND($H67&lt;&gt;"",$H67&lt;=EOMONTH(N$12,0),$I67&gt;=N$12),"DEV",""))))</f>
      </c>
      <c r="O67" s="158" t="str">
        <f>IF($AI67="","",IF(AND($AN67&lt;&gt;"",$AN67&lt;=EOMONTH(O$12,0),$AO67&gt;=O$12),IF(AND(INDEX('Roadmap Calc (Don’t Touch)'!$AA$2:$AX$151,$AI67,COLUMN()-COLUMN($J$16)+1)&gt;0,OR($D67="03. UX Discovery",$D67="04. UX Design")),IF(AND($H67&lt;&gt;"",$H67&lt;=EOMONTH(O$12,0),$I67&gt;=O$12),"ALL","PD+UX"),IF(AND($H67&lt;&gt;"",$H67&lt;=EOMONTH(O$12,0),$I67&gt;=O$12),"PD+DEV","PD")),IF(AND(INDEX('Roadmap Calc (Don’t Touch)'!$AA$2:$AX$151,$AI67,COLUMN()-COLUMN($J$16)+1)&gt;0,OR($D67="03. UX Discovery",$D67="04. UX Design")),IF(AND($H67&lt;&gt;"",$H67&lt;=EOMONTH(O$12,0),$I67&gt;=O$12),"UX+DEV","UX"),IF(AND($H67&lt;&gt;"",$H67&lt;=EOMONTH(O$12,0),$I67&gt;=O$12),"DEV",""))))</f>
      </c>
      <c r="P67" s="158" t="str">
        <f>IF($AI67="","",IF(AND($AN67&lt;&gt;"",$AN67&lt;=EOMONTH(P$12,0),$AO67&gt;=P$12),IF(AND(INDEX('Roadmap Calc (Don’t Touch)'!$AA$2:$AX$151,$AI67,COLUMN()-COLUMN($J$16)+1)&gt;0,OR($D67="03. UX Discovery",$D67="04. UX Design")),IF(AND($H67&lt;&gt;"",$H67&lt;=EOMONTH(P$12,0),$I67&gt;=P$12),"ALL","PD+UX"),IF(AND($H67&lt;&gt;"",$H67&lt;=EOMONTH(P$12,0),$I67&gt;=P$12),"PD+DEV","PD")),IF(AND(INDEX('Roadmap Calc (Don’t Touch)'!$AA$2:$AX$151,$AI67,COLUMN()-COLUMN($J$16)+1)&gt;0,OR($D67="03. UX Discovery",$D67="04. UX Design")),IF(AND($H67&lt;&gt;"",$H67&lt;=EOMONTH(P$12,0),$I67&gt;=P$12),"UX+DEV","UX"),IF(AND($H67&lt;&gt;"",$H67&lt;=EOMONTH(P$12,0),$I67&gt;=P$12),"DEV",""))))</f>
      </c>
      <c r="Q67" s="158" t="str">
        <f>IF($AI67="","",IF(AND($AN67&lt;&gt;"",$AN67&lt;=EOMONTH(Q$12,0),$AO67&gt;=Q$12),IF(AND(INDEX('Roadmap Calc (Don’t Touch)'!$AA$2:$AX$151,$AI67,COLUMN()-COLUMN($J$16)+1)&gt;0,OR($D67="03. UX Discovery",$D67="04. UX Design")),IF(AND($H67&lt;&gt;"",$H67&lt;=EOMONTH(Q$12,0),$I67&gt;=Q$12),"ALL","PD+UX"),IF(AND($H67&lt;&gt;"",$H67&lt;=EOMONTH(Q$12,0),$I67&gt;=Q$12),"PD+DEV","PD")),IF(AND(INDEX('Roadmap Calc (Don’t Touch)'!$AA$2:$AX$151,$AI67,COLUMN()-COLUMN($J$16)+1)&gt;0,OR($D67="03. UX Discovery",$D67="04. UX Design")),IF(AND($H67&lt;&gt;"",$H67&lt;=EOMONTH(Q$12,0),$I67&gt;=Q$12),"UX+DEV","UX"),IF(AND($H67&lt;&gt;"",$H67&lt;=EOMONTH(Q$12,0),$I67&gt;=Q$12),"DEV",""))))</f>
      </c>
      <c r="R67" s="158" t="str">
        <f>IF($AI67="","",IF(AND($AN67&lt;&gt;"",$AN67&lt;=EOMONTH(R$12,0),$AO67&gt;=R$12),IF(AND(INDEX('Roadmap Calc (Don’t Touch)'!$AA$2:$AX$151,$AI67,COLUMN()-COLUMN($J$16)+1)&gt;0,OR($D67="03. UX Discovery",$D67="04. UX Design")),IF(AND($H67&lt;&gt;"",$H67&lt;=EOMONTH(R$12,0),$I67&gt;=R$12),"ALL","PD+UX"),IF(AND($H67&lt;&gt;"",$H67&lt;=EOMONTH(R$12,0),$I67&gt;=R$12),"PD+DEV","PD")),IF(AND(INDEX('Roadmap Calc (Don’t Touch)'!$AA$2:$AX$151,$AI67,COLUMN()-COLUMN($J$16)+1)&gt;0,OR($D67="03. UX Discovery",$D67="04. UX Design")),IF(AND($H67&lt;&gt;"",$H67&lt;=EOMONTH(R$12,0),$I67&gt;=R$12),"UX+DEV","UX"),IF(AND($H67&lt;&gt;"",$H67&lt;=EOMONTH(R$12,0),$I67&gt;=R$12),"DEV",""))))</f>
      </c>
      <c r="S67" s="158" t="str">
        <f>IF($AI67="","",IF(AND($AN67&lt;&gt;"",$AN67&lt;=EOMONTH(S$12,0),$AO67&gt;=S$12),IF(AND(INDEX('Roadmap Calc (Don’t Touch)'!$AA$2:$AX$151,$AI67,COLUMN()-COLUMN($J$16)+1)&gt;0,OR($D67="03. UX Discovery",$D67="04. UX Design")),IF(AND($H67&lt;&gt;"",$H67&lt;=EOMONTH(S$12,0),$I67&gt;=S$12),"ALL","PD+UX"),IF(AND($H67&lt;&gt;"",$H67&lt;=EOMONTH(S$12,0),$I67&gt;=S$12),"PD+DEV","PD")),IF(AND(INDEX('Roadmap Calc (Don’t Touch)'!$AA$2:$AX$151,$AI67,COLUMN()-COLUMN($J$16)+1)&gt;0,OR($D67="03. UX Discovery",$D67="04. UX Design")),IF(AND($H67&lt;&gt;"",$H67&lt;=EOMONTH(S$12,0),$I67&gt;=S$12),"UX+DEV","UX"),IF(AND($H67&lt;&gt;"",$H67&lt;=EOMONTH(S$12,0),$I67&gt;=S$12),"DEV",""))))</f>
      </c>
      <c r="T67" s="158" t="str">
        <f>IF($AI67="","",IF(AND($AN67&lt;&gt;"",$AN67&lt;=EOMONTH(T$12,0),$AO67&gt;=T$12),IF(AND(INDEX('Roadmap Calc (Don’t Touch)'!$AA$2:$AX$151,$AI67,COLUMN()-COLUMN($J$16)+1)&gt;0,OR($D67="03. UX Discovery",$D67="04. UX Design")),IF(AND($H67&lt;&gt;"",$H67&lt;=EOMONTH(T$12,0),$I67&gt;=T$12),"ALL","PD+UX"),IF(AND($H67&lt;&gt;"",$H67&lt;=EOMONTH(T$12,0),$I67&gt;=T$12),"PD+DEV","PD")),IF(AND(INDEX('Roadmap Calc (Don’t Touch)'!$AA$2:$AX$151,$AI67,COLUMN()-COLUMN($J$16)+1)&gt;0,OR($D67="03. UX Discovery",$D67="04. UX Design")),IF(AND($H67&lt;&gt;"",$H67&lt;=EOMONTH(T$12,0),$I67&gt;=T$12),"UX+DEV","UX"),IF(AND($H67&lt;&gt;"",$H67&lt;=EOMONTH(T$12,0),$I67&gt;=T$12),"DEV",""))))</f>
      </c>
      <c r="U67" s="158" t="str">
        <f>IF($AI67="","",IF(AND($AN67&lt;&gt;"",$AN67&lt;=EOMONTH(U$12,0),$AO67&gt;=U$12),IF(AND(INDEX('Roadmap Calc (Don’t Touch)'!$AA$2:$AX$151,$AI67,COLUMN()-COLUMN($J$16)+1)&gt;0,OR($D67="03. UX Discovery",$D67="04. UX Design")),IF(AND($H67&lt;&gt;"",$H67&lt;=EOMONTH(U$12,0),$I67&gt;=U$12),"ALL","PD+UX"),IF(AND($H67&lt;&gt;"",$H67&lt;=EOMONTH(U$12,0),$I67&gt;=U$12),"PD+DEV","PD")),IF(AND(INDEX('Roadmap Calc (Don’t Touch)'!$AA$2:$AX$151,$AI67,COLUMN()-COLUMN($J$16)+1)&gt;0,OR($D67="03. UX Discovery",$D67="04. UX Design")),IF(AND($H67&lt;&gt;"",$H67&lt;=EOMONTH(U$12,0),$I67&gt;=U$12),"UX+DEV","UX"),IF(AND($H67&lt;&gt;"",$H67&lt;=EOMONTH(U$12,0),$I67&gt;=U$12),"DEV",""))))</f>
      </c>
      <c r="V67" s="158" t="str">
        <f>IF($AI67="","",IF(AND($AN67&lt;&gt;"",$AN67&lt;=EOMONTH(V$12,0),$AO67&gt;=V$12),IF(AND(INDEX('Roadmap Calc (Don’t Touch)'!$AA$2:$AX$151,$AI67,COLUMN()-COLUMN($J$16)+1)&gt;0,OR($D67="03. UX Discovery",$D67="04. UX Design")),IF(AND($H67&lt;&gt;"",$H67&lt;=EOMONTH(V$12,0),$I67&gt;=V$12),"ALL","PD+UX"),IF(AND($H67&lt;&gt;"",$H67&lt;=EOMONTH(V$12,0),$I67&gt;=V$12),"PD+DEV","PD")),IF(AND(INDEX('Roadmap Calc (Don’t Touch)'!$AA$2:$AX$151,$AI67,COLUMN()-COLUMN($J$16)+1)&gt;0,OR($D67="03. UX Discovery",$D67="04. UX Design")),IF(AND($H67&lt;&gt;"",$H67&lt;=EOMONTH(V$12,0),$I67&gt;=V$12),"UX+DEV","UX"),IF(AND($H67&lt;&gt;"",$H67&lt;=EOMONTH(V$12,0),$I67&gt;=V$12),"DEV",""))))</f>
      </c>
      <c r="W67" s="158" t="str">
        <f>IF($AI67="","",IF(AND($AN67&lt;&gt;"",$AN67&lt;=EOMONTH(W$12,0),$AO67&gt;=W$12),IF(AND(INDEX('Roadmap Calc (Don’t Touch)'!$AA$2:$AX$151,$AI67,COLUMN()-COLUMN($J$16)+1)&gt;0,OR($D67="03. UX Discovery",$D67="04. UX Design")),IF(AND($H67&lt;&gt;"",$H67&lt;=EOMONTH(W$12,0),$I67&gt;=W$12),"ALL","PD+UX"),IF(AND($H67&lt;&gt;"",$H67&lt;=EOMONTH(W$12,0),$I67&gt;=W$12),"PD+DEV","PD")),IF(AND(INDEX('Roadmap Calc (Don’t Touch)'!$AA$2:$AX$151,$AI67,COLUMN()-COLUMN($J$16)+1)&gt;0,OR($D67="03. UX Discovery",$D67="04. UX Design")),IF(AND($H67&lt;&gt;"",$H67&lt;=EOMONTH(W$12,0),$I67&gt;=W$12),"UX+DEV","UX"),IF(AND($H67&lt;&gt;"",$H67&lt;=EOMONTH(W$12,0),$I67&gt;=W$12),"DEV",""))))</f>
      </c>
      <c r="X67" s="158" t="str">
        <f>IF($AI67="","",IF(AND($AN67&lt;&gt;"",$AN67&lt;=EOMONTH(X$12,0),$AO67&gt;=X$12),IF(AND(INDEX('Roadmap Calc (Don’t Touch)'!$AA$2:$AX$151,$AI67,COLUMN()-COLUMN($J$16)+1)&gt;0,OR($D67="03. UX Discovery",$D67="04. UX Design")),IF(AND($H67&lt;&gt;"",$H67&lt;=EOMONTH(X$12,0),$I67&gt;=X$12),"ALL","PD+UX"),IF(AND($H67&lt;&gt;"",$H67&lt;=EOMONTH(X$12,0),$I67&gt;=X$12),"PD+DEV","PD")),IF(AND(INDEX('Roadmap Calc (Don’t Touch)'!$AA$2:$AX$151,$AI67,COLUMN()-COLUMN($J$16)+1)&gt;0,OR($D67="03. UX Discovery",$D67="04. UX Design")),IF(AND($H67&lt;&gt;"",$H67&lt;=EOMONTH(X$12,0),$I67&gt;=X$12),"UX+DEV","UX"),IF(AND($H67&lt;&gt;"",$H67&lt;=EOMONTH(X$12,0),$I67&gt;=X$12),"DEV",""))))</f>
      </c>
      <c r="Y67" s="158" t="str">
        <f>IF($AI67="","",IF(AND($AN67&lt;&gt;"",$AN67&lt;=EOMONTH(Y$12,0),$AO67&gt;=Y$12),IF(AND(INDEX('Roadmap Calc (Don’t Touch)'!$AA$2:$AX$151,$AI67,COLUMN()-COLUMN($J$16)+1)&gt;0,OR($D67="03. UX Discovery",$D67="04. UX Design")),IF(AND($H67&lt;&gt;"",$H67&lt;=EOMONTH(Y$12,0),$I67&gt;=Y$12),"ALL","PD+UX"),IF(AND($H67&lt;&gt;"",$H67&lt;=EOMONTH(Y$12,0),$I67&gt;=Y$12),"PD+DEV","PD")),IF(AND(INDEX('Roadmap Calc (Don’t Touch)'!$AA$2:$AX$151,$AI67,COLUMN()-COLUMN($J$16)+1)&gt;0,OR($D67="03. UX Discovery",$D67="04. UX Design")),IF(AND($H67&lt;&gt;"",$H67&lt;=EOMONTH(Y$12,0),$I67&gt;=Y$12),"UX+DEV","UX"),IF(AND($H67&lt;&gt;"",$H67&lt;=EOMONTH(Y$12,0),$I67&gt;=Y$12),"DEV",""))))</f>
      </c>
      <c r="Z67" s="158" t="str">
        <f>IF($AI67="","",IF(AND($AN67&lt;&gt;"",$AN67&lt;=EOMONTH(Z$12,0),$AO67&gt;=Z$12),IF(AND(INDEX('Roadmap Calc (Don’t Touch)'!$AA$2:$AX$151,$AI67,COLUMN()-COLUMN($J$16)+1)&gt;0,OR($D67="03. UX Discovery",$D67="04. UX Design")),IF(AND($H67&lt;&gt;"",$H67&lt;=EOMONTH(Z$12,0),$I67&gt;=Z$12),"ALL","PD+UX"),IF(AND($H67&lt;&gt;"",$H67&lt;=EOMONTH(Z$12,0),$I67&gt;=Z$12),"PD+DEV","PD")),IF(AND(INDEX('Roadmap Calc (Don’t Touch)'!$AA$2:$AX$151,$AI67,COLUMN()-COLUMN($J$16)+1)&gt;0,OR($D67="03. UX Discovery",$D67="04. UX Design")),IF(AND($H67&lt;&gt;"",$H67&lt;=EOMONTH(Z$12,0),$I67&gt;=Z$12),"UX+DEV","UX"),IF(AND($H67&lt;&gt;"",$H67&lt;=EOMONTH(Z$12,0),$I67&gt;=Z$12),"DEV",""))))</f>
      </c>
      <c r="AA67" s="158" t="str">
        <f>IF($AI67="","",IF(AND($AN67&lt;&gt;"",$AN67&lt;=EOMONTH(AA$12,0),$AO67&gt;=AA$12),IF(AND(INDEX('Roadmap Calc (Don’t Touch)'!$AA$2:$AX$151,$AI67,COLUMN()-COLUMN($J$16)+1)&gt;0,OR($D67="03. UX Discovery",$D67="04. UX Design")),IF(AND($H67&lt;&gt;"",$H67&lt;=EOMONTH(AA$12,0),$I67&gt;=AA$12),"ALL","PD+UX"),IF(AND($H67&lt;&gt;"",$H67&lt;=EOMONTH(AA$12,0),$I67&gt;=AA$12),"PD+DEV","PD")),IF(AND(INDEX('Roadmap Calc (Don’t Touch)'!$AA$2:$AX$151,$AI67,COLUMN()-COLUMN($J$16)+1)&gt;0,OR($D67="03. UX Discovery",$D67="04. UX Design")),IF(AND($H67&lt;&gt;"",$H67&lt;=EOMONTH(AA$12,0),$I67&gt;=AA$12),"UX+DEV","UX"),IF(AND($H67&lt;&gt;"",$H67&lt;=EOMONTH(AA$12,0),$I67&gt;=AA$12),"DEV",""))))</f>
      </c>
      <c r="AB67" s="158" t="str">
        <f>IF($AI67="","",IF(AND($AN67&lt;&gt;"",$AN67&lt;=EOMONTH(AB$12,0),$AO67&gt;=AB$12),IF(AND(INDEX('Roadmap Calc (Don’t Touch)'!$AA$2:$AX$151,$AI67,COLUMN()-COLUMN($J$16)+1)&gt;0,OR($D67="03. UX Discovery",$D67="04. UX Design")),IF(AND($H67&lt;&gt;"",$H67&lt;=EOMONTH(AB$12,0),$I67&gt;=AB$12),"ALL","PD+UX"),IF(AND($H67&lt;&gt;"",$H67&lt;=EOMONTH(AB$12,0),$I67&gt;=AB$12),"PD+DEV","PD")),IF(AND(INDEX('Roadmap Calc (Don’t Touch)'!$AA$2:$AX$151,$AI67,COLUMN()-COLUMN($J$16)+1)&gt;0,OR($D67="03. UX Discovery",$D67="04. UX Design")),IF(AND($H67&lt;&gt;"",$H67&lt;=EOMONTH(AB$12,0),$I67&gt;=AB$12),"UX+DEV","UX"),IF(AND($H67&lt;&gt;"",$H67&lt;=EOMONTH(AB$12,0),$I67&gt;=AB$12),"DEV",""))))</f>
      </c>
      <c r="AC67" s="158" t="str">
        <f>IF($AI67="","",IF(AND($AN67&lt;&gt;"",$AN67&lt;=EOMONTH(AC$12,0),$AO67&gt;=AC$12),IF(AND(INDEX('Roadmap Calc (Don’t Touch)'!$AA$2:$AX$151,$AI67,COLUMN()-COLUMN($J$16)+1)&gt;0,OR($D67="03. UX Discovery",$D67="04. UX Design")),IF(AND($H67&lt;&gt;"",$H67&lt;=EOMONTH(AC$12,0),$I67&gt;=AC$12),"ALL","PD+UX"),IF(AND($H67&lt;&gt;"",$H67&lt;=EOMONTH(AC$12,0),$I67&gt;=AC$12),"PD+DEV","PD")),IF(AND(INDEX('Roadmap Calc (Don’t Touch)'!$AA$2:$AX$151,$AI67,COLUMN()-COLUMN($J$16)+1)&gt;0,OR($D67="03. UX Discovery",$D67="04. UX Design")),IF(AND($H67&lt;&gt;"",$H67&lt;=EOMONTH(AC$12,0),$I67&gt;=AC$12),"UX+DEV","UX"),IF(AND($H67&lt;&gt;"",$H67&lt;=EOMONTH(AC$12,0),$I67&gt;=AC$12),"DEV",""))))</f>
      </c>
      <c r="AD67" s="158" t="str">
        <f>IF($AI67="","",IF(AND($AN67&lt;&gt;"",$AN67&lt;=EOMONTH(AD$12,0),$AO67&gt;=AD$12),IF(AND(INDEX('Roadmap Calc (Don’t Touch)'!$AA$2:$AX$151,$AI67,COLUMN()-COLUMN($J$16)+1)&gt;0,OR($D67="03. UX Discovery",$D67="04. UX Design")),IF(AND($H67&lt;&gt;"",$H67&lt;=EOMONTH(AD$12,0),$I67&gt;=AD$12),"ALL","PD+UX"),IF(AND($H67&lt;&gt;"",$H67&lt;=EOMONTH(AD$12,0),$I67&gt;=AD$12),"PD+DEV","PD")),IF(AND(INDEX('Roadmap Calc (Don’t Touch)'!$AA$2:$AX$151,$AI67,COLUMN()-COLUMN($J$16)+1)&gt;0,OR($D67="03. UX Discovery",$D67="04. UX Design")),IF(AND($H67&lt;&gt;"",$H67&lt;=EOMONTH(AD$12,0),$I67&gt;=AD$12),"UX+DEV","UX"),IF(AND($H67&lt;&gt;"",$H67&lt;=EOMONTH(AD$12,0),$I67&gt;=AD$12),"DEV",""))))</f>
      </c>
      <c r="AE67" s="158" t="str">
        <f>IF($AI67="","",IF(AND($AN67&lt;&gt;"",$AN67&lt;=EOMONTH(AE$12,0),$AO67&gt;=AE$12),IF(AND(INDEX('Roadmap Calc (Don’t Touch)'!$AA$2:$AX$151,$AI67,COLUMN()-COLUMN($J$16)+1)&gt;0,OR($D67="03. UX Discovery",$D67="04. UX Design")),IF(AND($H67&lt;&gt;"",$H67&lt;=EOMONTH(AE$12,0),$I67&gt;=AE$12),"ALL","PD+UX"),IF(AND($H67&lt;&gt;"",$H67&lt;=EOMONTH(AE$12,0),$I67&gt;=AE$12),"PD+DEV","PD")),IF(AND(INDEX('Roadmap Calc (Don’t Touch)'!$AA$2:$AX$151,$AI67,COLUMN()-COLUMN($J$16)+1)&gt;0,OR($D67="03. UX Discovery",$D67="04. UX Design")),IF(AND($H67&lt;&gt;"",$H67&lt;=EOMONTH(AE$12,0),$I67&gt;=AE$12),"UX+DEV","UX"),IF(AND($H67&lt;&gt;"",$H67&lt;=EOMONTH(AE$12,0),$I67&gt;=AE$12),"DEV",""))))</f>
      </c>
      <c r="AF67" s="158" t="str">
        <f>IF($AI67="","",IF(AND($AN67&lt;&gt;"",$AN67&lt;=EOMONTH(AF$12,0),$AO67&gt;=AF$12),IF(AND(INDEX('Roadmap Calc (Don’t Touch)'!$AA$2:$AX$151,$AI67,COLUMN()-COLUMN($J$16)+1)&gt;0,OR($D67="03. UX Discovery",$D67="04. UX Design")),IF(AND($H67&lt;&gt;"",$H67&lt;=EOMONTH(AF$12,0),$I67&gt;=AF$12),"ALL","PD+UX"),IF(AND($H67&lt;&gt;"",$H67&lt;=EOMONTH(AF$12,0),$I67&gt;=AF$12),"PD+DEV","PD")),IF(AND(INDEX('Roadmap Calc (Don’t Touch)'!$AA$2:$AX$151,$AI67,COLUMN()-COLUMN($J$16)+1)&gt;0,OR($D67="03. UX Discovery",$D67="04. UX Design")),IF(AND($H67&lt;&gt;"",$H67&lt;=EOMONTH(AF$12,0),$I67&gt;=AF$12),"UX+DEV","UX"),IF(AND($H67&lt;&gt;"",$H67&lt;=EOMONTH(AF$12,0),$I67&gt;=AF$12),"DEV",""))))</f>
      </c>
      <c r="AG67" s="158" t="str">
        <f>IF($AI67="","",IF(AND($AN67&lt;&gt;"",$AN67&lt;=EOMONTH(AG$12,0),$AO67&gt;=AG$12),IF(AND(INDEX('Roadmap Calc (Don’t Touch)'!$AA$2:$AX$151,$AI67,COLUMN()-COLUMN($J$16)+1)&gt;0,OR($D67="03. UX Discovery",$D67="04. UX Design")),IF(AND($H67&lt;&gt;"",$H67&lt;=EOMONTH(AG$12,0),$I67&gt;=AG$12),"ALL","PD+UX"),IF(AND($H67&lt;&gt;"",$H67&lt;=EOMONTH(AG$12,0),$I67&gt;=AG$12),"PD+DEV","PD")),IF(AND(INDEX('Roadmap Calc (Don’t Touch)'!$AA$2:$AX$151,$AI67,COLUMN()-COLUMN($J$16)+1)&gt;0,OR($D67="03. UX Discovery",$D67="04. UX Design")),IF(AND($H67&lt;&gt;"",$H67&lt;=EOMONTH(AG$12,0),$I67&gt;=AG$12),"UX+DEV","UX"),IF(AND($H67&lt;&gt;"",$H67&lt;=EOMONTH(AG$12,0),$I67&gt;=AG$12),"DEV",""))))</f>
      </c>
      <c r="AH67" s="145" t="str">
        <f>IF($AI67="","",INDEX('Roadmap Calc (Don’t Touch)'!$D$2:$D$151,$AI67))</f>
        <v/>
      </c>
      <c r="AI67" s="145" t="str">
        <f>IFERROR(MATCH(52,'Roadmap Calc (Don’t Touch)'!$O$2:$O$151,0),"")</f>
        <v/>
      </c>
      <c r="AJ67" s="145"/>
      <c r="AK67" s="145"/>
      <c r="AL67" s="145"/>
      <c r="AM67" s="145"/>
      <c r="AN67">
        <f>IF($AI67="","",IF(ISNUMBER(INDEX('Roadmap Calc (Don’t Touch)'!$BB$2:$BB$151,$AI67)),INDEX('Roadmap Calc (Don’t Touch)'!$BB$2:$BB$151,$AI67),""))</f>
      </c>
      <c r="AO67">
        <f>IF($AI67="","",IF(ISNUMBER(INDEX('Roadmap Calc (Don’t Touch)'!$BC$2:$BC$151,$AI67)),INDEX('Roadmap Calc (Don’t Touch)'!$BC$2:$BC$151,$AI67),""))</f>
      </c>
    </row>
    <row r="68" spans="1:41" ht="17" customHeight="1" x14ac:dyDescent="0.25">
      <c r="A68" s="152" t="str">
        <f>IF($AI68="","",IF($AH68=$AH67,"",IF(INDEX('Roadmap Calc (Don’t Touch)'!$U$2:$U$151,$AI68)=0,$AH68,HYPERLINK("#'Control (Don’t Touch)'!E"&amp;INDEX('Roadmap Calc (Don’t Touch)'!$U$2:$U$151,$AI68),$AH68))))</f>
        <v/>
      </c>
      <c r="B68" s="153" t="str">
        <f>IF($AI68="","",IF(INDEX('Roadmap Calc (Don’t Touch)'!$K$2:$K$151,$AI68)="",INDEX('Roadmap Calc (Don’t Touch)'!$B$2:$B$151,$AI68),HYPERLINK("https://jira.bnh.com/browse/"&amp;INDEX('Roadmap Calc (Don’t Touch)'!$K$2:$K$151,$AI68),INDEX('Roadmap Calc (Don’t Touch)'!$B$2:$B$151,$AI68))))</f>
        <v/>
      </c>
      <c r="C68" s="153" t="str">
        <f>IF($AI68="","",IF(INDEX('Roadmap Calc (Don’t Touch)'!$E$2:$E$151,$AI68)="","",HYPERLINK("https://jira.bnh.com/browse/"&amp;INDEX('Roadmap Calc (Don’t Touch)'!$E$2:$E$151,$AI68),INDEX('Roadmap Calc (Don’t Touch)'!$E$2:$E$151,$AI68))))</f>
        <v/>
      </c>
      <c r="D68" s="160" t="str">
        <f>IF($AI68="","",INDEX('Roadmap Calc (Don’t Touch)'!$F$2:$F$151,$AI68))</f>
        <v/>
      </c>
      <c r="E68" s="155" t="str">
        <f>IF($AI68="","",IF(ISNUMBER(INDEX('Roadmap Calc (Don’t Touch)'!$G$2:$G$151,$AI68)),INDEX('Roadmap Calc (Don’t Touch)'!$G$2:$G$151,$AI68),""))</f>
        <v/>
      </c>
      <c r="F68" s="155" t="str">
        <f>IF($AI68="","",IF(ISNUMBER(INDEX('Roadmap Calc (Don’t Touch)'!$H$2:$H$151,$AI68)),INDEX('Roadmap Calc (Don’t Touch)'!$H$2:$H$151,$AI68),""))</f>
        <v/>
      </c>
      <c r="G68" s="156" t="str">
        <f>IF($AI68="","",INDEX('Roadmap Calc (Don’t Touch)'!$T$2:$T$151,$AI68))</f>
        <v/>
      </c>
      <c r="H68" s="157" t="str">
        <f>IF($AI68="","",IF(ISNUMBER(INDEX('Roadmap Calc (Don’t Touch)'!$I$2:$I$151,$AI68)),INDEX('Roadmap Calc (Don’t Touch)'!$I$2:$I$151,$AI68),""))</f>
        <v/>
      </c>
      <c r="I68" s="157" t="str">
        <f>IF($AI68="","",IF(ISNUMBER(INDEX('Roadmap Calc (Don’t Touch)'!$J$2:$J$151,$AI68)),INDEX('Roadmap Calc (Don’t Touch)'!$J$2:$J$151,$AI68),""))</f>
        <v/>
      </c>
      <c r="J68" s="158" t="str">
        <f>IF($AI68="","",IF(AND($AN68&lt;&gt;"",$AN68&lt;=EOMONTH(J$12,0),$AO68&gt;=J$12),IF(AND(INDEX('Roadmap Calc (Don’t Touch)'!$AA$2:$AX$151,$AI68,COLUMN()-COLUMN($J$16)+1)&gt;0,OR($D68="03. UX Discovery",$D68="04. UX Design")),IF(AND($H68&lt;&gt;"",$H68&lt;=EOMONTH(J$12,0),$I68&gt;=J$12),"ALL","PD+UX"),IF(AND($H68&lt;&gt;"",$H68&lt;=EOMONTH(J$12,0),$I68&gt;=J$12),"PD+DEV","PD")),IF(AND(INDEX('Roadmap Calc (Don’t Touch)'!$AA$2:$AX$151,$AI68,COLUMN()-COLUMN($J$16)+1)&gt;0,OR($D68="03. UX Discovery",$D68="04. UX Design")),IF(AND($H68&lt;&gt;"",$H68&lt;=EOMONTH(J$12,0),$I68&gt;=J$12),"UX+DEV","UX"),IF(AND($H68&lt;&gt;"",$H68&lt;=EOMONTH(J$12,0),$I68&gt;=J$12),"DEV",""))))</f>
      </c>
      <c r="K68" s="158" t="str">
        <f>IF($AI68="","",IF(AND($AN68&lt;&gt;"",$AN68&lt;=EOMONTH(K$12,0),$AO68&gt;=K$12),IF(AND(INDEX('Roadmap Calc (Don’t Touch)'!$AA$2:$AX$151,$AI68,COLUMN()-COLUMN($J$16)+1)&gt;0,OR($D68="03. UX Discovery",$D68="04. UX Design")),IF(AND($H68&lt;&gt;"",$H68&lt;=EOMONTH(K$12,0),$I68&gt;=K$12),"ALL","PD+UX"),IF(AND($H68&lt;&gt;"",$H68&lt;=EOMONTH(K$12,0),$I68&gt;=K$12),"PD+DEV","PD")),IF(AND(INDEX('Roadmap Calc (Don’t Touch)'!$AA$2:$AX$151,$AI68,COLUMN()-COLUMN($J$16)+1)&gt;0,OR($D68="03. UX Discovery",$D68="04. UX Design")),IF(AND($H68&lt;&gt;"",$H68&lt;=EOMONTH(K$12,0),$I68&gt;=K$12),"UX+DEV","UX"),IF(AND($H68&lt;&gt;"",$H68&lt;=EOMONTH(K$12,0),$I68&gt;=K$12),"DEV",""))))</f>
      </c>
      <c r="L68" s="158" t="str">
        <f>IF($AI68="","",IF(AND($AN68&lt;&gt;"",$AN68&lt;=EOMONTH(L$12,0),$AO68&gt;=L$12),IF(AND(INDEX('Roadmap Calc (Don’t Touch)'!$AA$2:$AX$151,$AI68,COLUMN()-COLUMN($J$16)+1)&gt;0,OR($D68="03. UX Discovery",$D68="04. UX Design")),IF(AND($H68&lt;&gt;"",$H68&lt;=EOMONTH(L$12,0),$I68&gt;=L$12),"ALL","PD+UX"),IF(AND($H68&lt;&gt;"",$H68&lt;=EOMONTH(L$12,0),$I68&gt;=L$12),"PD+DEV","PD")),IF(AND(INDEX('Roadmap Calc (Don’t Touch)'!$AA$2:$AX$151,$AI68,COLUMN()-COLUMN($J$16)+1)&gt;0,OR($D68="03. UX Discovery",$D68="04. UX Design")),IF(AND($H68&lt;&gt;"",$H68&lt;=EOMONTH(L$12,0),$I68&gt;=L$12),"UX+DEV","UX"),IF(AND($H68&lt;&gt;"",$H68&lt;=EOMONTH(L$12,0),$I68&gt;=L$12),"DEV",""))))</f>
      </c>
      <c r="M68" s="158" t="str">
        <f>IF($AI68="","",IF(AND($AN68&lt;&gt;"",$AN68&lt;=EOMONTH(M$12,0),$AO68&gt;=M$12),IF(AND(INDEX('Roadmap Calc (Don’t Touch)'!$AA$2:$AX$151,$AI68,COLUMN()-COLUMN($J$16)+1)&gt;0,OR($D68="03. UX Discovery",$D68="04. UX Design")),IF(AND($H68&lt;&gt;"",$H68&lt;=EOMONTH(M$12,0),$I68&gt;=M$12),"ALL","PD+UX"),IF(AND($H68&lt;&gt;"",$H68&lt;=EOMONTH(M$12,0),$I68&gt;=M$12),"PD+DEV","PD")),IF(AND(INDEX('Roadmap Calc (Don’t Touch)'!$AA$2:$AX$151,$AI68,COLUMN()-COLUMN($J$16)+1)&gt;0,OR($D68="03. UX Discovery",$D68="04. UX Design")),IF(AND($H68&lt;&gt;"",$H68&lt;=EOMONTH(M$12,0),$I68&gt;=M$12),"UX+DEV","UX"),IF(AND($H68&lt;&gt;"",$H68&lt;=EOMONTH(M$12,0),$I68&gt;=M$12),"DEV",""))))</f>
      </c>
      <c r="N68" s="158" t="str">
        <f>IF($AI68="","",IF(AND($AN68&lt;&gt;"",$AN68&lt;=EOMONTH(N$12,0),$AO68&gt;=N$12),IF(AND(INDEX('Roadmap Calc (Don’t Touch)'!$AA$2:$AX$151,$AI68,COLUMN()-COLUMN($J$16)+1)&gt;0,OR($D68="03. UX Discovery",$D68="04. UX Design")),IF(AND($H68&lt;&gt;"",$H68&lt;=EOMONTH(N$12,0),$I68&gt;=N$12),"ALL","PD+UX"),IF(AND($H68&lt;&gt;"",$H68&lt;=EOMONTH(N$12,0),$I68&gt;=N$12),"PD+DEV","PD")),IF(AND(INDEX('Roadmap Calc (Don’t Touch)'!$AA$2:$AX$151,$AI68,COLUMN()-COLUMN($J$16)+1)&gt;0,OR($D68="03. UX Discovery",$D68="04. UX Design")),IF(AND($H68&lt;&gt;"",$H68&lt;=EOMONTH(N$12,0),$I68&gt;=N$12),"UX+DEV","UX"),IF(AND($H68&lt;&gt;"",$H68&lt;=EOMONTH(N$12,0),$I68&gt;=N$12),"DEV",""))))</f>
      </c>
      <c r="O68" s="158" t="str">
        <f>IF($AI68="","",IF(AND($AN68&lt;&gt;"",$AN68&lt;=EOMONTH(O$12,0),$AO68&gt;=O$12),IF(AND(INDEX('Roadmap Calc (Don’t Touch)'!$AA$2:$AX$151,$AI68,COLUMN()-COLUMN($J$16)+1)&gt;0,OR($D68="03. UX Discovery",$D68="04. UX Design")),IF(AND($H68&lt;&gt;"",$H68&lt;=EOMONTH(O$12,0),$I68&gt;=O$12),"ALL","PD+UX"),IF(AND($H68&lt;&gt;"",$H68&lt;=EOMONTH(O$12,0),$I68&gt;=O$12),"PD+DEV","PD")),IF(AND(INDEX('Roadmap Calc (Don’t Touch)'!$AA$2:$AX$151,$AI68,COLUMN()-COLUMN($J$16)+1)&gt;0,OR($D68="03. UX Discovery",$D68="04. UX Design")),IF(AND($H68&lt;&gt;"",$H68&lt;=EOMONTH(O$12,0),$I68&gt;=O$12),"UX+DEV","UX"),IF(AND($H68&lt;&gt;"",$H68&lt;=EOMONTH(O$12,0),$I68&gt;=O$12),"DEV",""))))</f>
      </c>
      <c r="P68" s="158" t="str">
        <f>IF($AI68="","",IF(AND($AN68&lt;&gt;"",$AN68&lt;=EOMONTH(P$12,0),$AO68&gt;=P$12),IF(AND(INDEX('Roadmap Calc (Don’t Touch)'!$AA$2:$AX$151,$AI68,COLUMN()-COLUMN($J$16)+1)&gt;0,OR($D68="03. UX Discovery",$D68="04. UX Design")),IF(AND($H68&lt;&gt;"",$H68&lt;=EOMONTH(P$12,0),$I68&gt;=P$12),"ALL","PD+UX"),IF(AND($H68&lt;&gt;"",$H68&lt;=EOMONTH(P$12,0),$I68&gt;=P$12),"PD+DEV","PD")),IF(AND(INDEX('Roadmap Calc (Don’t Touch)'!$AA$2:$AX$151,$AI68,COLUMN()-COLUMN($J$16)+1)&gt;0,OR($D68="03. UX Discovery",$D68="04. UX Design")),IF(AND($H68&lt;&gt;"",$H68&lt;=EOMONTH(P$12,0),$I68&gt;=P$12),"UX+DEV","UX"),IF(AND($H68&lt;&gt;"",$H68&lt;=EOMONTH(P$12,0),$I68&gt;=P$12),"DEV",""))))</f>
      </c>
      <c r="Q68" s="158" t="str">
        <f>IF($AI68="","",IF(AND($AN68&lt;&gt;"",$AN68&lt;=EOMONTH(Q$12,0),$AO68&gt;=Q$12),IF(AND(INDEX('Roadmap Calc (Don’t Touch)'!$AA$2:$AX$151,$AI68,COLUMN()-COLUMN($J$16)+1)&gt;0,OR($D68="03. UX Discovery",$D68="04. UX Design")),IF(AND($H68&lt;&gt;"",$H68&lt;=EOMONTH(Q$12,0),$I68&gt;=Q$12),"ALL","PD+UX"),IF(AND($H68&lt;&gt;"",$H68&lt;=EOMONTH(Q$12,0),$I68&gt;=Q$12),"PD+DEV","PD")),IF(AND(INDEX('Roadmap Calc (Don’t Touch)'!$AA$2:$AX$151,$AI68,COLUMN()-COLUMN($J$16)+1)&gt;0,OR($D68="03. UX Discovery",$D68="04. UX Design")),IF(AND($H68&lt;&gt;"",$H68&lt;=EOMONTH(Q$12,0),$I68&gt;=Q$12),"UX+DEV","UX"),IF(AND($H68&lt;&gt;"",$H68&lt;=EOMONTH(Q$12,0),$I68&gt;=Q$12),"DEV",""))))</f>
      </c>
      <c r="R68" s="158" t="str">
        <f>IF($AI68="","",IF(AND($AN68&lt;&gt;"",$AN68&lt;=EOMONTH(R$12,0),$AO68&gt;=R$12),IF(AND(INDEX('Roadmap Calc (Don’t Touch)'!$AA$2:$AX$151,$AI68,COLUMN()-COLUMN($J$16)+1)&gt;0,OR($D68="03. UX Discovery",$D68="04. UX Design")),IF(AND($H68&lt;&gt;"",$H68&lt;=EOMONTH(R$12,0),$I68&gt;=R$12),"ALL","PD+UX"),IF(AND($H68&lt;&gt;"",$H68&lt;=EOMONTH(R$12,0),$I68&gt;=R$12),"PD+DEV","PD")),IF(AND(INDEX('Roadmap Calc (Don’t Touch)'!$AA$2:$AX$151,$AI68,COLUMN()-COLUMN($J$16)+1)&gt;0,OR($D68="03. UX Discovery",$D68="04. UX Design")),IF(AND($H68&lt;&gt;"",$H68&lt;=EOMONTH(R$12,0),$I68&gt;=R$12),"UX+DEV","UX"),IF(AND($H68&lt;&gt;"",$H68&lt;=EOMONTH(R$12,0),$I68&gt;=R$12),"DEV",""))))</f>
      </c>
      <c r="S68" s="158" t="str">
        <f>IF($AI68="","",IF(AND($AN68&lt;&gt;"",$AN68&lt;=EOMONTH(S$12,0),$AO68&gt;=S$12),IF(AND(INDEX('Roadmap Calc (Don’t Touch)'!$AA$2:$AX$151,$AI68,COLUMN()-COLUMN($J$16)+1)&gt;0,OR($D68="03. UX Discovery",$D68="04. UX Design")),IF(AND($H68&lt;&gt;"",$H68&lt;=EOMONTH(S$12,0),$I68&gt;=S$12),"ALL","PD+UX"),IF(AND($H68&lt;&gt;"",$H68&lt;=EOMONTH(S$12,0),$I68&gt;=S$12),"PD+DEV","PD")),IF(AND(INDEX('Roadmap Calc (Don’t Touch)'!$AA$2:$AX$151,$AI68,COLUMN()-COLUMN($J$16)+1)&gt;0,OR($D68="03. UX Discovery",$D68="04. UX Design")),IF(AND($H68&lt;&gt;"",$H68&lt;=EOMONTH(S$12,0),$I68&gt;=S$12),"UX+DEV","UX"),IF(AND($H68&lt;&gt;"",$H68&lt;=EOMONTH(S$12,0),$I68&gt;=S$12),"DEV",""))))</f>
      </c>
      <c r="T68" s="158" t="str">
        <f>IF($AI68="","",IF(AND($AN68&lt;&gt;"",$AN68&lt;=EOMONTH(T$12,0),$AO68&gt;=T$12),IF(AND(INDEX('Roadmap Calc (Don’t Touch)'!$AA$2:$AX$151,$AI68,COLUMN()-COLUMN($J$16)+1)&gt;0,OR($D68="03. UX Discovery",$D68="04. UX Design")),IF(AND($H68&lt;&gt;"",$H68&lt;=EOMONTH(T$12,0),$I68&gt;=T$12),"ALL","PD+UX"),IF(AND($H68&lt;&gt;"",$H68&lt;=EOMONTH(T$12,0),$I68&gt;=T$12),"PD+DEV","PD")),IF(AND(INDEX('Roadmap Calc (Don’t Touch)'!$AA$2:$AX$151,$AI68,COLUMN()-COLUMN($J$16)+1)&gt;0,OR($D68="03. UX Discovery",$D68="04. UX Design")),IF(AND($H68&lt;&gt;"",$H68&lt;=EOMONTH(T$12,0),$I68&gt;=T$12),"UX+DEV","UX"),IF(AND($H68&lt;&gt;"",$H68&lt;=EOMONTH(T$12,0),$I68&gt;=T$12),"DEV",""))))</f>
      </c>
      <c r="U68" s="158" t="str">
        <f>IF($AI68="","",IF(AND($AN68&lt;&gt;"",$AN68&lt;=EOMONTH(U$12,0),$AO68&gt;=U$12),IF(AND(INDEX('Roadmap Calc (Don’t Touch)'!$AA$2:$AX$151,$AI68,COLUMN()-COLUMN($J$16)+1)&gt;0,OR($D68="03. UX Discovery",$D68="04. UX Design")),IF(AND($H68&lt;&gt;"",$H68&lt;=EOMONTH(U$12,0),$I68&gt;=U$12),"ALL","PD+UX"),IF(AND($H68&lt;&gt;"",$H68&lt;=EOMONTH(U$12,0),$I68&gt;=U$12),"PD+DEV","PD")),IF(AND(INDEX('Roadmap Calc (Don’t Touch)'!$AA$2:$AX$151,$AI68,COLUMN()-COLUMN($J$16)+1)&gt;0,OR($D68="03. UX Discovery",$D68="04. UX Design")),IF(AND($H68&lt;&gt;"",$H68&lt;=EOMONTH(U$12,0),$I68&gt;=U$12),"UX+DEV","UX"),IF(AND($H68&lt;&gt;"",$H68&lt;=EOMONTH(U$12,0),$I68&gt;=U$12),"DEV",""))))</f>
      </c>
      <c r="V68" s="158" t="str">
        <f>IF($AI68="","",IF(AND($AN68&lt;&gt;"",$AN68&lt;=EOMONTH(V$12,0),$AO68&gt;=V$12),IF(AND(INDEX('Roadmap Calc (Don’t Touch)'!$AA$2:$AX$151,$AI68,COLUMN()-COLUMN($J$16)+1)&gt;0,OR($D68="03. UX Discovery",$D68="04. UX Design")),IF(AND($H68&lt;&gt;"",$H68&lt;=EOMONTH(V$12,0),$I68&gt;=V$12),"ALL","PD+UX"),IF(AND($H68&lt;&gt;"",$H68&lt;=EOMONTH(V$12,0),$I68&gt;=V$12),"PD+DEV","PD")),IF(AND(INDEX('Roadmap Calc (Don’t Touch)'!$AA$2:$AX$151,$AI68,COLUMN()-COLUMN($J$16)+1)&gt;0,OR($D68="03. UX Discovery",$D68="04. UX Design")),IF(AND($H68&lt;&gt;"",$H68&lt;=EOMONTH(V$12,0),$I68&gt;=V$12),"UX+DEV","UX"),IF(AND($H68&lt;&gt;"",$H68&lt;=EOMONTH(V$12,0),$I68&gt;=V$12),"DEV",""))))</f>
      </c>
      <c r="W68" s="158" t="str">
        <f>IF($AI68="","",IF(AND($AN68&lt;&gt;"",$AN68&lt;=EOMONTH(W$12,0),$AO68&gt;=W$12),IF(AND(INDEX('Roadmap Calc (Don’t Touch)'!$AA$2:$AX$151,$AI68,COLUMN()-COLUMN($J$16)+1)&gt;0,OR($D68="03. UX Discovery",$D68="04. UX Design")),IF(AND($H68&lt;&gt;"",$H68&lt;=EOMONTH(W$12,0),$I68&gt;=W$12),"ALL","PD+UX"),IF(AND($H68&lt;&gt;"",$H68&lt;=EOMONTH(W$12,0),$I68&gt;=W$12),"PD+DEV","PD")),IF(AND(INDEX('Roadmap Calc (Don’t Touch)'!$AA$2:$AX$151,$AI68,COLUMN()-COLUMN($J$16)+1)&gt;0,OR($D68="03. UX Discovery",$D68="04. UX Design")),IF(AND($H68&lt;&gt;"",$H68&lt;=EOMONTH(W$12,0),$I68&gt;=W$12),"UX+DEV","UX"),IF(AND($H68&lt;&gt;"",$H68&lt;=EOMONTH(W$12,0),$I68&gt;=W$12),"DEV",""))))</f>
      </c>
      <c r="X68" s="158" t="str">
        <f>IF($AI68="","",IF(AND($AN68&lt;&gt;"",$AN68&lt;=EOMONTH(X$12,0),$AO68&gt;=X$12),IF(AND(INDEX('Roadmap Calc (Don’t Touch)'!$AA$2:$AX$151,$AI68,COLUMN()-COLUMN($J$16)+1)&gt;0,OR($D68="03. UX Discovery",$D68="04. UX Design")),IF(AND($H68&lt;&gt;"",$H68&lt;=EOMONTH(X$12,0),$I68&gt;=X$12),"ALL","PD+UX"),IF(AND($H68&lt;&gt;"",$H68&lt;=EOMONTH(X$12,0),$I68&gt;=X$12),"PD+DEV","PD")),IF(AND(INDEX('Roadmap Calc (Don’t Touch)'!$AA$2:$AX$151,$AI68,COLUMN()-COLUMN($J$16)+1)&gt;0,OR($D68="03. UX Discovery",$D68="04. UX Design")),IF(AND($H68&lt;&gt;"",$H68&lt;=EOMONTH(X$12,0),$I68&gt;=X$12),"UX+DEV","UX"),IF(AND($H68&lt;&gt;"",$H68&lt;=EOMONTH(X$12,0),$I68&gt;=X$12),"DEV",""))))</f>
      </c>
      <c r="Y68" s="158" t="str">
        <f>IF($AI68="","",IF(AND($AN68&lt;&gt;"",$AN68&lt;=EOMONTH(Y$12,0),$AO68&gt;=Y$12),IF(AND(INDEX('Roadmap Calc (Don’t Touch)'!$AA$2:$AX$151,$AI68,COLUMN()-COLUMN($J$16)+1)&gt;0,OR($D68="03. UX Discovery",$D68="04. UX Design")),IF(AND($H68&lt;&gt;"",$H68&lt;=EOMONTH(Y$12,0),$I68&gt;=Y$12),"ALL","PD+UX"),IF(AND($H68&lt;&gt;"",$H68&lt;=EOMONTH(Y$12,0),$I68&gt;=Y$12),"PD+DEV","PD")),IF(AND(INDEX('Roadmap Calc (Don’t Touch)'!$AA$2:$AX$151,$AI68,COLUMN()-COLUMN($J$16)+1)&gt;0,OR($D68="03. UX Discovery",$D68="04. UX Design")),IF(AND($H68&lt;&gt;"",$H68&lt;=EOMONTH(Y$12,0),$I68&gt;=Y$12),"UX+DEV","UX"),IF(AND($H68&lt;&gt;"",$H68&lt;=EOMONTH(Y$12,0),$I68&gt;=Y$12),"DEV",""))))</f>
      </c>
      <c r="Z68" s="158" t="str">
        <f>IF($AI68="","",IF(AND($AN68&lt;&gt;"",$AN68&lt;=EOMONTH(Z$12,0),$AO68&gt;=Z$12),IF(AND(INDEX('Roadmap Calc (Don’t Touch)'!$AA$2:$AX$151,$AI68,COLUMN()-COLUMN($J$16)+1)&gt;0,OR($D68="03. UX Discovery",$D68="04. UX Design")),IF(AND($H68&lt;&gt;"",$H68&lt;=EOMONTH(Z$12,0),$I68&gt;=Z$12),"ALL","PD+UX"),IF(AND($H68&lt;&gt;"",$H68&lt;=EOMONTH(Z$12,0),$I68&gt;=Z$12),"PD+DEV","PD")),IF(AND(INDEX('Roadmap Calc (Don’t Touch)'!$AA$2:$AX$151,$AI68,COLUMN()-COLUMN($J$16)+1)&gt;0,OR($D68="03. UX Discovery",$D68="04. UX Design")),IF(AND($H68&lt;&gt;"",$H68&lt;=EOMONTH(Z$12,0),$I68&gt;=Z$12),"UX+DEV","UX"),IF(AND($H68&lt;&gt;"",$H68&lt;=EOMONTH(Z$12,0),$I68&gt;=Z$12),"DEV",""))))</f>
      </c>
      <c r="AA68" s="158" t="str">
        <f>IF($AI68="","",IF(AND($AN68&lt;&gt;"",$AN68&lt;=EOMONTH(AA$12,0),$AO68&gt;=AA$12),IF(AND(INDEX('Roadmap Calc (Don’t Touch)'!$AA$2:$AX$151,$AI68,COLUMN()-COLUMN($J$16)+1)&gt;0,OR($D68="03. UX Discovery",$D68="04. UX Design")),IF(AND($H68&lt;&gt;"",$H68&lt;=EOMONTH(AA$12,0),$I68&gt;=AA$12),"ALL","PD+UX"),IF(AND($H68&lt;&gt;"",$H68&lt;=EOMONTH(AA$12,0),$I68&gt;=AA$12),"PD+DEV","PD")),IF(AND(INDEX('Roadmap Calc (Don’t Touch)'!$AA$2:$AX$151,$AI68,COLUMN()-COLUMN($J$16)+1)&gt;0,OR($D68="03. UX Discovery",$D68="04. UX Design")),IF(AND($H68&lt;&gt;"",$H68&lt;=EOMONTH(AA$12,0),$I68&gt;=AA$12),"UX+DEV","UX"),IF(AND($H68&lt;&gt;"",$H68&lt;=EOMONTH(AA$12,0),$I68&gt;=AA$12),"DEV",""))))</f>
      </c>
      <c r="AB68" s="158" t="str">
        <f>IF($AI68="","",IF(AND($AN68&lt;&gt;"",$AN68&lt;=EOMONTH(AB$12,0),$AO68&gt;=AB$12),IF(AND(INDEX('Roadmap Calc (Don’t Touch)'!$AA$2:$AX$151,$AI68,COLUMN()-COLUMN($J$16)+1)&gt;0,OR($D68="03. UX Discovery",$D68="04. UX Design")),IF(AND($H68&lt;&gt;"",$H68&lt;=EOMONTH(AB$12,0),$I68&gt;=AB$12),"ALL","PD+UX"),IF(AND($H68&lt;&gt;"",$H68&lt;=EOMONTH(AB$12,0),$I68&gt;=AB$12),"PD+DEV","PD")),IF(AND(INDEX('Roadmap Calc (Don’t Touch)'!$AA$2:$AX$151,$AI68,COLUMN()-COLUMN($J$16)+1)&gt;0,OR($D68="03. UX Discovery",$D68="04. UX Design")),IF(AND($H68&lt;&gt;"",$H68&lt;=EOMONTH(AB$12,0),$I68&gt;=AB$12),"UX+DEV","UX"),IF(AND($H68&lt;&gt;"",$H68&lt;=EOMONTH(AB$12,0),$I68&gt;=AB$12),"DEV",""))))</f>
      </c>
      <c r="AC68" s="158" t="str">
        <f>IF($AI68="","",IF(AND($AN68&lt;&gt;"",$AN68&lt;=EOMONTH(AC$12,0),$AO68&gt;=AC$12),IF(AND(INDEX('Roadmap Calc (Don’t Touch)'!$AA$2:$AX$151,$AI68,COLUMN()-COLUMN($J$16)+1)&gt;0,OR($D68="03. UX Discovery",$D68="04. UX Design")),IF(AND($H68&lt;&gt;"",$H68&lt;=EOMONTH(AC$12,0),$I68&gt;=AC$12),"ALL","PD+UX"),IF(AND($H68&lt;&gt;"",$H68&lt;=EOMONTH(AC$12,0),$I68&gt;=AC$12),"PD+DEV","PD")),IF(AND(INDEX('Roadmap Calc (Don’t Touch)'!$AA$2:$AX$151,$AI68,COLUMN()-COLUMN($J$16)+1)&gt;0,OR($D68="03. UX Discovery",$D68="04. UX Design")),IF(AND($H68&lt;&gt;"",$H68&lt;=EOMONTH(AC$12,0),$I68&gt;=AC$12),"UX+DEV","UX"),IF(AND($H68&lt;&gt;"",$H68&lt;=EOMONTH(AC$12,0),$I68&gt;=AC$12),"DEV",""))))</f>
      </c>
      <c r="AD68" s="158" t="str">
        <f>IF($AI68="","",IF(AND($AN68&lt;&gt;"",$AN68&lt;=EOMONTH(AD$12,0),$AO68&gt;=AD$12),IF(AND(INDEX('Roadmap Calc (Don’t Touch)'!$AA$2:$AX$151,$AI68,COLUMN()-COLUMN($J$16)+1)&gt;0,OR($D68="03. UX Discovery",$D68="04. UX Design")),IF(AND($H68&lt;&gt;"",$H68&lt;=EOMONTH(AD$12,0),$I68&gt;=AD$12),"ALL","PD+UX"),IF(AND($H68&lt;&gt;"",$H68&lt;=EOMONTH(AD$12,0),$I68&gt;=AD$12),"PD+DEV","PD")),IF(AND(INDEX('Roadmap Calc (Don’t Touch)'!$AA$2:$AX$151,$AI68,COLUMN()-COLUMN($J$16)+1)&gt;0,OR($D68="03. UX Discovery",$D68="04. UX Design")),IF(AND($H68&lt;&gt;"",$H68&lt;=EOMONTH(AD$12,0),$I68&gt;=AD$12),"UX+DEV","UX"),IF(AND($H68&lt;&gt;"",$H68&lt;=EOMONTH(AD$12,0),$I68&gt;=AD$12),"DEV",""))))</f>
      </c>
      <c r="AE68" s="158" t="str">
        <f>IF($AI68="","",IF(AND($AN68&lt;&gt;"",$AN68&lt;=EOMONTH(AE$12,0),$AO68&gt;=AE$12),IF(AND(INDEX('Roadmap Calc (Don’t Touch)'!$AA$2:$AX$151,$AI68,COLUMN()-COLUMN($J$16)+1)&gt;0,OR($D68="03. UX Discovery",$D68="04. UX Design")),IF(AND($H68&lt;&gt;"",$H68&lt;=EOMONTH(AE$12,0),$I68&gt;=AE$12),"ALL","PD+UX"),IF(AND($H68&lt;&gt;"",$H68&lt;=EOMONTH(AE$12,0),$I68&gt;=AE$12),"PD+DEV","PD")),IF(AND(INDEX('Roadmap Calc (Don’t Touch)'!$AA$2:$AX$151,$AI68,COLUMN()-COLUMN($J$16)+1)&gt;0,OR($D68="03. UX Discovery",$D68="04. UX Design")),IF(AND($H68&lt;&gt;"",$H68&lt;=EOMONTH(AE$12,0),$I68&gt;=AE$12),"UX+DEV","UX"),IF(AND($H68&lt;&gt;"",$H68&lt;=EOMONTH(AE$12,0),$I68&gt;=AE$12),"DEV",""))))</f>
      </c>
      <c r="AF68" s="158" t="str">
        <f>IF($AI68="","",IF(AND($AN68&lt;&gt;"",$AN68&lt;=EOMONTH(AF$12,0),$AO68&gt;=AF$12),IF(AND(INDEX('Roadmap Calc (Don’t Touch)'!$AA$2:$AX$151,$AI68,COLUMN()-COLUMN($J$16)+1)&gt;0,OR($D68="03. UX Discovery",$D68="04. UX Design")),IF(AND($H68&lt;&gt;"",$H68&lt;=EOMONTH(AF$12,0),$I68&gt;=AF$12),"ALL","PD+UX"),IF(AND($H68&lt;&gt;"",$H68&lt;=EOMONTH(AF$12,0),$I68&gt;=AF$12),"PD+DEV","PD")),IF(AND(INDEX('Roadmap Calc (Don’t Touch)'!$AA$2:$AX$151,$AI68,COLUMN()-COLUMN($J$16)+1)&gt;0,OR($D68="03. UX Discovery",$D68="04. UX Design")),IF(AND($H68&lt;&gt;"",$H68&lt;=EOMONTH(AF$12,0),$I68&gt;=AF$12),"UX+DEV","UX"),IF(AND($H68&lt;&gt;"",$H68&lt;=EOMONTH(AF$12,0),$I68&gt;=AF$12),"DEV",""))))</f>
      </c>
      <c r="AG68" s="158" t="str">
        <f>IF($AI68="","",IF(AND($AN68&lt;&gt;"",$AN68&lt;=EOMONTH(AG$12,0),$AO68&gt;=AG$12),IF(AND(INDEX('Roadmap Calc (Don’t Touch)'!$AA$2:$AX$151,$AI68,COLUMN()-COLUMN($J$16)+1)&gt;0,OR($D68="03. UX Discovery",$D68="04. UX Design")),IF(AND($H68&lt;&gt;"",$H68&lt;=EOMONTH(AG$12,0),$I68&gt;=AG$12),"ALL","PD+UX"),IF(AND($H68&lt;&gt;"",$H68&lt;=EOMONTH(AG$12,0),$I68&gt;=AG$12),"PD+DEV","PD")),IF(AND(INDEX('Roadmap Calc (Don’t Touch)'!$AA$2:$AX$151,$AI68,COLUMN()-COLUMN($J$16)+1)&gt;0,OR($D68="03. UX Discovery",$D68="04. UX Design")),IF(AND($H68&lt;&gt;"",$H68&lt;=EOMONTH(AG$12,0),$I68&gt;=AG$12),"UX+DEV","UX"),IF(AND($H68&lt;&gt;"",$H68&lt;=EOMONTH(AG$12,0),$I68&gt;=AG$12),"DEV",""))))</f>
      </c>
      <c r="AH68" s="145" t="str">
        <f>IF($AI68="","",INDEX('Roadmap Calc (Don’t Touch)'!$D$2:$D$151,$AI68))</f>
        <v/>
      </c>
      <c r="AI68" s="145" t="str">
        <f>IFERROR(MATCH(53,'Roadmap Calc (Don’t Touch)'!$O$2:$O$151,0),"")</f>
        <v/>
      </c>
      <c r="AJ68" s="145"/>
      <c r="AK68" s="145"/>
      <c r="AL68" s="145"/>
      <c r="AM68" s="145"/>
      <c r="AN68">
        <f>IF($AI68="","",IF(ISNUMBER(INDEX('Roadmap Calc (Don’t Touch)'!$BB$2:$BB$151,$AI68)),INDEX('Roadmap Calc (Don’t Touch)'!$BB$2:$BB$151,$AI68),""))</f>
      </c>
      <c r="AO68">
        <f>IF($AI68="","",IF(ISNUMBER(INDEX('Roadmap Calc (Don’t Touch)'!$BC$2:$BC$151,$AI68)),INDEX('Roadmap Calc (Don’t Touch)'!$BC$2:$BC$151,$AI68),""))</f>
      </c>
    </row>
    <row r="69" spans="1:41" ht="17" customHeight="1" x14ac:dyDescent="0.25">
      <c r="A69" s="152" t="str">
        <f>IF($AI69="","",IF($AH69=$AH68,"",IF(INDEX('Roadmap Calc (Don’t Touch)'!$U$2:$U$151,$AI69)=0,$AH69,HYPERLINK("#'Control (Don’t Touch)'!E"&amp;INDEX('Roadmap Calc (Don’t Touch)'!$U$2:$U$151,$AI69),$AH69))))</f>
        <v/>
      </c>
      <c r="B69" s="153" t="str">
        <f>IF($AI69="","",IF(INDEX('Roadmap Calc (Don’t Touch)'!$K$2:$K$151,$AI69)="",INDEX('Roadmap Calc (Don’t Touch)'!$B$2:$B$151,$AI69),HYPERLINK("https://jira.bnh.com/browse/"&amp;INDEX('Roadmap Calc (Don’t Touch)'!$K$2:$K$151,$AI69),INDEX('Roadmap Calc (Don’t Touch)'!$B$2:$B$151,$AI69))))</f>
        <v/>
      </c>
      <c r="C69" s="153" t="str">
        <f>IF($AI69="","",IF(INDEX('Roadmap Calc (Don’t Touch)'!$E$2:$E$151,$AI69)="","",HYPERLINK("https://jira.bnh.com/browse/"&amp;INDEX('Roadmap Calc (Don’t Touch)'!$E$2:$E$151,$AI69),INDEX('Roadmap Calc (Don’t Touch)'!$E$2:$E$151,$AI69))))</f>
        <v/>
      </c>
      <c r="D69" s="160" t="str">
        <f>IF($AI69="","",INDEX('Roadmap Calc (Don’t Touch)'!$F$2:$F$151,$AI69))</f>
        <v/>
      </c>
      <c r="E69" s="155" t="str">
        <f>IF($AI69="","",IF(ISNUMBER(INDEX('Roadmap Calc (Don’t Touch)'!$G$2:$G$151,$AI69)),INDEX('Roadmap Calc (Don’t Touch)'!$G$2:$G$151,$AI69),""))</f>
        <v/>
      </c>
      <c r="F69" s="155" t="str">
        <f>IF($AI69="","",IF(ISNUMBER(INDEX('Roadmap Calc (Don’t Touch)'!$H$2:$H$151,$AI69)),INDEX('Roadmap Calc (Don’t Touch)'!$H$2:$H$151,$AI69),""))</f>
        <v/>
      </c>
      <c r="G69" s="156" t="str">
        <f>IF($AI69="","",INDEX('Roadmap Calc (Don’t Touch)'!$T$2:$T$151,$AI69))</f>
        <v/>
      </c>
      <c r="H69" s="157" t="str">
        <f>IF($AI69="","",IF(ISNUMBER(INDEX('Roadmap Calc (Don’t Touch)'!$I$2:$I$151,$AI69)),INDEX('Roadmap Calc (Don’t Touch)'!$I$2:$I$151,$AI69),""))</f>
        <v/>
      </c>
      <c r="I69" s="157" t="str">
        <f>IF($AI69="","",IF(ISNUMBER(INDEX('Roadmap Calc (Don’t Touch)'!$J$2:$J$151,$AI69)),INDEX('Roadmap Calc (Don’t Touch)'!$J$2:$J$151,$AI69),""))</f>
        <v/>
      </c>
      <c r="J69" s="158" t="str">
        <f>IF($AI69="","",IF(AND($AN69&lt;&gt;"",$AN69&lt;=EOMONTH(J$12,0),$AO69&gt;=J$12),IF(AND(INDEX('Roadmap Calc (Don’t Touch)'!$AA$2:$AX$151,$AI69,COLUMN()-COLUMN($J$16)+1)&gt;0,OR($D69="03. UX Discovery",$D69="04. UX Design")),IF(AND($H69&lt;&gt;"",$H69&lt;=EOMONTH(J$12,0),$I69&gt;=J$12),"ALL","PD+UX"),IF(AND($H69&lt;&gt;"",$H69&lt;=EOMONTH(J$12,0),$I69&gt;=J$12),"PD+DEV","PD")),IF(AND(INDEX('Roadmap Calc (Don’t Touch)'!$AA$2:$AX$151,$AI69,COLUMN()-COLUMN($J$16)+1)&gt;0,OR($D69="03. UX Discovery",$D69="04. UX Design")),IF(AND($H69&lt;&gt;"",$H69&lt;=EOMONTH(J$12,0),$I69&gt;=J$12),"UX+DEV","UX"),IF(AND($H69&lt;&gt;"",$H69&lt;=EOMONTH(J$12,0),$I69&gt;=J$12),"DEV",""))))</f>
      </c>
      <c r="K69" s="158" t="str">
        <f>IF($AI69="","",IF(AND($AN69&lt;&gt;"",$AN69&lt;=EOMONTH(K$12,0),$AO69&gt;=K$12),IF(AND(INDEX('Roadmap Calc (Don’t Touch)'!$AA$2:$AX$151,$AI69,COLUMN()-COLUMN($J$16)+1)&gt;0,OR($D69="03. UX Discovery",$D69="04. UX Design")),IF(AND($H69&lt;&gt;"",$H69&lt;=EOMONTH(K$12,0),$I69&gt;=K$12),"ALL","PD+UX"),IF(AND($H69&lt;&gt;"",$H69&lt;=EOMONTH(K$12,0),$I69&gt;=K$12),"PD+DEV","PD")),IF(AND(INDEX('Roadmap Calc (Don’t Touch)'!$AA$2:$AX$151,$AI69,COLUMN()-COLUMN($J$16)+1)&gt;0,OR($D69="03. UX Discovery",$D69="04. UX Design")),IF(AND($H69&lt;&gt;"",$H69&lt;=EOMONTH(K$12,0),$I69&gt;=K$12),"UX+DEV","UX"),IF(AND($H69&lt;&gt;"",$H69&lt;=EOMONTH(K$12,0),$I69&gt;=K$12),"DEV",""))))</f>
      </c>
      <c r="L69" s="158" t="str">
        <f>IF($AI69="","",IF(AND($AN69&lt;&gt;"",$AN69&lt;=EOMONTH(L$12,0),$AO69&gt;=L$12),IF(AND(INDEX('Roadmap Calc (Don’t Touch)'!$AA$2:$AX$151,$AI69,COLUMN()-COLUMN($J$16)+1)&gt;0,OR($D69="03. UX Discovery",$D69="04. UX Design")),IF(AND($H69&lt;&gt;"",$H69&lt;=EOMONTH(L$12,0),$I69&gt;=L$12),"ALL","PD+UX"),IF(AND($H69&lt;&gt;"",$H69&lt;=EOMONTH(L$12,0),$I69&gt;=L$12),"PD+DEV","PD")),IF(AND(INDEX('Roadmap Calc (Don’t Touch)'!$AA$2:$AX$151,$AI69,COLUMN()-COLUMN($J$16)+1)&gt;0,OR($D69="03. UX Discovery",$D69="04. UX Design")),IF(AND($H69&lt;&gt;"",$H69&lt;=EOMONTH(L$12,0),$I69&gt;=L$12),"UX+DEV","UX"),IF(AND($H69&lt;&gt;"",$H69&lt;=EOMONTH(L$12,0),$I69&gt;=L$12),"DEV",""))))</f>
      </c>
      <c r="M69" s="158" t="str">
        <f>IF($AI69="","",IF(AND($AN69&lt;&gt;"",$AN69&lt;=EOMONTH(M$12,0),$AO69&gt;=M$12),IF(AND(INDEX('Roadmap Calc (Don’t Touch)'!$AA$2:$AX$151,$AI69,COLUMN()-COLUMN($J$16)+1)&gt;0,OR($D69="03. UX Discovery",$D69="04. UX Design")),IF(AND($H69&lt;&gt;"",$H69&lt;=EOMONTH(M$12,0),$I69&gt;=M$12),"ALL","PD+UX"),IF(AND($H69&lt;&gt;"",$H69&lt;=EOMONTH(M$12,0),$I69&gt;=M$12),"PD+DEV","PD")),IF(AND(INDEX('Roadmap Calc (Don’t Touch)'!$AA$2:$AX$151,$AI69,COLUMN()-COLUMN($J$16)+1)&gt;0,OR($D69="03. UX Discovery",$D69="04. UX Design")),IF(AND($H69&lt;&gt;"",$H69&lt;=EOMONTH(M$12,0),$I69&gt;=M$12),"UX+DEV","UX"),IF(AND($H69&lt;&gt;"",$H69&lt;=EOMONTH(M$12,0),$I69&gt;=M$12),"DEV",""))))</f>
      </c>
      <c r="N69" s="158" t="str">
        <f>IF($AI69="","",IF(AND($AN69&lt;&gt;"",$AN69&lt;=EOMONTH(N$12,0),$AO69&gt;=N$12),IF(AND(INDEX('Roadmap Calc (Don’t Touch)'!$AA$2:$AX$151,$AI69,COLUMN()-COLUMN($J$16)+1)&gt;0,OR($D69="03. UX Discovery",$D69="04. UX Design")),IF(AND($H69&lt;&gt;"",$H69&lt;=EOMONTH(N$12,0),$I69&gt;=N$12),"ALL","PD+UX"),IF(AND($H69&lt;&gt;"",$H69&lt;=EOMONTH(N$12,0),$I69&gt;=N$12),"PD+DEV","PD")),IF(AND(INDEX('Roadmap Calc (Don’t Touch)'!$AA$2:$AX$151,$AI69,COLUMN()-COLUMN($J$16)+1)&gt;0,OR($D69="03. UX Discovery",$D69="04. UX Design")),IF(AND($H69&lt;&gt;"",$H69&lt;=EOMONTH(N$12,0),$I69&gt;=N$12),"UX+DEV","UX"),IF(AND($H69&lt;&gt;"",$H69&lt;=EOMONTH(N$12,0),$I69&gt;=N$12),"DEV",""))))</f>
      </c>
      <c r="O69" s="158" t="str">
        <f>IF($AI69="","",IF(AND($AN69&lt;&gt;"",$AN69&lt;=EOMONTH(O$12,0),$AO69&gt;=O$12),IF(AND(INDEX('Roadmap Calc (Don’t Touch)'!$AA$2:$AX$151,$AI69,COLUMN()-COLUMN($J$16)+1)&gt;0,OR($D69="03. UX Discovery",$D69="04. UX Design")),IF(AND($H69&lt;&gt;"",$H69&lt;=EOMONTH(O$12,0),$I69&gt;=O$12),"ALL","PD+UX"),IF(AND($H69&lt;&gt;"",$H69&lt;=EOMONTH(O$12,0),$I69&gt;=O$12),"PD+DEV","PD")),IF(AND(INDEX('Roadmap Calc (Don’t Touch)'!$AA$2:$AX$151,$AI69,COLUMN()-COLUMN($J$16)+1)&gt;0,OR($D69="03. UX Discovery",$D69="04. UX Design")),IF(AND($H69&lt;&gt;"",$H69&lt;=EOMONTH(O$12,0),$I69&gt;=O$12),"UX+DEV","UX"),IF(AND($H69&lt;&gt;"",$H69&lt;=EOMONTH(O$12,0),$I69&gt;=O$12),"DEV",""))))</f>
      </c>
      <c r="P69" s="158" t="str">
        <f>IF($AI69="","",IF(AND($AN69&lt;&gt;"",$AN69&lt;=EOMONTH(P$12,0),$AO69&gt;=P$12),IF(AND(INDEX('Roadmap Calc (Don’t Touch)'!$AA$2:$AX$151,$AI69,COLUMN()-COLUMN($J$16)+1)&gt;0,OR($D69="03. UX Discovery",$D69="04. UX Design")),IF(AND($H69&lt;&gt;"",$H69&lt;=EOMONTH(P$12,0),$I69&gt;=P$12),"ALL","PD+UX"),IF(AND($H69&lt;&gt;"",$H69&lt;=EOMONTH(P$12,0),$I69&gt;=P$12),"PD+DEV","PD")),IF(AND(INDEX('Roadmap Calc (Don’t Touch)'!$AA$2:$AX$151,$AI69,COLUMN()-COLUMN($J$16)+1)&gt;0,OR($D69="03. UX Discovery",$D69="04. UX Design")),IF(AND($H69&lt;&gt;"",$H69&lt;=EOMONTH(P$12,0),$I69&gt;=P$12),"UX+DEV","UX"),IF(AND($H69&lt;&gt;"",$H69&lt;=EOMONTH(P$12,0),$I69&gt;=P$12),"DEV",""))))</f>
      </c>
      <c r="Q69" s="158" t="str">
        <f>IF($AI69="","",IF(AND($AN69&lt;&gt;"",$AN69&lt;=EOMONTH(Q$12,0),$AO69&gt;=Q$12),IF(AND(INDEX('Roadmap Calc (Don’t Touch)'!$AA$2:$AX$151,$AI69,COLUMN()-COLUMN($J$16)+1)&gt;0,OR($D69="03. UX Discovery",$D69="04. UX Design")),IF(AND($H69&lt;&gt;"",$H69&lt;=EOMONTH(Q$12,0),$I69&gt;=Q$12),"ALL","PD+UX"),IF(AND($H69&lt;&gt;"",$H69&lt;=EOMONTH(Q$12,0),$I69&gt;=Q$12),"PD+DEV","PD")),IF(AND(INDEX('Roadmap Calc (Don’t Touch)'!$AA$2:$AX$151,$AI69,COLUMN()-COLUMN($J$16)+1)&gt;0,OR($D69="03. UX Discovery",$D69="04. UX Design")),IF(AND($H69&lt;&gt;"",$H69&lt;=EOMONTH(Q$12,0),$I69&gt;=Q$12),"UX+DEV","UX"),IF(AND($H69&lt;&gt;"",$H69&lt;=EOMONTH(Q$12,0),$I69&gt;=Q$12),"DEV",""))))</f>
      </c>
      <c r="R69" s="158" t="str">
        <f>IF($AI69="","",IF(AND($AN69&lt;&gt;"",$AN69&lt;=EOMONTH(R$12,0),$AO69&gt;=R$12),IF(AND(INDEX('Roadmap Calc (Don’t Touch)'!$AA$2:$AX$151,$AI69,COLUMN()-COLUMN($J$16)+1)&gt;0,OR($D69="03. UX Discovery",$D69="04. UX Design")),IF(AND($H69&lt;&gt;"",$H69&lt;=EOMONTH(R$12,0),$I69&gt;=R$12),"ALL","PD+UX"),IF(AND($H69&lt;&gt;"",$H69&lt;=EOMONTH(R$12,0),$I69&gt;=R$12),"PD+DEV","PD")),IF(AND(INDEX('Roadmap Calc (Don’t Touch)'!$AA$2:$AX$151,$AI69,COLUMN()-COLUMN($J$16)+1)&gt;0,OR($D69="03. UX Discovery",$D69="04. UX Design")),IF(AND($H69&lt;&gt;"",$H69&lt;=EOMONTH(R$12,0),$I69&gt;=R$12),"UX+DEV","UX"),IF(AND($H69&lt;&gt;"",$H69&lt;=EOMONTH(R$12,0),$I69&gt;=R$12),"DEV",""))))</f>
      </c>
      <c r="S69" s="158" t="str">
        <f>IF($AI69="","",IF(AND($AN69&lt;&gt;"",$AN69&lt;=EOMONTH(S$12,0),$AO69&gt;=S$12),IF(AND(INDEX('Roadmap Calc (Don’t Touch)'!$AA$2:$AX$151,$AI69,COLUMN()-COLUMN($J$16)+1)&gt;0,OR($D69="03. UX Discovery",$D69="04. UX Design")),IF(AND($H69&lt;&gt;"",$H69&lt;=EOMONTH(S$12,0),$I69&gt;=S$12),"ALL","PD+UX"),IF(AND($H69&lt;&gt;"",$H69&lt;=EOMONTH(S$12,0),$I69&gt;=S$12),"PD+DEV","PD")),IF(AND(INDEX('Roadmap Calc (Don’t Touch)'!$AA$2:$AX$151,$AI69,COLUMN()-COLUMN($J$16)+1)&gt;0,OR($D69="03. UX Discovery",$D69="04. UX Design")),IF(AND($H69&lt;&gt;"",$H69&lt;=EOMONTH(S$12,0),$I69&gt;=S$12),"UX+DEV","UX"),IF(AND($H69&lt;&gt;"",$H69&lt;=EOMONTH(S$12,0),$I69&gt;=S$12),"DEV",""))))</f>
      </c>
      <c r="T69" s="158" t="str">
        <f>IF($AI69="","",IF(AND($AN69&lt;&gt;"",$AN69&lt;=EOMONTH(T$12,0),$AO69&gt;=T$12),IF(AND(INDEX('Roadmap Calc (Don’t Touch)'!$AA$2:$AX$151,$AI69,COLUMN()-COLUMN($J$16)+1)&gt;0,OR($D69="03. UX Discovery",$D69="04. UX Design")),IF(AND($H69&lt;&gt;"",$H69&lt;=EOMONTH(T$12,0),$I69&gt;=T$12),"ALL","PD+UX"),IF(AND($H69&lt;&gt;"",$H69&lt;=EOMONTH(T$12,0),$I69&gt;=T$12),"PD+DEV","PD")),IF(AND(INDEX('Roadmap Calc (Don’t Touch)'!$AA$2:$AX$151,$AI69,COLUMN()-COLUMN($J$16)+1)&gt;0,OR($D69="03. UX Discovery",$D69="04. UX Design")),IF(AND($H69&lt;&gt;"",$H69&lt;=EOMONTH(T$12,0),$I69&gt;=T$12),"UX+DEV","UX"),IF(AND($H69&lt;&gt;"",$H69&lt;=EOMONTH(T$12,0),$I69&gt;=T$12),"DEV",""))))</f>
      </c>
      <c r="U69" s="158" t="str">
        <f>IF($AI69="","",IF(AND($AN69&lt;&gt;"",$AN69&lt;=EOMONTH(U$12,0),$AO69&gt;=U$12),IF(AND(INDEX('Roadmap Calc (Don’t Touch)'!$AA$2:$AX$151,$AI69,COLUMN()-COLUMN($J$16)+1)&gt;0,OR($D69="03. UX Discovery",$D69="04. UX Design")),IF(AND($H69&lt;&gt;"",$H69&lt;=EOMONTH(U$12,0),$I69&gt;=U$12),"ALL","PD+UX"),IF(AND($H69&lt;&gt;"",$H69&lt;=EOMONTH(U$12,0),$I69&gt;=U$12),"PD+DEV","PD")),IF(AND(INDEX('Roadmap Calc (Don’t Touch)'!$AA$2:$AX$151,$AI69,COLUMN()-COLUMN($J$16)+1)&gt;0,OR($D69="03. UX Discovery",$D69="04. UX Design")),IF(AND($H69&lt;&gt;"",$H69&lt;=EOMONTH(U$12,0),$I69&gt;=U$12),"UX+DEV","UX"),IF(AND($H69&lt;&gt;"",$H69&lt;=EOMONTH(U$12,0),$I69&gt;=U$12),"DEV",""))))</f>
      </c>
      <c r="V69" s="158" t="str">
        <f>IF($AI69="","",IF(AND($AN69&lt;&gt;"",$AN69&lt;=EOMONTH(V$12,0),$AO69&gt;=V$12),IF(AND(INDEX('Roadmap Calc (Don’t Touch)'!$AA$2:$AX$151,$AI69,COLUMN()-COLUMN($J$16)+1)&gt;0,OR($D69="03. UX Discovery",$D69="04. UX Design")),IF(AND($H69&lt;&gt;"",$H69&lt;=EOMONTH(V$12,0),$I69&gt;=V$12),"ALL","PD+UX"),IF(AND($H69&lt;&gt;"",$H69&lt;=EOMONTH(V$12,0),$I69&gt;=V$12),"PD+DEV","PD")),IF(AND(INDEX('Roadmap Calc (Don’t Touch)'!$AA$2:$AX$151,$AI69,COLUMN()-COLUMN($J$16)+1)&gt;0,OR($D69="03. UX Discovery",$D69="04. UX Design")),IF(AND($H69&lt;&gt;"",$H69&lt;=EOMONTH(V$12,0),$I69&gt;=V$12),"UX+DEV","UX"),IF(AND($H69&lt;&gt;"",$H69&lt;=EOMONTH(V$12,0),$I69&gt;=V$12),"DEV",""))))</f>
      </c>
      <c r="W69" s="158" t="str">
        <f>IF($AI69="","",IF(AND($AN69&lt;&gt;"",$AN69&lt;=EOMONTH(W$12,0),$AO69&gt;=W$12),IF(AND(INDEX('Roadmap Calc (Don’t Touch)'!$AA$2:$AX$151,$AI69,COLUMN()-COLUMN($J$16)+1)&gt;0,OR($D69="03. UX Discovery",$D69="04. UX Design")),IF(AND($H69&lt;&gt;"",$H69&lt;=EOMONTH(W$12,0),$I69&gt;=W$12),"ALL","PD+UX"),IF(AND($H69&lt;&gt;"",$H69&lt;=EOMONTH(W$12,0),$I69&gt;=W$12),"PD+DEV","PD")),IF(AND(INDEX('Roadmap Calc (Don’t Touch)'!$AA$2:$AX$151,$AI69,COLUMN()-COLUMN($J$16)+1)&gt;0,OR($D69="03. UX Discovery",$D69="04. UX Design")),IF(AND($H69&lt;&gt;"",$H69&lt;=EOMONTH(W$12,0),$I69&gt;=W$12),"UX+DEV","UX"),IF(AND($H69&lt;&gt;"",$H69&lt;=EOMONTH(W$12,0),$I69&gt;=W$12),"DEV",""))))</f>
      </c>
      <c r="X69" s="158" t="str">
        <f>IF($AI69="","",IF(AND($AN69&lt;&gt;"",$AN69&lt;=EOMONTH(X$12,0),$AO69&gt;=X$12),IF(AND(INDEX('Roadmap Calc (Don’t Touch)'!$AA$2:$AX$151,$AI69,COLUMN()-COLUMN($J$16)+1)&gt;0,OR($D69="03. UX Discovery",$D69="04. UX Design")),IF(AND($H69&lt;&gt;"",$H69&lt;=EOMONTH(X$12,0),$I69&gt;=X$12),"ALL","PD+UX"),IF(AND($H69&lt;&gt;"",$H69&lt;=EOMONTH(X$12,0),$I69&gt;=X$12),"PD+DEV","PD")),IF(AND(INDEX('Roadmap Calc (Don’t Touch)'!$AA$2:$AX$151,$AI69,COLUMN()-COLUMN($J$16)+1)&gt;0,OR($D69="03. UX Discovery",$D69="04. UX Design")),IF(AND($H69&lt;&gt;"",$H69&lt;=EOMONTH(X$12,0),$I69&gt;=X$12),"UX+DEV","UX"),IF(AND($H69&lt;&gt;"",$H69&lt;=EOMONTH(X$12,0),$I69&gt;=X$12),"DEV",""))))</f>
      </c>
      <c r="Y69" s="158" t="str">
        <f>IF($AI69="","",IF(AND($AN69&lt;&gt;"",$AN69&lt;=EOMONTH(Y$12,0),$AO69&gt;=Y$12),IF(AND(INDEX('Roadmap Calc (Don’t Touch)'!$AA$2:$AX$151,$AI69,COLUMN()-COLUMN($J$16)+1)&gt;0,OR($D69="03. UX Discovery",$D69="04. UX Design")),IF(AND($H69&lt;&gt;"",$H69&lt;=EOMONTH(Y$12,0),$I69&gt;=Y$12),"ALL","PD+UX"),IF(AND($H69&lt;&gt;"",$H69&lt;=EOMONTH(Y$12,0),$I69&gt;=Y$12),"PD+DEV","PD")),IF(AND(INDEX('Roadmap Calc (Don’t Touch)'!$AA$2:$AX$151,$AI69,COLUMN()-COLUMN($J$16)+1)&gt;0,OR($D69="03. UX Discovery",$D69="04. UX Design")),IF(AND($H69&lt;&gt;"",$H69&lt;=EOMONTH(Y$12,0),$I69&gt;=Y$12),"UX+DEV","UX"),IF(AND($H69&lt;&gt;"",$H69&lt;=EOMONTH(Y$12,0),$I69&gt;=Y$12),"DEV",""))))</f>
      </c>
      <c r="Z69" s="158" t="str">
        <f>IF($AI69="","",IF(AND($AN69&lt;&gt;"",$AN69&lt;=EOMONTH(Z$12,0),$AO69&gt;=Z$12),IF(AND(INDEX('Roadmap Calc (Don’t Touch)'!$AA$2:$AX$151,$AI69,COLUMN()-COLUMN($J$16)+1)&gt;0,OR($D69="03. UX Discovery",$D69="04. UX Design")),IF(AND($H69&lt;&gt;"",$H69&lt;=EOMONTH(Z$12,0),$I69&gt;=Z$12),"ALL","PD+UX"),IF(AND($H69&lt;&gt;"",$H69&lt;=EOMONTH(Z$12,0),$I69&gt;=Z$12),"PD+DEV","PD")),IF(AND(INDEX('Roadmap Calc (Don’t Touch)'!$AA$2:$AX$151,$AI69,COLUMN()-COLUMN($J$16)+1)&gt;0,OR($D69="03. UX Discovery",$D69="04. UX Design")),IF(AND($H69&lt;&gt;"",$H69&lt;=EOMONTH(Z$12,0),$I69&gt;=Z$12),"UX+DEV","UX"),IF(AND($H69&lt;&gt;"",$H69&lt;=EOMONTH(Z$12,0),$I69&gt;=Z$12),"DEV",""))))</f>
      </c>
      <c r="AA69" s="158" t="str">
        <f>IF($AI69="","",IF(AND($AN69&lt;&gt;"",$AN69&lt;=EOMONTH(AA$12,0),$AO69&gt;=AA$12),IF(AND(INDEX('Roadmap Calc (Don’t Touch)'!$AA$2:$AX$151,$AI69,COLUMN()-COLUMN($J$16)+1)&gt;0,OR($D69="03. UX Discovery",$D69="04. UX Design")),IF(AND($H69&lt;&gt;"",$H69&lt;=EOMONTH(AA$12,0),$I69&gt;=AA$12),"ALL","PD+UX"),IF(AND($H69&lt;&gt;"",$H69&lt;=EOMONTH(AA$12,0),$I69&gt;=AA$12),"PD+DEV","PD")),IF(AND(INDEX('Roadmap Calc (Don’t Touch)'!$AA$2:$AX$151,$AI69,COLUMN()-COLUMN($J$16)+1)&gt;0,OR($D69="03. UX Discovery",$D69="04. UX Design")),IF(AND($H69&lt;&gt;"",$H69&lt;=EOMONTH(AA$12,0),$I69&gt;=AA$12),"UX+DEV","UX"),IF(AND($H69&lt;&gt;"",$H69&lt;=EOMONTH(AA$12,0),$I69&gt;=AA$12),"DEV",""))))</f>
      </c>
      <c r="AB69" s="158" t="str">
        <f>IF($AI69="","",IF(AND($AN69&lt;&gt;"",$AN69&lt;=EOMONTH(AB$12,0),$AO69&gt;=AB$12),IF(AND(INDEX('Roadmap Calc (Don’t Touch)'!$AA$2:$AX$151,$AI69,COLUMN()-COLUMN($J$16)+1)&gt;0,OR($D69="03. UX Discovery",$D69="04. UX Design")),IF(AND($H69&lt;&gt;"",$H69&lt;=EOMONTH(AB$12,0),$I69&gt;=AB$12),"ALL","PD+UX"),IF(AND($H69&lt;&gt;"",$H69&lt;=EOMONTH(AB$12,0),$I69&gt;=AB$12),"PD+DEV","PD")),IF(AND(INDEX('Roadmap Calc (Don’t Touch)'!$AA$2:$AX$151,$AI69,COLUMN()-COLUMN($J$16)+1)&gt;0,OR($D69="03. UX Discovery",$D69="04. UX Design")),IF(AND($H69&lt;&gt;"",$H69&lt;=EOMONTH(AB$12,0),$I69&gt;=AB$12),"UX+DEV","UX"),IF(AND($H69&lt;&gt;"",$H69&lt;=EOMONTH(AB$12,0),$I69&gt;=AB$12),"DEV",""))))</f>
      </c>
      <c r="AC69" s="158" t="str">
        <f>IF($AI69="","",IF(AND($AN69&lt;&gt;"",$AN69&lt;=EOMONTH(AC$12,0),$AO69&gt;=AC$12),IF(AND(INDEX('Roadmap Calc (Don’t Touch)'!$AA$2:$AX$151,$AI69,COLUMN()-COLUMN($J$16)+1)&gt;0,OR($D69="03. UX Discovery",$D69="04. UX Design")),IF(AND($H69&lt;&gt;"",$H69&lt;=EOMONTH(AC$12,0),$I69&gt;=AC$12),"ALL","PD+UX"),IF(AND($H69&lt;&gt;"",$H69&lt;=EOMONTH(AC$12,0),$I69&gt;=AC$12),"PD+DEV","PD")),IF(AND(INDEX('Roadmap Calc (Don’t Touch)'!$AA$2:$AX$151,$AI69,COLUMN()-COLUMN($J$16)+1)&gt;0,OR($D69="03. UX Discovery",$D69="04. UX Design")),IF(AND($H69&lt;&gt;"",$H69&lt;=EOMONTH(AC$12,0),$I69&gt;=AC$12),"UX+DEV","UX"),IF(AND($H69&lt;&gt;"",$H69&lt;=EOMONTH(AC$12,0),$I69&gt;=AC$12),"DEV",""))))</f>
      </c>
      <c r="AD69" s="158" t="str">
        <f>IF($AI69="","",IF(AND($AN69&lt;&gt;"",$AN69&lt;=EOMONTH(AD$12,0),$AO69&gt;=AD$12),IF(AND(INDEX('Roadmap Calc (Don’t Touch)'!$AA$2:$AX$151,$AI69,COLUMN()-COLUMN($J$16)+1)&gt;0,OR($D69="03. UX Discovery",$D69="04. UX Design")),IF(AND($H69&lt;&gt;"",$H69&lt;=EOMONTH(AD$12,0),$I69&gt;=AD$12),"ALL","PD+UX"),IF(AND($H69&lt;&gt;"",$H69&lt;=EOMONTH(AD$12,0),$I69&gt;=AD$12),"PD+DEV","PD")),IF(AND(INDEX('Roadmap Calc (Don’t Touch)'!$AA$2:$AX$151,$AI69,COLUMN()-COLUMN($J$16)+1)&gt;0,OR($D69="03. UX Discovery",$D69="04. UX Design")),IF(AND($H69&lt;&gt;"",$H69&lt;=EOMONTH(AD$12,0),$I69&gt;=AD$12),"UX+DEV","UX"),IF(AND($H69&lt;&gt;"",$H69&lt;=EOMONTH(AD$12,0),$I69&gt;=AD$12),"DEV",""))))</f>
      </c>
      <c r="AE69" s="158" t="str">
        <f>IF($AI69="","",IF(AND($AN69&lt;&gt;"",$AN69&lt;=EOMONTH(AE$12,0),$AO69&gt;=AE$12),IF(AND(INDEX('Roadmap Calc (Don’t Touch)'!$AA$2:$AX$151,$AI69,COLUMN()-COLUMN($J$16)+1)&gt;0,OR($D69="03. UX Discovery",$D69="04. UX Design")),IF(AND($H69&lt;&gt;"",$H69&lt;=EOMONTH(AE$12,0),$I69&gt;=AE$12),"ALL","PD+UX"),IF(AND($H69&lt;&gt;"",$H69&lt;=EOMONTH(AE$12,0),$I69&gt;=AE$12),"PD+DEV","PD")),IF(AND(INDEX('Roadmap Calc (Don’t Touch)'!$AA$2:$AX$151,$AI69,COLUMN()-COLUMN($J$16)+1)&gt;0,OR($D69="03. UX Discovery",$D69="04. UX Design")),IF(AND($H69&lt;&gt;"",$H69&lt;=EOMONTH(AE$12,0),$I69&gt;=AE$12),"UX+DEV","UX"),IF(AND($H69&lt;&gt;"",$H69&lt;=EOMONTH(AE$12,0),$I69&gt;=AE$12),"DEV",""))))</f>
      </c>
      <c r="AF69" s="158" t="str">
        <f>IF($AI69="","",IF(AND($AN69&lt;&gt;"",$AN69&lt;=EOMONTH(AF$12,0),$AO69&gt;=AF$12),IF(AND(INDEX('Roadmap Calc (Don’t Touch)'!$AA$2:$AX$151,$AI69,COLUMN()-COLUMN($J$16)+1)&gt;0,OR($D69="03. UX Discovery",$D69="04. UX Design")),IF(AND($H69&lt;&gt;"",$H69&lt;=EOMONTH(AF$12,0),$I69&gt;=AF$12),"ALL","PD+UX"),IF(AND($H69&lt;&gt;"",$H69&lt;=EOMONTH(AF$12,0),$I69&gt;=AF$12),"PD+DEV","PD")),IF(AND(INDEX('Roadmap Calc (Don’t Touch)'!$AA$2:$AX$151,$AI69,COLUMN()-COLUMN($J$16)+1)&gt;0,OR($D69="03. UX Discovery",$D69="04. UX Design")),IF(AND($H69&lt;&gt;"",$H69&lt;=EOMONTH(AF$12,0),$I69&gt;=AF$12),"UX+DEV","UX"),IF(AND($H69&lt;&gt;"",$H69&lt;=EOMONTH(AF$12,0),$I69&gt;=AF$12),"DEV",""))))</f>
      </c>
      <c r="AG69" s="158" t="str">
        <f>IF($AI69="","",IF(AND($AN69&lt;&gt;"",$AN69&lt;=EOMONTH(AG$12,0),$AO69&gt;=AG$12),IF(AND(INDEX('Roadmap Calc (Don’t Touch)'!$AA$2:$AX$151,$AI69,COLUMN()-COLUMN($J$16)+1)&gt;0,OR($D69="03. UX Discovery",$D69="04. UX Design")),IF(AND($H69&lt;&gt;"",$H69&lt;=EOMONTH(AG$12,0),$I69&gt;=AG$12),"ALL","PD+UX"),IF(AND($H69&lt;&gt;"",$H69&lt;=EOMONTH(AG$12,0),$I69&gt;=AG$12),"PD+DEV","PD")),IF(AND(INDEX('Roadmap Calc (Don’t Touch)'!$AA$2:$AX$151,$AI69,COLUMN()-COLUMN($J$16)+1)&gt;0,OR($D69="03. UX Discovery",$D69="04. UX Design")),IF(AND($H69&lt;&gt;"",$H69&lt;=EOMONTH(AG$12,0),$I69&gt;=AG$12),"UX+DEV","UX"),IF(AND($H69&lt;&gt;"",$H69&lt;=EOMONTH(AG$12,0),$I69&gt;=AG$12),"DEV",""))))</f>
      </c>
      <c r="AH69" s="145" t="str">
        <f>IF($AI69="","",INDEX('Roadmap Calc (Don’t Touch)'!$D$2:$D$151,$AI69))</f>
        <v/>
      </c>
      <c r="AI69" s="145" t="str">
        <f>IFERROR(MATCH(54,'Roadmap Calc (Don’t Touch)'!$O$2:$O$151,0),"")</f>
        <v/>
      </c>
      <c r="AJ69" s="145"/>
      <c r="AK69" s="145"/>
      <c r="AL69" s="145"/>
      <c r="AM69" s="145"/>
      <c r="AN69">
        <f>IF($AI69="","",IF(ISNUMBER(INDEX('Roadmap Calc (Don’t Touch)'!$BB$2:$BB$151,$AI69)),INDEX('Roadmap Calc (Don’t Touch)'!$BB$2:$BB$151,$AI69),""))</f>
      </c>
      <c r="AO69">
        <f>IF($AI69="","",IF(ISNUMBER(INDEX('Roadmap Calc (Don’t Touch)'!$BC$2:$BC$151,$AI69)),INDEX('Roadmap Calc (Don’t Touch)'!$BC$2:$BC$151,$AI69),""))</f>
      </c>
    </row>
    <row r="70" spans="1:41" ht="17" customHeight="1" x14ac:dyDescent="0.25">
      <c r="A70" s="152" t="str">
        <f>IF($AI70="","",IF($AH70=$AH69,"",IF(INDEX('Roadmap Calc (Don’t Touch)'!$U$2:$U$151,$AI70)=0,$AH70,HYPERLINK("#'Control (Don’t Touch)'!E"&amp;INDEX('Roadmap Calc (Don’t Touch)'!$U$2:$U$151,$AI70),$AH70))))</f>
        <v/>
      </c>
      <c r="B70" s="153" t="str">
        <f>IF($AI70="","",IF(INDEX('Roadmap Calc (Don’t Touch)'!$K$2:$K$151,$AI70)="",INDEX('Roadmap Calc (Don’t Touch)'!$B$2:$B$151,$AI70),HYPERLINK("https://jira.bnh.com/browse/"&amp;INDEX('Roadmap Calc (Don’t Touch)'!$K$2:$K$151,$AI70),INDEX('Roadmap Calc (Don’t Touch)'!$B$2:$B$151,$AI70))))</f>
        <v/>
      </c>
      <c r="C70" s="153" t="str">
        <f>IF($AI70="","",IF(INDEX('Roadmap Calc (Don’t Touch)'!$E$2:$E$151,$AI70)="","",HYPERLINK("https://jira.bnh.com/browse/"&amp;INDEX('Roadmap Calc (Don’t Touch)'!$E$2:$E$151,$AI70),INDEX('Roadmap Calc (Don’t Touch)'!$E$2:$E$151,$AI70))))</f>
        <v/>
      </c>
      <c r="D70" s="154" t="str">
        <f>IF($AI70="","",INDEX('Roadmap Calc (Don’t Touch)'!$F$2:$F$151,$AI70))</f>
        <v/>
      </c>
      <c r="E70" s="155" t="str">
        <f>IF($AI70="","",IF(ISNUMBER(INDEX('Roadmap Calc (Don’t Touch)'!$G$2:$G$151,$AI70)),INDEX('Roadmap Calc (Don’t Touch)'!$G$2:$G$151,$AI70),""))</f>
        <v/>
      </c>
      <c r="F70" s="155" t="str">
        <f>IF($AI70="","",IF(ISNUMBER(INDEX('Roadmap Calc (Don’t Touch)'!$H$2:$H$151,$AI70)),INDEX('Roadmap Calc (Don’t Touch)'!$H$2:$H$151,$AI70),""))</f>
        <v/>
      </c>
      <c r="G70" s="156" t="str">
        <f>IF($AI70="","",INDEX('Roadmap Calc (Don’t Touch)'!$T$2:$T$151,$AI70))</f>
        <v/>
      </c>
      <c r="H70" s="157" t="str">
        <f>IF($AI70="","",IF(ISNUMBER(INDEX('Roadmap Calc (Don’t Touch)'!$I$2:$I$151,$AI70)),INDEX('Roadmap Calc (Don’t Touch)'!$I$2:$I$151,$AI70),""))</f>
        <v/>
      </c>
      <c r="I70" s="157" t="str">
        <f>IF($AI70="","",IF(ISNUMBER(INDEX('Roadmap Calc (Don’t Touch)'!$J$2:$J$151,$AI70)),INDEX('Roadmap Calc (Don’t Touch)'!$J$2:$J$151,$AI70),""))</f>
        <v/>
      </c>
      <c r="J70" s="158" t="str">
        <f>IF($AI70="","",IF(AND($AN70&lt;&gt;"",$AN70&lt;=EOMONTH(J$12,0),$AO70&gt;=J$12),IF(AND(INDEX('Roadmap Calc (Don’t Touch)'!$AA$2:$AX$151,$AI70,COLUMN()-COLUMN($J$16)+1)&gt;0,OR($D70="03. UX Discovery",$D70="04. UX Design")),IF(AND($H70&lt;&gt;"",$H70&lt;=EOMONTH(J$12,0),$I70&gt;=J$12),"ALL","PD+UX"),IF(AND($H70&lt;&gt;"",$H70&lt;=EOMONTH(J$12,0),$I70&gt;=J$12),"PD+DEV","PD")),IF(AND(INDEX('Roadmap Calc (Don’t Touch)'!$AA$2:$AX$151,$AI70,COLUMN()-COLUMN($J$16)+1)&gt;0,OR($D70="03. UX Discovery",$D70="04. UX Design")),IF(AND($H70&lt;&gt;"",$H70&lt;=EOMONTH(J$12,0),$I70&gt;=J$12),"UX+DEV","UX"),IF(AND($H70&lt;&gt;"",$H70&lt;=EOMONTH(J$12,0),$I70&gt;=J$12),"DEV",""))))</f>
      </c>
      <c r="K70" s="158" t="str">
        <f>IF($AI70="","",IF(AND($AN70&lt;&gt;"",$AN70&lt;=EOMONTH(K$12,0),$AO70&gt;=K$12),IF(AND(INDEX('Roadmap Calc (Don’t Touch)'!$AA$2:$AX$151,$AI70,COLUMN()-COLUMN($J$16)+1)&gt;0,OR($D70="03. UX Discovery",$D70="04. UX Design")),IF(AND($H70&lt;&gt;"",$H70&lt;=EOMONTH(K$12,0),$I70&gt;=K$12),"ALL","PD+UX"),IF(AND($H70&lt;&gt;"",$H70&lt;=EOMONTH(K$12,0),$I70&gt;=K$12),"PD+DEV","PD")),IF(AND(INDEX('Roadmap Calc (Don’t Touch)'!$AA$2:$AX$151,$AI70,COLUMN()-COLUMN($J$16)+1)&gt;0,OR($D70="03. UX Discovery",$D70="04. UX Design")),IF(AND($H70&lt;&gt;"",$H70&lt;=EOMONTH(K$12,0),$I70&gt;=K$12),"UX+DEV","UX"),IF(AND($H70&lt;&gt;"",$H70&lt;=EOMONTH(K$12,0),$I70&gt;=K$12),"DEV",""))))</f>
      </c>
      <c r="L70" s="158" t="str">
        <f>IF($AI70="","",IF(AND($AN70&lt;&gt;"",$AN70&lt;=EOMONTH(L$12,0),$AO70&gt;=L$12),IF(AND(INDEX('Roadmap Calc (Don’t Touch)'!$AA$2:$AX$151,$AI70,COLUMN()-COLUMN($J$16)+1)&gt;0,OR($D70="03. UX Discovery",$D70="04. UX Design")),IF(AND($H70&lt;&gt;"",$H70&lt;=EOMONTH(L$12,0),$I70&gt;=L$12),"ALL","PD+UX"),IF(AND($H70&lt;&gt;"",$H70&lt;=EOMONTH(L$12,0),$I70&gt;=L$12),"PD+DEV","PD")),IF(AND(INDEX('Roadmap Calc (Don’t Touch)'!$AA$2:$AX$151,$AI70,COLUMN()-COLUMN($J$16)+1)&gt;0,OR($D70="03. UX Discovery",$D70="04. UX Design")),IF(AND($H70&lt;&gt;"",$H70&lt;=EOMONTH(L$12,0),$I70&gt;=L$12),"UX+DEV","UX"),IF(AND($H70&lt;&gt;"",$H70&lt;=EOMONTH(L$12,0),$I70&gt;=L$12),"DEV",""))))</f>
      </c>
      <c r="M70" s="158" t="str">
        <f>IF($AI70="","",IF(AND($AN70&lt;&gt;"",$AN70&lt;=EOMONTH(M$12,0),$AO70&gt;=M$12),IF(AND(INDEX('Roadmap Calc (Don’t Touch)'!$AA$2:$AX$151,$AI70,COLUMN()-COLUMN($J$16)+1)&gt;0,OR($D70="03. UX Discovery",$D70="04. UX Design")),IF(AND($H70&lt;&gt;"",$H70&lt;=EOMONTH(M$12,0),$I70&gt;=M$12),"ALL","PD+UX"),IF(AND($H70&lt;&gt;"",$H70&lt;=EOMONTH(M$12,0),$I70&gt;=M$12),"PD+DEV","PD")),IF(AND(INDEX('Roadmap Calc (Don’t Touch)'!$AA$2:$AX$151,$AI70,COLUMN()-COLUMN($J$16)+1)&gt;0,OR($D70="03. UX Discovery",$D70="04. UX Design")),IF(AND($H70&lt;&gt;"",$H70&lt;=EOMONTH(M$12,0),$I70&gt;=M$12),"UX+DEV","UX"),IF(AND($H70&lt;&gt;"",$H70&lt;=EOMONTH(M$12,0),$I70&gt;=M$12),"DEV",""))))</f>
      </c>
      <c r="N70" s="158" t="str">
        <f>IF($AI70="","",IF(AND($AN70&lt;&gt;"",$AN70&lt;=EOMONTH(N$12,0),$AO70&gt;=N$12),IF(AND(INDEX('Roadmap Calc (Don’t Touch)'!$AA$2:$AX$151,$AI70,COLUMN()-COLUMN($J$16)+1)&gt;0,OR($D70="03. UX Discovery",$D70="04. UX Design")),IF(AND($H70&lt;&gt;"",$H70&lt;=EOMONTH(N$12,0),$I70&gt;=N$12),"ALL","PD+UX"),IF(AND($H70&lt;&gt;"",$H70&lt;=EOMONTH(N$12,0),$I70&gt;=N$12),"PD+DEV","PD")),IF(AND(INDEX('Roadmap Calc (Don’t Touch)'!$AA$2:$AX$151,$AI70,COLUMN()-COLUMN($J$16)+1)&gt;0,OR($D70="03. UX Discovery",$D70="04. UX Design")),IF(AND($H70&lt;&gt;"",$H70&lt;=EOMONTH(N$12,0),$I70&gt;=N$12),"UX+DEV","UX"),IF(AND($H70&lt;&gt;"",$H70&lt;=EOMONTH(N$12,0),$I70&gt;=N$12),"DEV",""))))</f>
      </c>
      <c r="O70" s="158" t="str">
        <f>IF($AI70="","",IF(AND($AN70&lt;&gt;"",$AN70&lt;=EOMONTH(O$12,0),$AO70&gt;=O$12),IF(AND(INDEX('Roadmap Calc (Don’t Touch)'!$AA$2:$AX$151,$AI70,COLUMN()-COLUMN($J$16)+1)&gt;0,OR($D70="03. UX Discovery",$D70="04. UX Design")),IF(AND($H70&lt;&gt;"",$H70&lt;=EOMONTH(O$12,0),$I70&gt;=O$12),"ALL","PD+UX"),IF(AND($H70&lt;&gt;"",$H70&lt;=EOMONTH(O$12,0),$I70&gt;=O$12),"PD+DEV","PD")),IF(AND(INDEX('Roadmap Calc (Don’t Touch)'!$AA$2:$AX$151,$AI70,COLUMN()-COLUMN($J$16)+1)&gt;0,OR($D70="03. UX Discovery",$D70="04. UX Design")),IF(AND($H70&lt;&gt;"",$H70&lt;=EOMONTH(O$12,0),$I70&gt;=O$12),"UX+DEV","UX"),IF(AND($H70&lt;&gt;"",$H70&lt;=EOMONTH(O$12,0),$I70&gt;=O$12),"DEV",""))))</f>
      </c>
      <c r="P70" s="158" t="str">
        <f>IF($AI70="","",IF(AND($AN70&lt;&gt;"",$AN70&lt;=EOMONTH(P$12,0),$AO70&gt;=P$12),IF(AND(INDEX('Roadmap Calc (Don’t Touch)'!$AA$2:$AX$151,$AI70,COLUMN()-COLUMN($J$16)+1)&gt;0,OR($D70="03. UX Discovery",$D70="04. UX Design")),IF(AND($H70&lt;&gt;"",$H70&lt;=EOMONTH(P$12,0),$I70&gt;=P$12),"ALL","PD+UX"),IF(AND($H70&lt;&gt;"",$H70&lt;=EOMONTH(P$12,0),$I70&gt;=P$12),"PD+DEV","PD")),IF(AND(INDEX('Roadmap Calc (Don’t Touch)'!$AA$2:$AX$151,$AI70,COLUMN()-COLUMN($J$16)+1)&gt;0,OR($D70="03. UX Discovery",$D70="04. UX Design")),IF(AND($H70&lt;&gt;"",$H70&lt;=EOMONTH(P$12,0),$I70&gt;=P$12),"UX+DEV","UX"),IF(AND($H70&lt;&gt;"",$H70&lt;=EOMONTH(P$12,0),$I70&gt;=P$12),"DEV",""))))</f>
      </c>
      <c r="Q70" s="158" t="str">
        <f>IF($AI70="","",IF(AND($AN70&lt;&gt;"",$AN70&lt;=EOMONTH(Q$12,0),$AO70&gt;=Q$12),IF(AND(INDEX('Roadmap Calc (Don’t Touch)'!$AA$2:$AX$151,$AI70,COLUMN()-COLUMN($J$16)+1)&gt;0,OR($D70="03. UX Discovery",$D70="04. UX Design")),IF(AND($H70&lt;&gt;"",$H70&lt;=EOMONTH(Q$12,0),$I70&gt;=Q$12),"ALL","PD+UX"),IF(AND($H70&lt;&gt;"",$H70&lt;=EOMONTH(Q$12,0),$I70&gt;=Q$12),"PD+DEV","PD")),IF(AND(INDEX('Roadmap Calc (Don’t Touch)'!$AA$2:$AX$151,$AI70,COLUMN()-COLUMN($J$16)+1)&gt;0,OR($D70="03. UX Discovery",$D70="04. UX Design")),IF(AND($H70&lt;&gt;"",$H70&lt;=EOMONTH(Q$12,0),$I70&gt;=Q$12),"UX+DEV","UX"),IF(AND($H70&lt;&gt;"",$H70&lt;=EOMONTH(Q$12,0),$I70&gt;=Q$12),"DEV",""))))</f>
      </c>
      <c r="R70" s="158" t="str">
        <f>IF($AI70="","",IF(AND($AN70&lt;&gt;"",$AN70&lt;=EOMONTH(R$12,0),$AO70&gt;=R$12),IF(AND(INDEX('Roadmap Calc (Don’t Touch)'!$AA$2:$AX$151,$AI70,COLUMN()-COLUMN($J$16)+1)&gt;0,OR($D70="03. UX Discovery",$D70="04. UX Design")),IF(AND($H70&lt;&gt;"",$H70&lt;=EOMONTH(R$12,0),$I70&gt;=R$12),"ALL","PD+UX"),IF(AND($H70&lt;&gt;"",$H70&lt;=EOMONTH(R$12,0),$I70&gt;=R$12),"PD+DEV","PD")),IF(AND(INDEX('Roadmap Calc (Don’t Touch)'!$AA$2:$AX$151,$AI70,COLUMN()-COLUMN($J$16)+1)&gt;0,OR($D70="03. UX Discovery",$D70="04. UX Design")),IF(AND($H70&lt;&gt;"",$H70&lt;=EOMONTH(R$12,0),$I70&gt;=R$12),"UX+DEV","UX"),IF(AND($H70&lt;&gt;"",$H70&lt;=EOMONTH(R$12,0),$I70&gt;=R$12),"DEV",""))))</f>
      </c>
      <c r="S70" s="158" t="str">
        <f>IF($AI70="","",IF(AND($AN70&lt;&gt;"",$AN70&lt;=EOMONTH(S$12,0),$AO70&gt;=S$12),IF(AND(INDEX('Roadmap Calc (Don’t Touch)'!$AA$2:$AX$151,$AI70,COLUMN()-COLUMN($J$16)+1)&gt;0,OR($D70="03. UX Discovery",$D70="04. UX Design")),IF(AND($H70&lt;&gt;"",$H70&lt;=EOMONTH(S$12,0),$I70&gt;=S$12),"ALL","PD+UX"),IF(AND($H70&lt;&gt;"",$H70&lt;=EOMONTH(S$12,0),$I70&gt;=S$12),"PD+DEV","PD")),IF(AND(INDEX('Roadmap Calc (Don’t Touch)'!$AA$2:$AX$151,$AI70,COLUMN()-COLUMN($J$16)+1)&gt;0,OR($D70="03. UX Discovery",$D70="04. UX Design")),IF(AND($H70&lt;&gt;"",$H70&lt;=EOMONTH(S$12,0),$I70&gt;=S$12),"UX+DEV","UX"),IF(AND($H70&lt;&gt;"",$H70&lt;=EOMONTH(S$12,0),$I70&gt;=S$12),"DEV",""))))</f>
      </c>
      <c r="T70" s="158" t="str">
        <f>IF($AI70="","",IF(AND($AN70&lt;&gt;"",$AN70&lt;=EOMONTH(T$12,0),$AO70&gt;=T$12),IF(AND(INDEX('Roadmap Calc (Don’t Touch)'!$AA$2:$AX$151,$AI70,COLUMN()-COLUMN($J$16)+1)&gt;0,OR($D70="03. UX Discovery",$D70="04. UX Design")),IF(AND($H70&lt;&gt;"",$H70&lt;=EOMONTH(T$12,0),$I70&gt;=T$12),"ALL","PD+UX"),IF(AND($H70&lt;&gt;"",$H70&lt;=EOMONTH(T$12,0),$I70&gt;=T$12),"PD+DEV","PD")),IF(AND(INDEX('Roadmap Calc (Don’t Touch)'!$AA$2:$AX$151,$AI70,COLUMN()-COLUMN($J$16)+1)&gt;0,OR($D70="03. UX Discovery",$D70="04. UX Design")),IF(AND($H70&lt;&gt;"",$H70&lt;=EOMONTH(T$12,0),$I70&gt;=T$12),"UX+DEV","UX"),IF(AND($H70&lt;&gt;"",$H70&lt;=EOMONTH(T$12,0),$I70&gt;=T$12),"DEV",""))))</f>
      </c>
      <c r="U70" s="158" t="str">
        <f>IF($AI70="","",IF(AND($AN70&lt;&gt;"",$AN70&lt;=EOMONTH(U$12,0),$AO70&gt;=U$12),IF(AND(INDEX('Roadmap Calc (Don’t Touch)'!$AA$2:$AX$151,$AI70,COLUMN()-COLUMN($J$16)+1)&gt;0,OR($D70="03. UX Discovery",$D70="04. UX Design")),IF(AND($H70&lt;&gt;"",$H70&lt;=EOMONTH(U$12,0),$I70&gt;=U$12),"ALL","PD+UX"),IF(AND($H70&lt;&gt;"",$H70&lt;=EOMONTH(U$12,0),$I70&gt;=U$12),"PD+DEV","PD")),IF(AND(INDEX('Roadmap Calc (Don’t Touch)'!$AA$2:$AX$151,$AI70,COLUMN()-COLUMN($J$16)+1)&gt;0,OR($D70="03. UX Discovery",$D70="04. UX Design")),IF(AND($H70&lt;&gt;"",$H70&lt;=EOMONTH(U$12,0),$I70&gt;=U$12),"UX+DEV","UX"),IF(AND($H70&lt;&gt;"",$H70&lt;=EOMONTH(U$12,0),$I70&gt;=U$12),"DEV",""))))</f>
      </c>
      <c r="V70" s="158" t="str">
        <f>IF($AI70="","",IF(AND($AN70&lt;&gt;"",$AN70&lt;=EOMONTH(V$12,0),$AO70&gt;=V$12),IF(AND(INDEX('Roadmap Calc (Don’t Touch)'!$AA$2:$AX$151,$AI70,COLUMN()-COLUMN($J$16)+1)&gt;0,OR($D70="03. UX Discovery",$D70="04. UX Design")),IF(AND($H70&lt;&gt;"",$H70&lt;=EOMONTH(V$12,0),$I70&gt;=V$12),"ALL","PD+UX"),IF(AND($H70&lt;&gt;"",$H70&lt;=EOMONTH(V$12,0),$I70&gt;=V$12),"PD+DEV","PD")),IF(AND(INDEX('Roadmap Calc (Don’t Touch)'!$AA$2:$AX$151,$AI70,COLUMN()-COLUMN($J$16)+1)&gt;0,OR($D70="03. UX Discovery",$D70="04. UX Design")),IF(AND($H70&lt;&gt;"",$H70&lt;=EOMONTH(V$12,0),$I70&gt;=V$12),"UX+DEV","UX"),IF(AND($H70&lt;&gt;"",$H70&lt;=EOMONTH(V$12,0),$I70&gt;=V$12),"DEV",""))))</f>
      </c>
      <c r="W70" s="158" t="str">
        <f>IF($AI70="","",IF(AND($AN70&lt;&gt;"",$AN70&lt;=EOMONTH(W$12,0),$AO70&gt;=W$12),IF(AND(INDEX('Roadmap Calc (Don’t Touch)'!$AA$2:$AX$151,$AI70,COLUMN()-COLUMN($J$16)+1)&gt;0,OR($D70="03. UX Discovery",$D70="04. UX Design")),IF(AND($H70&lt;&gt;"",$H70&lt;=EOMONTH(W$12,0),$I70&gt;=W$12),"ALL","PD+UX"),IF(AND($H70&lt;&gt;"",$H70&lt;=EOMONTH(W$12,0),$I70&gt;=W$12),"PD+DEV","PD")),IF(AND(INDEX('Roadmap Calc (Don’t Touch)'!$AA$2:$AX$151,$AI70,COLUMN()-COLUMN($J$16)+1)&gt;0,OR($D70="03. UX Discovery",$D70="04. UX Design")),IF(AND($H70&lt;&gt;"",$H70&lt;=EOMONTH(W$12,0),$I70&gt;=W$12),"UX+DEV","UX"),IF(AND($H70&lt;&gt;"",$H70&lt;=EOMONTH(W$12,0),$I70&gt;=W$12),"DEV",""))))</f>
      </c>
      <c r="X70" s="158" t="str">
        <f>IF($AI70="","",IF(AND($AN70&lt;&gt;"",$AN70&lt;=EOMONTH(X$12,0),$AO70&gt;=X$12),IF(AND(INDEX('Roadmap Calc (Don’t Touch)'!$AA$2:$AX$151,$AI70,COLUMN()-COLUMN($J$16)+1)&gt;0,OR($D70="03. UX Discovery",$D70="04. UX Design")),IF(AND($H70&lt;&gt;"",$H70&lt;=EOMONTH(X$12,0),$I70&gt;=X$12),"ALL","PD+UX"),IF(AND($H70&lt;&gt;"",$H70&lt;=EOMONTH(X$12,0),$I70&gt;=X$12),"PD+DEV","PD")),IF(AND(INDEX('Roadmap Calc (Don’t Touch)'!$AA$2:$AX$151,$AI70,COLUMN()-COLUMN($J$16)+1)&gt;0,OR($D70="03. UX Discovery",$D70="04. UX Design")),IF(AND($H70&lt;&gt;"",$H70&lt;=EOMONTH(X$12,0),$I70&gt;=X$12),"UX+DEV","UX"),IF(AND($H70&lt;&gt;"",$H70&lt;=EOMONTH(X$12,0),$I70&gt;=X$12),"DEV",""))))</f>
      </c>
      <c r="Y70" s="158" t="str">
        <f>IF($AI70="","",IF(AND($AN70&lt;&gt;"",$AN70&lt;=EOMONTH(Y$12,0),$AO70&gt;=Y$12),IF(AND(INDEX('Roadmap Calc (Don’t Touch)'!$AA$2:$AX$151,$AI70,COLUMN()-COLUMN($J$16)+1)&gt;0,OR($D70="03. UX Discovery",$D70="04. UX Design")),IF(AND($H70&lt;&gt;"",$H70&lt;=EOMONTH(Y$12,0),$I70&gt;=Y$12),"ALL","PD+UX"),IF(AND($H70&lt;&gt;"",$H70&lt;=EOMONTH(Y$12,0),$I70&gt;=Y$12),"PD+DEV","PD")),IF(AND(INDEX('Roadmap Calc (Don’t Touch)'!$AA$2:$AX$151,$AI70,COLUMN()-COLUMN($J$16)+1)&gt;0,OR($D70="03. UX Discovery",$D70="04. UX Design")),IF(AND($H70&lt;&gt;"",$H70&lt;=EOMONTH(Y$12,0),$I70&gt;=Y$12),"UX+DEV","UX"),IF(AND($H70&lt;&gt;"",$H70&lt;=EOMONTH(Y$12,0),$I70&gt;=Y$12),"DEV",""))))</f>
      </c>
      <c r="Z70" s="158" t="str">
        <f>IF($AI70="","",IF(AND($AN70&lt;&gt;"",$AN70&lt;=EOMONTH(Z$12,0),$AO70&gt;=Z$12),IF(AND(INDEX('Roadmap Calc (Don’t Touch)'!$AA$2:$AX$151,$AI70,COLUMN()-COLUMN($J$16)+1)&gt;0,OR($D70="03. UX Discovery",$D70="04. UX Design")),IF(AND($H70&lt;&gt;"",$H70&lt;=EOMONTH(Z$12,0),$I70&gt;=Z$12),"ALL","PD+UX"),IF(AND($H70&lt;&gt;"",$H70&lt;=EOMONTH(Z$12,0),$I70&gt;=Z$12),"PD+DEV","PD")),IF(AND(INDEX('Roadmap Calc (Don’t Touch)'!$AA$2:$AX$151,$AI70,COLUMN()-COLUMN($J$16)+1)&gt;0,OR($D70="03. UX Discovery",$D70="04. UX Design")),IF(AND($H70&lt;&gt;"",$H70&lt;=EOMONTH(Z$12,0),$I70&gt;=Z$12),"UX+DEV","UX"),IF(AND($H70&lt;&gt;"",$H70&lt;=EOMONTH(Z$12,0),$I70&gt;=Z$12),"DEV",""))))</f>
      </c>
      <c r="AA70" s="158" t="str">
        <f>IF($AI70="","",IF(AND($AN70&lt;&gt;"",$AN70&lt;=EOMONTH(AA$12,0),$AO70&gt;=AA$12),IF(AND(INDEX('Roadmap Calc (Don’t Touch)'!$AA$2:$AX$151,$AI70,COLUMN()-COLUMN($J$16)+1)&gt;0,OR($D70="03. UX Discovery",$D70="04. UX Design")),IF(AND($H70&lt;&gt;"",$H70&lt;=EOMONTH(AA$12,0),$I70&gt;=AA$12),"ALL","PD+UX"),IF(AND($H70&lt;&gt;"",$H70&lt;=EOMONTH(AA$12,0),$I70&gt;=AA$12),"PD+DEV","PD")),IF(AND(INDEX('Roadmap Calc (Don’t Touch)'!$AA$2:$AX$151,$AI70,COLUMN()-COLUMN($J$16)+1)&gt;0,OR($D70="03. UX Discovery",$D70="04. UX Design")),IF(AND($H70&lt;&gt;"",$H70&lt;=EOMONTH(AA$12,0),$I70&gt;=AA$12),"UX+DEV","UX"),IF(AND($H70&lt;&gt;"",$H70&lt;=EOMONTH(AA$12,0),$I70&gt;=AA$12),"DEV",""))))</f>
      </c>
      <c r="AB70" s="158" t="str">
        <f>IF($AI70="","",IF(AND($AN70&lt;&gt;"",$AN70&lt;=EOMONTH(AB$12,0),$AO70&gt;=AB$12),IF(AND(INDEX('Roadmap Calc (Don’t Touch)'!$AA$2:$AX$151,$AI70,COLUMN()-COLUMN($J$16)+1)&gt;0,OR($D70="03. UX Discovery",$D70="04. UX Design")),IF(AND($H70&lt;&gt;"",$H70&lt;=EOMONTH(AB$12,0),$I70&gt;=AB$12),"ALL","PD+UX"),IF(AND($H70&lt;&gt;"",$H70&lt;=EOMONTH(AB$12,0),$I70&gt;=AB$12),"PD+DEV","PD")),IF(AND(INDEX('Roadmap Calc (Don’t Touch)'!$AA$2:$AX$151,$AI70,COLUMN()-COLUMN($J$16)+1)&gt;0,OR($D70="03. UX Discovery",$D70="04. UX Design")),IF(AND($H70&lt;&gt;"",$H70&lt;=EOMONTH(AB$12,0),$I70&gt;=AB$12),"UX+DEV","UX"),IF(AND($H70&lt;&gt;"",$H70&lt;=EOMONTH(AB$12,0),$I70&gt;=AB$12),"DEV",""))))</f>
      </c>
      <c r="AC70" s="158" t="str">
        <f>IF($AI70="","",IF(AND($AN70&lt;&gt;"",$AN70&lt;=EOMONTH(AC$12,0),$AO70&gt;=AC$12),IF(AND(INDEX('Roadmap Calc (Don’t Touch)'!$AA$2:$AX$151,$AI70,COLUMN()-COLUMN($J$16)+1)&gt;0,OR($D70="03. UX Discovery",$D70="04. UX Design")),IF(AND($H70&lt;&gt;"",$H70&lt;=EOMONTH(AC$12,0),$I70&gt;=AC$12),"ALL","PD+UX"),IF(AND($H70&lt;&gt;"",$H70&lt;=EOMONTH(AC$12,0),$I70&gt;=AC$12),"PD+DEV","PD")),IF(AND(INDEX('Roadmap Calc (Don’t Touch)'!$AA$2:$AX$151,$AI70,COLUMN()-COLUMN($J$16)+1)&gt;0,OR($D70="03. UX Discovery",$D70="04. UX Design")),IF(AND($H70&lt;&gt;"",$H70&lt;=EOMONTH(AC$12,0),$I70&gt;=AC$12),"UX+DEV","UX"),IF(AND($H70&lt;&gt;"",$H70&lt;=EOMONTH(AC$12,0),$I70&gt;=AC$12),"DEV",""))))</f>
      </c>
      <c r="AD70" s="158" t="str">
        <f>IF($AI70="","",IF(AND($AN70&lt;&gt;"",$AN70&lt;=EOMONTH(AD$12,0),$AO70&gt;=AD$12),IF(AND(INDEX('Roadmap Calc (Don’t Touch)'!$AA$2:$AX$151,$AI70,COLUMN()-COLUMN($J$16)+1)&gt;0,OR($D70="03. UX Discovery",$D70="04. UX Design")),IF(AND($H70&lt;&gt;"",$H70&lt;=EOMONTH(AD$12,0),$I70&gt;=AD$12),"ALL","PD+UX"),IF(AND($H70&lt;&gt;"",$H70&lt;=EOMONTH(AD$12,0),$I70&gt;=AD$12),"PD+DEV","PD")),IF(AND(INDEX('Roadmap Calc (Don’t Touch)'!$AA$2:$AX$151,$AI70,COLUMN()-COLUMN($J$16)+1)&gt;0,OR($D70="03. UX Discovery",$D70="04. UX Design")),IF(AND($H70&lt;&gt;"",$H70&lt;=EOMONTH(AD$12,0),$I70&gt;=AD$12),"UX+DEV","UX"),IF(AND($H70&lt;&gt;"",$H70&lt;=EOMONTH(AD$12,0),$I70&gt;=AD$12),"DEV",""))))</f>
      </c>
      <c r="AE70" s="158" t="str">
        <f>IF($AI70="","",IF(AND($AN70&lt;&gt;"",$AN70&lt;=EOMONTH(AE$12,0),$AO70&gt;=AE$12),IF(AND(INDEX('Roadmap Calc (Don’t Touch)'!$AA$2:$AX$151,$AI70,COLUMN()-COLUMN($J$16)+1)&gt;0,OR($D70="03. UX Discovery",$D70="04. UX Design")),IF(AND($H70&lt;&gt;"",$H70&lt;=EOMONTH(AE$12,0),$I70&gt;=AE$12),"ALL","PD+UX"),IF(AND($H70&lt;&gt;"",$H70&lt;=EOMONTH(AE$12,0),$I70&gt;=AE$12),"PD+DEV","PD")),IF(AND(INDEX('Roadmap Calc (Don’t Touch)'!$AA$2:$AX$151,$AI70,COLUMN()-COLUMN($J$16)+1)&gt;0,OR($D70="03. UX Discovery",$D70="04. UX Design")),IF(AND($H70&lt;&gt;"",$H70&lt;=EOMONTH(AE$12,0),$I70&gt;=AE$12),"UX+DEV","UX"),IF(AND($H70&lt;&gt;"",$H70&lt;=EOMONTH(AE$12,0),$I70&gt;=AE$12),"DEV",""))))</f>
      </c>
      <c r="AF70" s="158" t="str">
        <f>IF($AI70="","",IF(AND($AN70&lt;&gt;"",$AN70&lt;=EOMONTH(AF$12,0),$AO70&gt;=AF$12),IF(AND(INDEX('Roadmap Calc (Don’t Touch)'!$AA$2:$AX$151,$AI70,COLUMN()-COLUMN($J$16)+1)&gt;0,OR($D70="03. UX Discovery",$D70="04. UX Design")),IF(AND($H70&lt;&gt;"",$H70&lt;=EOMONTH(AF$12,0),$I70&gt;=AF$12),"ALL","PD+UX"),IF(AND($H70&lt;&gt;"",$H70&lt;=EOMONTH(AF$12,0),$I70&gt;=AF$12),"PD+DEV","PD")),IF(AND(INDEX('Roadmap Calc (Don’t Touch)'!$AA$2:$AX$151,$AI70,COLUMN()-COLUMN($J$16)+1)&gt;0,OR($D70="03. UX Discovery",$D70="04. UX Design")),IF(AND($H70&lt;&gt;"",$H70&lt;=EOMONTH(AF$12,0),$I70&gt;=AF$12),"UX+DEV","UX"),IF(AND($H70&lt;&gt;"",$H70&lt;=EOMONTH(AF$12,0),$I70&gt;=AF$12),"DEV",""))))</f>
      </c>
      <c r="AG70" s="158" t="str">
        <f>IF($AI70="","",IF(AND($AN70&lt;&gt;"",$AN70&lt;=EOMONTH(AG$12,0),$AO70&gt;=AG$12),IF(AND(INDEX('Roadmap Calc (Don’t Touch)'!$AA$2:$AX$151,$AI70,COLUMN()-COLUMN($J$16)+1)&gt;0,OR($D70="03. UX Discovery",$D70="04. UX Design")),IF(AND($H70&lt;&gt;"",$H70&lt;=EOMONTH(AG$12,0),$I70&gt;=AG$12),"ALL","PD+UX"),IF(AND($H70&lt;&gt;"",$H70&lt;=EOMONTH(AG$12,0),$I70&gt;=AG$12),"PD+DEV","PD")),IF(AND(INDEX('Roadmap Calc (Don’t Touch)'!$AA$2:$AX$151,$AI70,COLUMN()-COLUMN($J$16)+1)&gt;0,OR($D70="03. UX Discovery",$D70="04. UX Design")),IF(AND($H70&lt;&gt;"",$H70&lt;=EOMONTH(AG$12,0),$I70&gt;=AG$12),"UX+DEV","UX"),IF(AND($H70&lt;&gt;"",$H70&lt;=EOMONTH(AG$12,0),$I70&gt;=AG$12),"DEV",""))))</f>
      </c>
      <c r="AH70" s="145" t="str">
        <f>IF($AI70="","",INDEX('Roadmap Calc (Don’t Touch)'!$D$2:$D$151,$AI70))</f>
        <v/>
      </c>
      <c r="AI70" s="145" t="str">
        <f>IFERROR(MATCH(55,'Roadmap Calc (Don’t Touch)'!$O$2:$O$151,0),"")</f>
        <v/>
      </c>
      <c r="AJ70" s="145"/>
      <c r="AK70" s="145"/>
      <c r="AL70" s="145"/>
      <c r="AM70" s="145"/>
      <c r="AN70">
        <f>IF($AI70="","",IF(ISNUMBER(INDEX('Roadmap Calc (Don’t Touch)'!$BB$2:$BB$151,$AI70)),INDEX('Roadmap Calc (Don’t Touch)'!$BB$2:$BB$151,$AI70),""))</f>
      </c>
      <c r="AO70">
        <f>IF($AI70="","",IF(ISNUMBER(INDEX('Roadmap Calc (Don’t Touch)'!$BC$2:$BC$151,$AI70)),INDEX('Roadmap Calc (Don’t Touch)'!$BC$2:$BC$151,$AI70),""))</f>
      </c>
    </row>
    <row r="71" spans="1:41" ht="17" customHeight="1" x14ac:dyDescent="0.25">
      <c r="A71" s="152" t="str">
        <f>IF($AI71="","",IF($AH71=$AH70,"",IF(INDEX('Roadmap Calc (Don’t Touch)'!$U$2:$U$151,$AI71)=0,$AH71,HYPERLINK("#'Control (Don’t Touch)'!E"&amp;INDEX('Roadmap Calc (Don’t Touch)'!$U$2:$U$151,$AI71),$AH71))))</f>
        <v/>
      </c>
      <c r="B71" s="153" t="str">
        <f>IF($AI71="","",IF(INDEX('Roadmap Calc (Don’t Touch)'!$K$2:$K$151,$AI71)="",INDEX('Roadmap Calc (Don’t Touch)'!$B$2:$B$151,$AI71),HYPERLINK("https://jira.bnh.com/browse/"&amp;INDEX('Roadmap Calc (Don’t Touch)'!$K$2:$K$151,$AI71),INDEX('Roadmap Calc (Don’t Touch)'!$B$2:$B$151,$AI71))))</f>
        <v/>
      </c>
      <c r="C71" s="153" t="str">
        <f>IF($AI71="","",IF(INDEX('Roadmap Calc (Don’t Touch)'!$E$2:$E$151,$AI71)="","",HYPERLINK("https://jira.bnh.com/browse/"&amp;INDEX('Roadmap Calc (Don’t Touch)'!$E$2:$E$151,$AI71),INDEX('Roadmap Calc (Don’t Touch)'!$E$2:$E$151,$AI71))))</f>
        <v/>
      </c>
      <c r="D71" s="154" t="str">
        <f>IF($AI71="","",INDEX('Roadmap Calc (Don’t Touch)'!$F$2:$F$151,$AI71))</f>
        <v/>
      </c>
      <c r="E71" s="155" t="str">
        <f>IF($AI71="","",IF(ISNUMBER(INDEX('Roadmap Calc (Don’t Touch)'!$G$2:$G$151,$AI71)),INDEX('Roadmap Calc (Don’t Touch)'!$G$2:$G$151,$AI71),""))</f>
        <v/>
      </c>
      <c r="F71" s="155" t="str">
        <f>IF($AI71="","",IF(ISNUMBER(INDEX('Roadmap Calc (Don’t Touch)'!$H$2:$H$151,$AI71)),INDEX('Roadmap Calc (Don’t Touch)'!$H$2:$H$151,$AI71),""))</f>
        <v/>
      </c>
      <c r="G71" s="156" t="str">
        <f>IF($AI71="","",INDEX('Roadmap Calc (Don’t Touch)'!$T$2:$T$151,$AI71))</f>
        <v/>
      </c>
      <c r="H71" s="157" t="str">
        <f>IF($AI71="","",IF(ISNUMBER(INDEX('Roadmap Calc (Don’t Touch)'!$I$2:$I$151,$AI71)),INDEX('Roadmap Calc (Don’t Touch)'!$I$2:$I$151,$AI71),""))</f>
        <v/>
      </c>
      <c r="I71" s="157" t="str">
        <f>IF($AI71="","",IF(ISNUMBER(INDEX('Roadmap Calc (Don’t Touch)'!$J$2:$J$151,$AI71)),INDEX('Roadmap Calc (Don’t Touch)'!$J$2:$J$151,$AI71),""))</f>
        <v/>
      </c>
      <c r="J71" s="158" t="str">
        <f>IF($AI71="","",IF(AND($AN71&lt;&gt;"",$AN71&lt;=EOMONTH(J$12,0),$AO71&gt;=J$12),IF(AND(INDEX('Roadmap Calc (Don’t Touch)'!$AA$2:$AX$151,$AI71,COLUMN()-COLUMN($J$16)+1)&gt;0,OR($D71="03. UX Discovery",$D71="04. UX Design")),IF(AND($H71&lt;&gt;"",$H71&lt;=EOMONTH(J$12,0),$I71&gt;=J$12),"ALL","PD+UX"),IF(AND($H71&lt;&gt;"",$H71&lt;=EOMONTH(J$12,0),$I71&gt;=J$12),"PD+DEV","PD")),IF(AND(INDEX('Roadmap Calc (Don’t Touch)'!$AA$2:$AX$151,$AI71,COLUMN()-COLUMN($J$16)+1)&gt;0,OR($D71="03. UX Discovery",$D71="04. UX Design")),IF(AND($H71&lt;&gt;"",$H71&lt;=EOMONTH(J$12,0),$I71&gt;=J$12),"UX+DEV","UX"),IF(AND($H71&lt;&gt;"",$H71&lt;=EOMONTH(J$12,0),$I71&gt;=J$12),"DEV",""))))</f>
      </c>
      <c r="K71" s="158" t="str">
        <f>IF($AI71="","",IF(AND($AN71&lt;&gt;"",$AN71&lt;=EOMONTH(K$12,0),$AO71&gt;=K$12),IF(AND(INDEX('Roadmap Calc (Don’t Touch)'!$AA$2:$AX$151,$AI71,COLUMN()-COLUMN($J$16)+1)&gt;0,OR($D71="03. UX Discovery",$D71="04. UX Design")),IF(AND($H71&lt;&gt;"",$H71&lt;=EOMONTH(K$12,0),$I71&gt;=K$12),"ALL","PD+UX"),IF(AND($H71&lt;&gt;"",$H71&lt;=EOMONTH(K$12,0),$I71&gt;=K$12),"PD+DEV","PD")),IF(AND(INDEX('Roadmap Calc (Don’t Touch)'!$AA$2:$AX$151,$AI71,COLUMN()-COLUMN($J$16)+1)&gt;0,OR($D71="03. UX Discovery",$D71="04. UX Design")),IF(AND($H71&lt;&gt;"",$H71&lt;=EOMONTH(K$12,0),$I71&gt;=K$12),"UX+DEV","UX"),IF(AND($H71&lt;&gt;"",$H71&lt;=EOMONTH(K$12,0),$I71&gt;=K$12),"DEV",""))))</f>
      </c>
      <c r="L71" s="158" t="str">
        <f>IF($AI71="","",IF(AND($AN71&lt;&gt;"",$AN71&lt;=EOMONTH(L$12,0),$AO71&gt;=L$12),IF(AND(INDEX('Roadmap Calc (Don’t Touch)'!$AA$2:$AX$151,$AI71,COLUMN()-COLUMN($J$16)+1)&gt;0,OR($D71="03. UX Discovery",$D71="04. UX Design")),IF(AND($H71&lt;&gt;"",$H71&lt;=EOMONTH(L$12,0),$I71&gt;=L$12),"ALL","PD+UX"),IF(AND($H71&lt;&gt;"",$H71&lt;=EOMONTH(L$12,0),$I71&gt;=L$12),"PD+DEV","PD")),IF(AND(INDEX('Roadmap Calc (Don’t Touch)'!$AA$2:$AX$151,$AI71,COLUMN()-COLUMN($J$16)+1)&gt;0,OR($D71="03. UX Discovery",$D71="04. UX Design")),IF(AND($H71&lt;&gt;"",$H71&lt;=EOMONTH(L$12,0),$I71&gt;=L$12),"UX+DEV","UX"),IF(AND($H71&lt;&gt;"",$H71&lt;=EOMONTH(L$12,0),$I71&gt;=L$12),"DEV",""))))</f>
      </c>
      <c r="M71" s="158" t="str">
        <f>IF($AI71="","",IF(AND($AN71&lt;&gt;"",$AN71&lt;=EOMONTH(M$12,0),$AO71&gt;=M$12),IF(AND(INDEX('Roadmap Calc (Don’t Touch)'!$AA$2:$AX$151,$AI71,COLUMN()-COLUMN($J$16)+1)&gt;0,OR($D71="03. UX Discovery",$D71="04. UX Design")),IF(AND($H71&lt;&gt;"",$H71&lt;=EOMONTH(M$12,0),$I71&gt;=M$12),"ALL","PD+UX"),IF(AND($H71&lt;&gt;"",$H71&lt;=EOMONTH(M$12,0),$I71&gt;=M$12),"PD+DEV","PD")),IF(AND(INDEX('Roadmap Calc (Don’t Touch)'!$AA$2:$AX$151,$AI71,COLUMN()-COLUMN($J$16)+1)&gt;0,OR($D71="03. UX Discovery",$D71="04. UX Design")),IF(AND($H71&lt;&gt;"",$H71&lt;=EOMONTH(M$12,0),$I71&gt;=M$12),"UX+DEV","UX"),IF(AND($H71&lt;&gt;"",$H71&lt;=EOMONTH(M$12,0),$I71&gt;=M$12),"DEV",""))))</f>
      </c>
      <c r="N71" s="158" t="str">
        <f>IF($AI71="","",IF(AND($AN71&lt;&gt;"",$AN71&lt;=EOMONTH(N$12,0),$AO71&gt;=N$12),IF(AND(INDEX('Roadmap Calc (Don’t Touch)'!$AA$2:$AX$151,$AI71,COLUMN()-COLUMN($J$16)+1)&gt;0,OR($D71="03. UX Discovery",$D71="04. UX Design")),IF(AND($H71&lt;&gt;"",$H71&lt;=EOMONTH(N$12,0),$I71&gt;=N$12),"ALL","PD+UX"),IF(AND($H71&lt;&gt;"",$H71&lt;=EOMONTH(N$12,0),$I71&gt;=N$12),"PD+DEV","PD")),IF(AND(INDEX('Roadmap Calc (Don’t Touch)'!$AA$2:$AX$151,$AI71,COLUMN()-COLUMN($J$16)+1)&gt;0,OR($D71="03. UX Discovery",$D71="04. UX Design")),IF(AND($H71&lt;&gt;"",$H71&lt;=EOMONTH(N$12,0),$I71&gt;=N$12),"UX+DEV","UX"),IF(AND($H71&lt;&gt;"",$H71&lt;=EOMONTH(N$12,0),$I71&gt;=N$12),"DEV",""))))</f>
      </c>
      <c r="O71" s="158" t="str">
        <f>IF($AI71="","",IF(AND($AN71&lt;&gt;"",$AN71&lt;=EOMONTH(O$12,0),$AO71&gt;=O$12),IF(AND(INDEX('Roadmap Calc (Don’t Touch)'!$AA$2:$AX$151,$AI71,COLUMN()-COLUMN($J$16)+1)&gt;0,OR($D71="03. UX Discovery",$D71="04. UX Design")),IF(AND($H71&lt;&gt;"",$H71&lt;=EOMONTH(O$12,0),$I71&gt;=O$12),"ALL","PD+UX"),IF(AND($H71&lt;&gt;"",$H71&lt;=EOMONTH(O$12,0),$I71&gt;=O$12),"PD+DEV","PD")),IF(AND(INDEX('Roadmap Calc (Don’t Touch)'!$AA$2:$AX$151,$AI71,COLUMN()-COLUMN($J$16)+1)&gt;0,OR($D71="03. UX Discovery",$D71="04. UX Design")),IF(AND($H71&lt;&gt;"",$H71&lt;=EOMONTH(O$12,0),$I71&gt;=O$12),"UX+DEV","UX"),IF(AND($H71&lt;&gt;"",$H71&lt;=EOMONTH(O$12,0),$I71&gt;=O$12),"DEV",""))))</f>
      </c>
      <c r="P71" s="158" t="str">
        <f>IF($AI71="","",IF(AND($AN71&lt;&gt;"",$AN71&lt;=EOMONTH(P$12,0),$AO71&gt;=P$12),IF(AND(INDEX('Roadmap Calc (Don’t Touch)'!$AA$2:$AX$151,$AI71,COLUMN()-COLUMN($J$16)+1)&gt;0,OR($D71="03. UX Discovery",$D71="04. UX Design")),IF(AND($H71&lt;&gt;"",$H71&lt;=EOMONTH(P$12,0),$I71&gt;=P$12),"ALL","PD+UX"),IF(AND($H71&lt;&gt;"",$H71&lt;=EOMONTH(P$12,0),$I71&gt;=P$12),"PD+DEV","PD")),IF(AND(INDEX('Roadmap Calc (Don’t Touch)'!$AA$2:$AX$151,$AI71,COLUMN()-COLUMN($J$16)+1)&gt;0,OR($D71="03. UX Discovery",$D71="04. UX Design")),IF(AND($H71&lt;&gt;"",$H71&lt;=EOMONTH(P$12,0),$I71&gt;=P$12),"UX+DEV","UX"),IF(AND($H71&lt;&gt;"",$H71&lt;=EOMONTH(P$12,0),$I71&gt;=P$12),"DEV",""))))</f>
      </c>
      <c r="Q71" s="158" t="str">
        <f>IF($AI71="","",IF(AND($AN71&lt;&gt;"",$AN71&lt;=EOMONTH(Q$12,0),$AO71&gt;=Q$12),IF(AND(INDEX('Roadmap Calc (Don’t Touch)'!$AA$2:$AX$151,$AI71,COLUMN()-COLUMN($J$16)+1)&gt;0,OR($D71="03. UX Discovery",$D71="04. UX Design")),IF(AND($H71&lt;&gt;"",$H71&lt;=EOMONTH(Q$12,0),$I71&gt;=Q$12),"ALL","PD+UX"),IF(AND($H71&lt;&gt;"",$H71&lt;=EOMONTH(Q$12,0),$I71&gt;=Q$12),"PD+DEV","PD")),IF(AND(INDEX('Roadmap Calc (Don’t Touch)'!$AA$2:$AX$151,$AI71,COLUMN()-COLUMN($J$16)+1)&gt;0,OR($D71="03. UX Discovery",$D71="04. UX Design")),IF(AND($H71&lt;&gt;"",$H71&lt;=EOMONTH(Q$12,0),$I71&gt;=Q$12),"UX+DEV","UX"),IF(AND($H71&lt;&gt;"",$H71&lt;=EOMONTH(Q$12,0),$I71&gt;=Q$12),"DEV",""))))</f>
      </c>
      <c r="R71" s="158" t="str">
        <f>IF($AI71="","",IF(AND($AN71&lt;&gt;"",$AN71&lt;=EOMONTH(R$12,0),$AO71&gt;=R$12),IF(AND(INDEX('Roadmap Calc (Don’t Touch)'!$AA$2:$AX$151,$AI71,COLUMN()-COLUMN($J$16)+1)&gt;0,OR($D71="03. UX Discovery",$D71="04. UX Design")),IF(AND($H71&lt;&gt;"",$H71&lt;=EOMONTH(R$12,0),$I71&gt;=R$12),"ALL","PD+UX"),IF(AND($H71&lt;&gt;"",$H71&lt;=EOMONTH(R$12,0),$I71&gt;=R$12),"PD+DEV","PD")),IF(AND(INDEX('Roadmap Calc (Don’t Touch)'!$AA$2:$AX$151,$AI71,COLUMN()-COLUMN($J$16)+1)&gt;0,OR($D71="03. UX Discovery",$D71="04. UX Design")),IF(AND($H71&lt;&gt;"",$H71&lt;=EOMONTH(R$12,0),$I71&gt;=R$12),"UX+DEV","UX"),IF(AND($H71&lt;&gt;"",$H71&lt;=EOMONTH(R$12,0),$I71&gt;=R$12),"DEV",""))))</f>
      </c>
      <c r="S71" s="158" t="str">
        <f>IF($AI71="","",IF(AND($AN71&lt;&gt;"",$AN71&lt;=EOMONTH(S$12,0),$AO71&gt;=S$12),IF(AND(INDEX('Roadmap Calc (Don’t Touch)'!$AA$2:$AX$151,$AI71,COLUMN()-COLUMN($J$16)+1)&gt;0,OR($D71="03. UX Discovery",$D71="04. UX Design")),IF(AND($H71&lt;&gt;"",$H71&lt;=EOMONTH(S$12,0),$I71&gt;=S$12),"ALL","PD+UX"),IF(AND($H71&lt;&gt;"",$H71&lt;=EOMONTH(S$12,0),$I71&gt;=S$12),"PD+DEV","PD")),IF(AND(INDEX('Roadmap Calc (Don’t Touch)'!$AA$2:$AX$151,$AI71,COLUMN()-COLUMN($J$16)+1)&gt;0,OR($D71="03. UX Discovery",$D71="04. UX Design")),IF(AND($H71&lt;&gt;"",$H71&lt;=EOMONTH(S$12,0),$I71&gt;=S$12),"UX+DEV","UX"),IF(AND($H71&lt;&gt;"",$H71&lt;=EOMONTH(S$12,0),$I71&gt;=S$12),"DEV",""))))</f>
      </c>
      <c r="T71" s="158" t="str">
        <f>IF($AI71="","",IF(AND($AN71&lt;&gt;"",$AN71&lt;=EOMONTH(T$12,0),$AO71&gt;=T$12),IF(AND(INDEX('Roadmap Calc (Don’t Touch)'!$AA$2:$AX$151,$AI71,COLUMN()-COLUMN($J$16)+1)&gt;0,OR($D71="03. UX Discovery",$D71="04. UX Design")),IF(AND($H71&lt;&gt;"",$H71&lt;=EOMONTH(T$12,0),$I71&gt;=T$12),"ALL","PD+UX"),IF(AND($H71&lt;&gt;"",$H71&lt;=EOMONTH(T$12,0),$I71&gt;=T$12),"PD+DEV","PD")),IF(AND(INDEX('Roadmap Calc (Don’t Touch)'!$AA$2:$AX$151,$AI71,COLUMN()-COLUMN($J$16)+1)&gt;0,OR($D71="03. UX Discovery",$D71="04. UX Design")),IF(AND($H71&lt;&gt;"",$H71&lt;=EOMONTH(T$12,0),$I71&gt;=T$12),"UX+DEV","UX"),IF(AND($H71&lt;&gt;"",$H71&lt;=EOMONTH(T$12,0),$I71&gt;=T$12),"DEV",""))))</f>
      </c>
      <c r="U71" s="158" t="str">
        <f>IF($AI71="","",IF(AND($AN71&lt;&gt;"",$AN71&lt;=EOMONTH(U$12,0),$AO71&gt;=U$12),IF(AND(INDEX('Roadmap Calc (Don’t Touch)'!$AA$2:$AX$151,$AI71,COLUMN()-COLUMN($J$16)+1)&gt;0,OR($D71="03. UX Discovery",$D71="04. UX Design")),IF(AND($H71&lt;&gt;"",$H71&lt;=EOMONTH(U$12,0),$I71&gt;=U$12),"ALL","PD+UX"),IF(AND($H71&lt;&gt;"",$H71&lt;=EOMONTH(U$12,0),$I71&gt;=U$12),"PD+DEV","PD")),IF(AND(INDEX('Roadmap Calc (Don’t Touch)'!$AA$2:$AX$151,$AI71,COLUMN()-COLUMN($J$16)+1)&gt;0,OR($D71="03. UX Discovery",$D71="04. UX Design")),IF(AND($H71&lt;&gt;"",$H71&lt;=EOMONTH(U$12,0),$I71&gt;=U$12),"UX+DEV","UX"),IF(AND($H71&lt;&gt;"",$H71&lt;=EOMONTH(U$12,0),$I71&gt;=U$12),"DEV",""))))</f>
      </c>
      <c r="V71" s="158" t="str">
        <f>IF($AI71="","",IF(AND($AN71&lt;&gt;"",$AN71&lt;=EOMONTH(V$12,0),$AO71&gt;=V$12),IF(AND(INDEX('Roadmap Calc (Don’t Touch)'!$AA$2:$AX$151,$AI71,COLUMN()-COLUMN($J$16)+1)&gt;0,OR($D71="03. UX Discovery",$D71="04. UX Design")),IF(AND($H71&lt;&gt;"",$H71&lt;=EOMONTH(V$12,0),$I71&gt;=V$12),"ALL","PD+UX"),IF(AND($H71&lt;&gt;"",$H71&lt;=EOMONTH(V$12,0),$I71&gt;=V$12),"PD+DEV","PD")),IF(AND(INDEX('Roadmap Calc (Don’t Touch)'!$AA$2:$AX$151,$AI71,COLUMN()-COLUMN($J$16)+1)&gt;0,OR($D71="03. UX Discovery",$D71="04. UX Design")),IF(AND($H71&lt;&gt;"",$H71&lt;=EOMONTH(V$12,0),$I71&gt;=V$12),"UX+DEV","UX"),IF(AND($H71&lt;&gt;"",$H71&lt;=EOMONTH(V$12,0),$I71&gt;=V$12),"DEV",""))))</f>
      </c>
      <c r="W71" s="158" t="str">
        <f>IF($AI71="","",IF(AND($AN71&lt;&gt;"",$AN71&lt;=EOMONTH(W$12,0),$AO71&gt;=W$12),IF(AND(INDEX('Roadmap Calc (Don’t Touch)'!$AA$2:$AX$151,$AI71,COLUMN()-COLUMN($J$16)+1)&gt;0,OR($D71="03. UX Discovery",$D71="04. UX Design")),IF(AND($H71&lt;&gt;"",$H71&lt;=EOMONTH(W$12,0),$I71&gt;=W$12),"ALL","PD+UX"),IF(AND($H71&lt;&gt;"",$H71&lt;=EOMONTH(W$12,0),$I71&gt;=W$12),"PD+DEV","PD")),IF(AND(INDEX('Roadmap Calc (Don’t Touch)'!$AA$2:$AX$151,$AI71,COLUMN()-COLUMN($J$16)+1)&gt;0,OR($D71="03. UX Discovery",$D71="04. UX Design")),IF(AND($H71&lt;&gt;"",$H71&lt;=EOMONTH(W$12,0),$I71&gt;=W$12),"UX+DEV","UX"),IF(AND($H71&lt;&gt;"",$H71&lt;=EOMONTH(W$12,0),$I71&gt;=W$12),"DEV",""))))</f>
      </c>
      <c r="X71" s="158" t="str">
        <f>IF($AI71="","",IF(AND($AN71&lt;&gt;"",$AN71&lt;=EOMONTH(X$12,0),$AO71&gt;=X$12),IF(AND(INDEX('Roadmap Calc (Don’t Touch)'!$AA$2:$AX$151,$AI71,COLUMN()-COLUMN($J$16)+1)&gt;0,OR($D71="03. UX Discovery",$D71="04. UX Design")),IF(AND($H71&lt;&gt;"",$H71&lt;=EOMONTH(X$12,0),$I71&gt;=X$12),"ALL","PD+UX"),IF(AND($H71&lt;&gt;"",$H71&lt;=EOMONTH(X$12,0),$I71&gt;=X$12),"PD+DEV","PD")),IF(AND(INDEX('Roadmap Calc (Don’t Touch)'!$AA$2:$AX$151,$AI71,COLUMN()-COLUMN($J$16)+1)&gt;0,OR($D71="03. UX Discovery",$D71="04. UX Design")),IF(AND($H71&lt;&gt;"",$H71&lt;=EOMONTH(X$12,0),$I71&gt;=X$12),"UX+DEV","UX"),IF(AND($H71&lt;&gt;"",$H71&lt;=EOMONTH(X$12,0),$I71&gt;=X$12),"DEV",""))))</f>
      </c>
      <c r="Y71" s="158" t="str">
        <f>IF($AI71="","",IF(AND($AN71&lt;&gt;"",$AN71&lt;=EOMONTH(Y$12,0),$AO71&gt;=Y$12),IF(AND(INDEX('Roadmap Calc (Don’t Touch)'!$AA$2:$AX$151,$AI71,COLUMN()-COLUMN($J$16)+1)&gt;0,OR($D71="03. UX Discovery",$D71="04. UX Design")),IF(AND($H71&lt;&gt;"",$H71&lt;=EOMONTH(Y$12,0),$I71&gt;=Y$12),"ALL","PD+UX"),IF(AND($H71&lt;&gt;"",$H71&lt;=EOMONTH(Y$12,0),$I71&gt;=Y$12),"PD+DEV","PD")),IF(AND(INDEX('Roadmap Calc (Don’t Touch)'!$AA$2:$AX$151,$AI71,COLUMN()-COLUMN($J$16)+1)&gt;0,OR($D71="03. UX Discovery",$D71="04. UX Design")),IF(AND($H71&lt;&gt;"",$H71&lt;=EOMONTH(Y$12,0),$I71&gt;=Y$12),"UX+DEV","UX"),IF(AND($H71&lt;&gt;"",$H71&lt;=EOMONTH(Y$12,0),$I71&gt;=Y$12),"DEV",""))))</f>
      </c>
      <c r="Z71" s="158" t="str">
        <f>IF($AI71="","",IF(AND($AN71&lt;&gt;"",$AN71&lt;=EOMONTH(Z$12,0),$AO71&gt;=Z$12),IF(AND(INDEX('Roadmap Calc (Don’t Touch)'!$AA$2:$AX$151,$AI71,COLUMN()-COLUMN($J$16)+1)&gt;0,OR($D71="03. UX Discovery",$D71="04. UX Design")),IF(AND($H71&lt;&gt;"",$H71&lt;=EOMONTH(Z$12,0),$I71&gt;=Z$12),"ALL","PD+UX"),IF(AND($H71&lt;&gt;"",$H71&lt;=EOMONTH(Z$12,0),$I71&gt;=Z$12),"PD+DEV","PD")),IF(AND(INDEX('Roadmap Calc (Don’t Touch)'!$AA$2:$AX$151,$AI71,COLUMN()-COLUMN($J$16)+1)&gt;0,OR($D71="03. UX Discovery",$D71="04. UX Design")),IF(AND($H71&lt;&gt;"",$H71&lt;=EOMONTH(Z$12,0),$I71&gt;=Z$12),"UX+DEV","UX"),IF(AND($H71&lt;&gt;"",$H71&lt;=EOMONTH(Z$12,0),$I71&gt;=Z$12),"DEV",""))))</f>
      </c>
      <c r="AA71" s="158" t="str">
        <f>IF($AI71="","",IF(AND($AN71&lt;&gt;"",$AN71&lt;=EOMONTH(AA$12,0),$AO71&gt;=AA$12),IF(AND(INDEX('Roadmap Calc (Don’t Touch)'!$AA$2:$AX$151,$AI71,COLUMN()-COLUMN($J$16)+1)&gt;0,OR($D71="03. UX Discovery",$D71="04. UX Design")),IF(AND($H71&lt;&gt;"",$H71&lt;=EOMONTH(AA$12,0),$I71&gt;=AA$12),"ALL","PD+UX"),IF(AND($H71&lt;&gt;"",$H71&lt;=EOMONTH(AA$12,0),$I71&gt;=AA$12),"PD+DEV","PD")),IF(AND(INDEX('Roadmap Calc (Don’t Touch)'!$AA$2:$AX$151,$AI71,COLUMN()-COLUMN($J$16)+1)&gt;0,OR($D71="03. UX Discovery",$D71="04. UX Design")),IF(AND($H71&lt;&gt;"",$H71&lt;=EOMONTH(AA$12,0),$I71&gt;=AA$12),"UX+DEV","UX"),IF(AND($H71&lt;&gt;"",$H71&lt;=EOMONTH(AA$12,0),$I71&gt;=AA$12),"DEV",""))))</f>
      </c>
      <c r="AB71" s="158" t="str">
        <f>IF($AI71="","",IF(AND($AN71&lt;&gt;"",$AN71&lt;=EOMONTH(AB$12,0),$AO71&gt;=AB$12),IF(AND(INDEX('Roadmap Calc (Don’t Touch)'!$AA$2:$AX$151,$AI71,COLUMN()-COLUMN($J$16)+1)&gt;0,OR($D71="03. UX Discovery",$D71="04. UX Design")),IF(AND($H71&lt;&gt;"",$H71&lt;=EOMONTH(AB$12,0),$I71&gt;=AB$12),"ALL","PD+UX"),IF(AND($H71&lt;&gt;"",$H71&lt;=EOMONTH(AB$12,0),$I71&gt;=AB$12),"PD+DEV","PD")),IF(AND(INDEX('Roadmap Calc (Don’t Touch)'!$AA$2:$AX$151,$AI71,COLUMN()-COLUMN($J$16)+1)&gt;0,OR($D71="03. UX Discovery",$D71="04. UX Design")),IF(AND($H71&lt;&gt;"",$H71&lt;=EOMONTH(AB$12,0),$I71&gt;=AB$12),"UX+DEV","UX"),IF(AND($H71&lt;&gt;"",$H71&lt;=EOMONTH(AB$12,0),$I71&gt;=AB$12),"DEV",""))))</f>
      </c>
      <c r="AC71" s="158" t="str">
        <f>IF($AI71="","",IF(AND($AN71&lt;&gt;"",$AN71&lt;=EOMONTH(AC$12,0),$AO71&gt;=AC$12),IF(AND(INDEX('Roadmap Calc (Don’t Touch)'!$AA$2:$AX$151,$AI71,COLUMN()-COLUMN($J$16)+1)&gt;0,OR($D71="03. UX Discovery",$D71="04. UX Design")),IF(AND($H71&lt;&gt;"",$H71&lt;=EOMONTH(AC$12,0),$I71&gt;=AC$12),"ALL","PD+UX"),IF(AND($H71&lt;&gt;"",$H71&lt;=EOMONTH(AC$12,0),$I71&gt;=AC$12),"PD+DEV","PD")),IF(AND(INDEX('Roadmap Calc (Don’t Touch)'!$AA$2:$AX$151,$AI71,COLUMN()-COLUMN($J$16)+1)&gt;0,OR($D71="03. UX Discovery",$D71="04. UX Design")),IF(AND($H71&lt;&gt;"",$H71&lt;=EOMONTH(AC$12,0),$I71&gt;=AC$12),"UX+DEV","UX"),IF(AND($H71&lt;&gt;"",$H71&lt;=EOMONTH(AC$12,0),$I71&gt;=AC$12),"DEV",""))))</f>
      </c>
      <c r="AD71" s="158" t="str">
        <f>IF($AI71="","",IF(AND($AN71&lt;&gt;"",$AN71&lt;=EOMONTH(AD$12,0),$AO71&gt;=AD$12),IF(AND(INDEX('Roadmap Calc (Don’t Touch)'!$AA$2:$AX$151,$AI71,COLUMN()-COLUMN($J$16)+1)&gt;0,OR($D71="03. UX Discovery",$D71="04. UX Design")),IF(AND($H71&lt;&gt;"",$H71&lt;=EOMONTH(AD$12,0),$I71&gt;=AD$12),"ALL","PD+UX"),IF(AND($H71&lt;&gt;"",$H71&lt;=EOMONTH(AD$12,0),$I71&gt;=AD$12),"PD+DEV","PD")),IF(AND(INDEX('Roadmap Calc (Don’t Touch)'!$AA$2:$AX$151,$AI71,COLUMN()-COLUMN($J$16)+1)&gt;0,OR($D71="03. UX Discovery",$D71="04. UX Design")),IF(AND($H71&lt;&gt;"",$H71&lt;=EOMONTH(AD$12,0),$I71&gt;=AD$12),"UX+DEV","UX"),IF(AND($H71&lt;&gt;"",$H71&lt;=EOMONTH(AD$12,0),$I71&gt;=AD$12),"DEV",""))))</f>
      </c>
      <c r="AE71" s="158" t="str">
        <f>IF($AI71="","",IF(AND($AN71&lt;&gt;"",$AN71&lt;=EOMONTH(AE$12,0),$AO71&gt;=AE$12),IF(AND(INDEX('Roadmap Calc (Don’t Touch)'!$AA$2:$AX$151,$AI71,COLUMN()-COLUMN($J$16)+1)&gt;0,OR($D71="03. UX Discovery",$D71="04. UX Design")),IF(AND($H71&lt;&gt;"",$H71&lt;=EOMONTH(AE$12,0),$I71&gt;=AE$12),"ALL","PD+UX"),IF(AND($H71&lt;&gt;"",$H71&lt;=EOMONTH(AE$12,0),$I71&gt;=AE$12),"PD+DEV","PD")),IF(AND(INDEX('Roadmap Calc (Don’t Touch)'!$AA$2:$AX$151,$AI71,COLUMN()-COLUMN($J$16)+1)&gt;0,OR($D71="03. UX Discovery",$D71="04. UX Design")),IF(AND($H71&lt;&gt;"",$H71&lt;=EOMONTH(AE$12,0),$I71&gt;=AE$12),"UX+DEV","UX"),IF(AND($H71&lt;&gt;"",$H71&lt;=EOMONTH(AE$12,0),$I71&gt;=AE$12),"DEV",""))))</f>
      </c>
      <c r="AF71" s="158" t="str">
        <f>IF($AI71="","",IF(AND($AN71&lt;&gt;"",$AN71&lt;=EOMONTH(AF$12,0),$AO71&gt;=AF$12),IF(AND(INDEX('Roadmap Calc (Don’t Touch)'!$AA$2:$AX$151,$AI71,COLUMN()-COLUMN($J$16)+1)&gt;0,OR($D71="03. UX Discovery",$D71="04. UX Design")),IF(AND($H71&lt;&gt;"",$H71&lt;=EOMONTH(AF$12,0),$I71&gt;=AF$12),"ALL","PD+UX"),IF(AND($H71&lt;&gt;"",$H71&lt;=EOMONTH(AF$12,0),$I71&gt;=AF$12),"PD+DEV","PD")),IF(AND(INDEX('Roadmap Calc (Don’t Touch)'!$AA$2:$AX$151,$AI71,COLUMN()-COLUMN($J$16)+1)&gt;0,OR($D71="03. UX Discovery",$D71="04. UX Design")),IF(AND($H71&lt;&gt;"",$H71&lt;=EOMONTH(AF$12,0),$I71&gt;=AF$12),"UX+DEV","UX"),IF(AND($H71&lt;&gt;"",$H71&lt;=EOMONTH(AF$12,0),$I71&gt;=AF$12),"DEV",""))))</f>
      </c>
      <c r="AG71" s="158" t="str">
        <f>IF($AI71="","",IF(AND($AN71&lt;&gt;"",$AN71&lt;=EOMONTH(AG$12,0),$AO71&gt;=AG$12),IF(AND(INDEX('Roadmap Calc (Don’t Touch)'!$AA$2:$AX$151,$AI71,COLUMN()-COLUMN($J$16)+1)&gt;0,OR($D71="03. UX Discovery",$D71="04. UX Design")),IF(AND($H71&lt;&gt;"",$H71&lt;=EOMONTH(AG$12,0),$I71&gt;=AG$12),"ALL","PD+UX"),IF(AND($H71&lt;&gt;"",$H71&lt;=EOMONTH(AG$12,0),$I71&gt;=AG$12),"PD+DEV","PD")),IF(AND(INDEX('Roadmap Calc (Don’t Touch)'!$AA$2:$AX$151,$AI71,COLUMN()-COLUMN($J$16)+1)&gt;0,OR($D71="03. UX Discovery",$D71="04. UX Design")),IF(AND($H71&lt;&gt;"",$H71&lt;=EOMONTH(AG$12,0),$I71&gt;=AG$12),"UX+DEV","UX"),IF(AND($H71&lt;&gt;"",$H71&lt;=EOMONTH(AG$12,0),$I71&gt;=AG$12),"DEV",""))))</f>
      </c>
      <c r="AH71" s="145" t="str">
        <f>IF($AI71="","",INDEX('Roadmap Calc (Don’t Touch)'!$D$2:$D$151,$AI71))</f>
        <v/>
      </c>
      <c r="AI71" s="145" t="str">
        <f>IFERROR(MATCH(56,'Roadmap Calc (Don’t Touch)'!$O$2:$O$151,0),"")</f>
        <v/>
      </c>
      <c r="AJ71" s="145"/>
      <c r="AK71" s="145"/>
      <c r="AL71" s="145"/>
      <c r="AM71" s="145"/>
      <c r="AN71">
        <f>IF($AI71="","",IF(ISNUMBER(INDEX('Roadmap Calc (Don’t Touch)'!$BB$2:$BB$151,$AI71)),INDEX('Roadmap Calc (Don’t Touch)'!$BB$2:$BB$151,$AI71),""))</f>
      </c>
      <c r="AO71">
        <f>IF($AI71="","",IF(ISNUMBER(INDEX('Roadmap Calc (Don’t Touch)'!$BC$2:$BC$151,$AI71)),INDEX('Roadmap Calc (Don’t Touch)'!$BC$2:$BC$151,$AI71),""))</f>
      </c>
    </row>
    <row r="72" spans="1:41" ht="17" customHeight="1" x14ac:dyDescent="0.25">
      <c r="A72" s="152" t="str">
        <f>IF($AI72="","",IF($AH72=$AH71,"",IF(INDEX('Roadmap Calc (Don’t Touch)'!$U$2:$U$151,$AI72)=0,$AH72,HYPERLINK("#'Control (Don’t Touch)'!E"&amp;INDEX('Roadmap Calc (Don’t Touch)'!$U$2:$U$151,$AI72),$AH72))))</f>
        <v/>
      </c>
      <c r="B72" s="153" t="str">
        <f>IF($AI72="","",IF(INDEX('Roadmap Calc (Don’t Touch)'!$K$2:$K$151,$AI72)="",INDEX('Roadmap Calc (Don’t Touch)'!$B$2:$B$151,$AI72),HYPERLINK("https://jira.bnh.com/browse/"&amp;INDEX('Roadmap Calc (Don’t Touch)'!$K$2:$K$151,$AI72),INDEX('Roadmap Calc (Don’t Touch)'!$B$2:$B$151,$AI72))))</f>
        <v/>
      </c>
      <c r="C72" s="153" t="str">
        <f>IF($AI72="","",IF(INDEX('Roadmap Calc (Don’t Touch)'!$E$2:$E$151,$AI72)="","",HYPERLINK("https://jira.bnh.com/browse/"&amp;INDEX('Roadmap Calc (Don’t Touch)'!$E$2:$E$151,$AI72),INDEX('Roadmap Calc (Don’t Touch)'!$E$2:$E$151,$AI72))))</f>
        <v/>
      </c>
      <c r="D72" s="154" t="str">
        <f>IF($AI72="","",INDEX('Roadmap Calc (Don’t Touch)'!$F$2:$F$151,$AI72))</f>
        <v/>
      </c>
      <c r="E72" s="155" t="str">
        <f>IF($AI72="","",IF(ISNUMBER(INDEX('Roadmap Calc (Don’t Touch)'!$G$2:$G$151,$AI72)),INDEX('Roadmap Calc (Don’t Touch)'!$G$2:$G$151,$AI72),""))</f>
        <v/>
      </c>
      <c r="F72" s="155" t="str">
        <f>IF($AI72="","",IF(ISNUMBER(INDEX('Roadmap Calc (Don’t Touch)'!$H$2:$H$151,$AI72)),INDEX('Roadmap Calc (Don’t Touch)'!$H$2:$H$151,$AI72),""))</f>
        <v/>
      </c>
      <c r="G72" s="156" t="str">
        <f>IF($AI72="","",INDEX('Roadmap Calc (Don’t Touch)'!$T$2:$T$151,$AI72))</f>
        <v/>
      </c>
      <c r="H72" s="157" t="str">
        <f>IF($AI72="","",IF(ISNUMBER(INDEX('Roadmap Calc (Don’t Touch)'!$I$2:$I$151,$AI72)),INDEX('Roadmap Calc (Don’t Touch)'!$I$2:$I$151,$AI72),""))</f>
        <v/>
      </c>
      <c r="I72" s="157" t="str">
        <f>IF($AI72="","",IF(ISNUMBER(INDEX('Roadmap Calc (Don’t Touch)'!$J$2:$J$151,$AI72)),INDEX('Roadmap Calc (Don’t Touch)'!$J$2:$J$151,$AI72),""))</f>
        <v/>
      </c>
      <c r="J72" s="158" t="str">
        <f>IF($AI72="","",IF(AND($AN72&lt;&gt;"",$AN72&lt;=EOMONTH(J$12,0),$AO72&gt;=J$12),IF(AND(INDEX('Roadmap Calc (Don’t Touch)'!$AA$2:$AX$151,$AI72,COLUMN()-COLUMN($J$16)+1)&gt;0,OR($D72="03. UX Discovery",$D72="04. UX Design")),IF(AND($H72&lt;&gt;"",$H72&lt;=EOMONTH(J$12,0),$I72&gt;=J$12),"ALL","PD+UX"),IF(AND($H72&lt;&gt;"",$H72&lt;=EOMONTH(J$12,0),$I72&gt;=J$12),"PD+DEV","PD")),IF(AND(INDEX('Roadmap Calc (Don’t Touch)'!$AA$2:$AX$151,$AI72,COLUMN()-COLUMN($J$16)+1)&gt;0,OR($D72="03. UX Discovery",$D72="04. UX Design")),IF(AND($H72&lt;&gt;"",$H72&lt;=EOMONTH(J$12,0),$I72&gt;=J$12),"UX+DEV","UX"),IF(AND($H72&lt;&gt;"",$H72&lt;=EOMONTH(J$12,0),$I72&gt;=J$12),"DEV",""))))</f>
      </c>
      <c r="K72" s="158" t="str">
        <f>IF($AI72="","",IF(AND($AN72&lt;&gt;"",$AN72&lt;=EOMONTH(K$12,0),$AO72&gt;=K$12),IF(AND(INDEX('Roadmap Calc (Don’t Touch)'!$AA$2:$AX$151,$AI72,COLUMN()-COLUMN($J$16)+1)&gt;0,OR($D72="03. UX Discovery",$D72="04. UX Design")),IF(AND($H72&lt;&gt;"",$H72&lt;=EOMONTH(K$12,0),$I72&gt;=K$12),"ALL","PD+UX"),IF(AND($H72&lt;&gt;"",$H72&lt;=EOMONTH(K$12,0),$I72&gt;=K$12),"PD+DEV","PD")),IF(AND(INDEX('Roadmap Calc (Don’t Touch)'!$AA$2:$AX$151,$AI72,COLUMN()-COLUMN($J$16)+1)&gt;0,OR($D72="03. UX Discovery",$D72="04. UX Design")),IF(AND($H72&lt;&gt;"",$H72&lt;=EOMONTH(K$12,0),$I72&gt;=K$12),"UX+DEV","UX"),IF(AND($H72&lt;&gt;"",$H72&lt;=EOMONTH(K$12,0),$I72&gt;=K$12),"DEV",""))))</f>
      </c>
      <c r="L72" s="158" t="str">
        <f>IF($AI72="","",IF(AND($AN72&lt;&gt;"",$AN72&lt;=EOMONTH(L$12,0),$AO72&gt;=L$12),IF(AND(INDEX('Roadmap Calc (Don’t Touch)'!$AA$2:$AX$151,$AI72,COLUMN()-COLUMN($J$16)+1)&gt;0,OR($D72="03. UX Discovery",$D72="04. UX Design")),IF(AND($H72&lt;&gt;"",$H72&lt;=EOMONTH(L$12,0),$I72&gt;=L$12),"ALL","PD+UX"),IF(AND($H72&lt;&gt;"",$H72&lt;=EOMONTH(L$12,0),$I72&gt;=L$12),"PD+DEV","PD")),IF(AND(INDEX('Roadmap Calc (Don’t Touch)'!$AA$2:$AX$151,$AI72,COLUMN()-COLUMN($J$16)+1)&gt;0,OR($D72="03. UX Discovery",$D72="04. UX Design")),IF(AND($H72&lt;&gt;"",$H72&lt;=EOMONTH(L$12,0),$I72&gt;=L$12),"UX+DEV","UX"),IF(AND($H72&lt;&gt;"",$H72&lt;=EOMONTH(L$12,0),$I72&gt;=L$12),"DEV",""))))</f>
      </c>
      <c r="M72" s="158" t="str">
        <f>IF($AI72="","",IF(AND($AN72&lt;&gt;"",$AN72&lt;=EOMONTH(M$12,0),$AO72&gt;=M$12),IF(AND(INDEX('Roadmap Calc (Don’t Touch)'!$AA$2:$AX$151,$AI72,COLUMN()-COLUMN($J$16)+1)&gt;0,OR($D72="03. UX Discovery",$D72="04. UX Design")),IF(AND($H72&lt;&gt;"",$H72&lt;=EOMONTH(M$12,0),$I72&gt;=M$12),"ALL","PD+UX"),IF(AND($H72&lt;&gt;"",$H72&lt;=EOMONTH(M$12,0),$I72&gt;=M$12),"PD+DEV","PD")),IF(AND(INDEX('Roadmap Calc (Don’t Touch)'!$AA$2:$AX$151,$AI72,COLUMN()-COLUMN($J$16)+1)&gt;0,OR($D72="03. UX Discovery",$D72="04. UX Design")),IF(AND($H72&lt;&gt;"",$H72&lt;=EOMONTH(M$12,0),$I72&gt;=M$12),"UX+DEV","UX"),IF(AND($H72&lt;&gt;"",$H72&lt;=EOMONTH(M$12,0),$I72&gt;=M$12),"DEV",""))))</f>
      </c>
      <c r="N72" s="158" t="str">
        <f>IF($AI72="","",IF(AND($AN72&lt;&gt;"",$AN72&lt;=EOMONTH(N$12,0),$AO72&gt;=N$12),IF(AND(INDEX('Roadmap Calc (Don’t Touch)'!$AA$2:$AX$151,$AI72,COLUMN()-COLUMN($J$16)+1)&gt;0,OR($D72="03. UX Discovery",$D72="04. UX Design")),IF(AND($H72&lt;&gt;"",$H72&lt;=EOMONTH(N$12,0),$I72&gt;=N$12),"ALL","PD+UX"),IF(AND($H72&lt;&gt;"",$H72&lt;=EOMONTH(N$12,0),$I72&gt;=N$12),"PD+DEV","PD")),IF(AND(INDEX('Roadmap Calc (Don’t Touch)'!$AA$2:$AX$151,$AI72,COLUMN()-COLUMN($J$16)+1)&gt;0,OR($D72="03. UX Discovery",$D72="04. UX Design")),IF(AND($H72&lt;&gt;"",$H72&lt;=EOMONTH(N$12,0),$I72&gt;=N$12),"UX+DEV","UX"),IF(AND($H72&lt;&gt;"",$H72&lt;=EOMONTH(N$12,0),$I72&gt;=N$12),"DEV",""))))</f>
      </c>
      <c r="O72" s="158" t="str">
        <f>IF($AI72="","",IF(AND($AN72&lt;&gt;"",$AN72&lt;=EOMONTH(O$12,0),$AO72&gt;=O$12),IF(AND(INDEX('Roadmap Calc (Don’t Touch)'!$AA$2:$AX$151,$AI72,COLUMN()-COLUMN($J$16)+1)&gt;0,OR($D72="03. UX Discovery",$D72="04. UX Design")),IF(AND($H72&lt;&gt;"",$H72&lt;=EOMONTH(O$12,0),$I72&gt;=O$12),"ALL","PD+UX"),IF(AND($H72&lt;&gt;"",$H72&lt;=EOMONTH(O$12,0),$I72&gt;=O$12),"PD+DEV","PD")),IF(AND(INDEX('Roadmap Calc (Don’t Touch)'!$AA$2:$AX$151,$AI72,COLUMN()-COLUMN($J$16)+1)&gt;0,OR($D72="03. UX Discovery",$D72="04. UX Design")),IF(AND($H72&lt;&gt;"",$H72&lt;=EOMONTH(O$12,0),$I72&gt;=O$12),"UX+DEV","UX"),IF(AND($H72&lt;&gt;"",$H72&lt;=EOMONTH(O$12,0),$I72&gt;=O$12),"DEV",""))))</f>
      </c>
      <c r="P72" s="158" t="str">
        <f>IF($AI72="","",IF(AND($AN72&lt;&gt;"",$AN72&lt;=EOMONTH(P$12,0),$AO72&gt;=P$12),IF(AND(INDEX('Roadmap Calc (Don’t Touch)'!$AA$2:$AX$151,$AI72,COLUMN()-COLUMN($J$16)+1)&gt;0,OR($D72="03. UX Discovery",$D72="04. UX Design")),IF(AND($H72&lt;&gt;"",$H72&lt;=EOMONTH(P$12,0),$I72&gt;=P$12),"ALL","PD+UX"),IF(AND($H72&lt;&gt;"",$H72&lt;=EOMONTH(P$12,0),$I72&gt;=P$12),"PD+DEV","PD")),IF(AND(INDEX('Roadmap Calc (Don’t Touch)'!$AA$2:$AX$151,$AI72,COLUMN()-COLUMN($J$16)+1)&gt;0,OR($D72="03. UX Discovery",$D72="04. UX Design")),IF(AND($H72&lt;&gt;"",$H72&lt;=EOMONTH(P$12,0),$I72&gt;=P$12),"UX+DEV","UX"),IF(AND($H72&lt;&gt;"",$H72&lt;=EOMONTH(P$12,0),$I72&gt;=P$12),"DEV",""))))</f>
      </c>
      <c r="Q72" s="158" t="str">
        <f>IF($AI72="","",IF(AND($AN72&lt;&gt;"",$AN72&lt;=EOMONTH(Q$12,0),$AO72&gt;=Q$12),IF(AND(INDEX('Roadmap Calc (Don’t Touch)'!$AA$2:$AX$151,$AI72,COLUMN()-COLUMN($J$16)+1)&gt;0,OR($D72="03. UX Discovery",$D72="04. UX Design")),IF(AND($H72&lt;&gt;"",$H72&lt;=EOMONTH(Q$12,0),$I72&gt;=Q$12),"ALL","PD+UX"),IF(AND($H72&lt;&gt;"",$H72&lt;=EOMONTH(Q$12,0),$I72&gt;=Q$12),"PD+DEV","PD")),IF(AND(INDEX('Roadmap Calc (Don’t Touch)'!$AA$2:$AX$151,$AI72,COLUMN()-COLUMN($J$16)+1)&gt;0,OR($D72="03. UX Discovery",$D72="04. UX Design")),IF(AND($H72&lt;&gt;"",$H72&lt;=EOMONTH(Q$12,0),$I72&gt;=Q$12),"UX+DEV","UX"),IF(AND($H72&lt;&gt;"",$H72&lt;=EOMONTH(Q$12,0),$I72&gt;=Q$12),"DEV",""))))</f>
      </c>
      <c r="R72" s="158" t="str">
        <f>IF($AI72="","",IF(AND($AN72&lt;&gt;"",$AN72&lt;=EOMONTH(R$12,0),$AO72&gt;=R$12),IF(AND(INDEX('Roadmap Calc (Don’t Touch)'!$AA$2:$AX$151,$AI72,COLUMN()-COLUMN($J$16)+1)&gt;0,OR($D72="03. UX Discovery",$D72="04. UX Design")),IF(AND($H72&lt;&gt;"",$H72&lt;=EOMONTH(R$12,0),$I72&gt;=R$12),"ALL","PD+UX"),IF(AND($H72&lt;&gt;"",$H72&lt;=EOMONTH(R$12,0),$I72&gt;=R$12),"PD+DEV","PD")),IF(AND(INDEX('Roadmap Calc (Don’t Touch)'!$AA$2:$AX$151,$AI72,COLUMN()-COLUMN($J$16)+1)&gt;0,OR($D72="03. UX Discovery",$D72="04. UX Design")),IF(AND($H72&lt;&gt;"",$H72&lt;=EOMONTH(R$12,0),$I72&gt;=R$12),"UX+DEV","UX"),IF(AND($H72&lt;&gt;"",$H72&lt;=EOMONTH(R$12,0),$I72&gt;=R$12),"DEV",""))))</f>
      </c>
      <c r="S72" s="158" t="str">
        <f>IF($AI72="","",IF(AND($AN72&lt;&gt;"",$AN72&lt;=EOMONTH(S$12,0),$AO72&gt;=S$12),IF(AND(INDEX('Roadmap Calc (Don’t Touch)'!$AA$2:$AX$151,$AI72,COLUMN()-COLUMN($J$16)+1)&gt;0,OR($D72="03. UX Discovery",$D72="04. UX Design")),IF(AND($H72&lt;&gt;"",$H72&lt;=EOMONTH(S$12,0),$I72&gt;=S$12),"ALL","PD+UX"),IF(AND($H72&lt;&gt;"",$H72&lt;=EOMONTH(S$12,0),$I72&gt;=S$12),"PD+DEV","PD")),IF(AND(INDEX('Roadmap Calc (Don’t Touch)'!$AA$2:$AX$151,$AI72,COLUMN()-COLUMN($J$16)+1)&gt;0,OR($D72="03. UX Discovery",$D72="04. UX Design")),IF(AND($H72&lt;&gt;"",$H72&lt;=EOMONTH(S$12,0),$I72&gt;=S$12),"UX+DEV","UX"),IF(AND($H72&lt;&gt;"",$H72&lt;=EOMONTH(S$12,0),$I72&gt;=S$12),"DEV",""))))</f>
      </c>
      <c r="T72" s="158" t="str">
        <f>IF($AI72="","",IF(AND($AN72&lt;&gt;"",$AN72&lt;=EOMONTH(T$12,0),$AO72&gt;=T$12),IF(AND(INDEX('Roadmap Calc (Don’t Touch)'!$AA$2:$AX$151,$AI72,COLUMN()-COLUMN($J$16)+1)&gt;0,OR($D72="03. UX Discovery",$D72="04. UX Design")),IF(AND($H72&lt;&gt;"",$H72&lt;=EOMONTH(T$12,0),$I72&gt;=T$12),"ALL","PD+UX"),IF(AND($H72&lt;&gt;"",$H72&lt;=EOMONTH(T$12,0),$I72&gt;=T$12),"PD+DEV","PD")),IF(AND(INDEX('Roadmap Calc (Don’t Touch)'!$AA$2:$AX$151,$AI72,COLUMN()-COLUMN($J$16)+1)&gt;0,OR($D72="03. UX Discovery",$D72="04. UX Design")),IF(AND($H72&lt;&gt;"",$H72&lt;=EOMONTH(T$12,0),$I72&gt;=T$12),"UX+DEV","UX"),IF(AND($H72&lt;&gt;"",$H72&lt;=EOMONTH(T$12,0),$I72&gt;=T$12),"DEV",""))))</f>
      </c>
      <c r="U72" s="158" t="str">
        <f>IF($AI72="","",IF(AND($AN72&lt;&gt;"",$AN72&lt;=EOMONTH(U$12,0),$AO72&gt;=U$12),IF(AND(INDEX('Roadmap Calc (Don’t Touch)'!$AA$2:$AX$151,$AI72,COLUMN()-COLUMN($J$16)+1)&gt;0,OR($D72="03. UX Discovery",$D72="04. UX Design")),IF(AND($H72&lt;&gt;"",$H72&lt;=EOMONTH(U$12,0),$I72&gt;=U$12),"ALL","PD+UX"),IF(AND($H72&lt;&gt;"",$H72&lt;=EOMONTH(U$12,0),$I72&gt;=U$12),"PD+DEV","PD")),IF(AND(INDEX('Roadmap Calc (Don’t Touch)'!$AA$2:$AX$151,$AI72,COLUMN()-COLUMN($J$16)+1)&gt;0,OR($D72="03. UX Discovery",$D72="04. UX Design")),IF(AND($H72&lt;&gt;"",$H72&lt;=EOMONTH(U$12,0),$I72&gt;=U$12),"UX+DEV","UX"),IF(AND($H72&lt;&gt;"",$H72&lt;=EOMONTH(U$12,0),$I72&gt;=U$12),"DEV",""))))</f>
      </c>
      <c r="V72" s="158" t="str">
        <f>IF($AI72="","",IF(AND($AN72&lt;&gt;"",$AN72&lt;=EOMONTH(V$12,0),$AO72&gt;=V$12),IF(AND(INDEX('Roadmap Calc (Don’t Touch)'!$AA$2:$AX$151,$AI72,COLUMN()-COLUMN($J$16)+1)&gt;0,OR($D72="03. UX Discovery",$D72="04. UX Design")),IF(AND($H72&lt;&gt;"",$H72&lt;=EOMONTH(V$12,0),$I72&gt;=V$12),"ALL","PD+UX"),IF(AND($H72&lt;&gt;"",$H72&lt;=EOMONTH(V$12,0),$I72&gt;=V$12),"PD+DEV","PD")),IF(AND(INDEX('Roadmap Calc (Don’t Touch)'!$AA$2:$AX$151,$AI72,COLUMN()-COLUMN($J$16)+1)&gt;0,OR($D72="03. UX Discovery",$D72="04. UX Design")),IF(AND($H72&lt;&gt;"",$H72&lt;=EOMONTH(V$12,0),$I72&gt;=V$12),"UX+DEV","UX"),IF(AND($H72&lt;&gt;"",$H72&lt;=EOMONTH(V$12,0),$I72&gt;=V$12),"DEV",""))))</f>
      </c>
      <c r="W72" s="158" t="str">
        <f>IF($AI72="","",IF(AND($AN72&lt;&gt;"",$AN72&lt;=EOMONTH(W$12,0),$AO72&gt;=W$12),IF(AND(INDEX('Roadmap Calc (Don’t Touch)'!$AA$2:$AX$151,$AI72,COLUMN()-COLUMN($J$16)+1)&gt;0,OR($D72="03. UX Discovery",$D72="04. UX Design")),IF(AND($H72&lt;&gt;"",$H72&lt;=EOMONTH(W$12,0),$I72&gt;=W$12),"ALL","PD+UX"),IF(AND($H72&lt;&gt;"",$H72&lt;=EOMONTH(W$12,0),$I72&gt;=W$12),"PD+DEV","PD")),IF(AND(INDEX('Roadmap Calc (Don’t Touch)'!$AA$2:$AX$151,$AI72,COLUMN()-COLUMN($J$16)+1)&gt;0,OR($D72="03. UX Discovery",$D72="04. UX Design")),IF(AND($H72&lt;&gt;"",$H72&lt;=EOMONTH(W$12,0),$I72&gt;=W$12),"UX+DEV","UX"),IF(AND($H72&lt;&gt;"",$H72&lt;=EOMONTH(W$12,0),$I72&gt;=W$12),"DEV",""))))</f>
      </c>
      <c r="X72" s="158" t="str">
        <f>IF($AI72="","",IF(AND($AN72&lt;&gt;"",$AN72&lt;=EOMONTH(X$12,0),$AO72&gt;=X$12),IF(AND(INDEX('Roadmap Calc (Don’t Touch)'!$AA$2:$AX$151,$AI72,COLUMN()-COLUMN($J$16)+1)&gt;0,OR($D72="03. UX Discovery",$D72="04. UX Design")),IF(AND($H72&lt;&gt;"",$H72&lt;=EOMONTH(X$12,0),$I72&gt;=X$12),"ALL","PD+UX"),IF(AND($H72&lt;&gt;"",$H72&lt;=EOMONTH(X$12,0),$I72&gt;=X$12),"PD+DEV","PD")),IF(AND(INDEX('Roadmap Calc (Don’t Touch)'!$AA$2:$AX$151,$AI72,COLUMN()-COLUMN($J$16)+1)&gt;0,OR($D72="03. UX Discovery",$D72="04. UX Design")),IF(AND($H72&lt;&gt;"",$H72&lt;=EOMONTH(X$12,0),$I72&gt;=X$12),"UX+DEV","UX"),IF(AND($H72&lt;&gt;"",$H72&lt;=EOMONTH(X$12,0),$I72&gt;=X$12),"DEV",""))))</f>
      </c>
      <c r="Y72" s="158" t="str">
        <f>IF($AI72="","",IF(AND($AN72&lt;&gt;"",$AN72&lt;=EOMONTH(Y$12,0),$AO72&gt;=Y$12),IF(AND(INDEX('Roadmap Calc (Don’t Touch)'!$AA$2:$AX$151,$AI72,COLUMN()-COLUMN($J$16)+1)&gt;0,OR($D72="03. UX Discovery",$D72="04. UX Design")),IF(AND($H72&lt;&gt;"",$H72&lt;=EOMONTH(Y$12,0),$I72&gt;=Y$12),"ALL","PD+UX"),IF(AND($H72&lt;&gt;"",$H72&lt;=EOMONTH(Y$12,0),$I72&gt;=Y$12),"PD+DEV","PD")),IF(AND(INDEX('Roadmap Calc (Don’t Touch)'!$AA$2:$AX$151,$AI72,COLUMN()-COLUMN($J$16)+1)&gt;0,OR($D72="03. UX Discovery",$D72="04. UX Design")),IF(AND($H72&lt;&gt;"",$H72&lt;=EOMONTH(Y$12,0),$I72&gt;=Y$12),"UX+DEV","UX"),IF(AND($H72&lt;&gt;"",$H72&lt;=EOMONTH(Y$12,0),$I72&gt;=Y$12),"DEV",""))))</f>
      </c>
      <c r="Z72" s="158" t="str">
        <f>IF($AI72="","",IF(AND($AN72&lt;&gt;"",$AN72&lt;=EOMONTH(Z$12,0),$AO72&gt;=Z$12),IF(AND(INDEX('Roadmap Calc (Don’t Touch)'!$AA$2:$AX$151,$AI72,COLUMN()-COLUMN($J$16)+1)&gt;0,OR($D72="03. UX Discovery",$D72="04. UX Design")),IF(AND($H72&lt;&gt;"",$H72&lt;=EOMONTH(Z$12,0),$I72&gt;=Z$12),"ALL","PD+UX"),IF(AND($H72&lt;&gt;"",$H72&lt;=EOMONTH(Z$12,0),$I72&gt;=Z$12),"PD+DEV","PD")),IF(AND(INDEX('Roadmap Calc (Don’t Touch)'!$AA$2:$AX$151,$AI72,COLUMN()-COLUMN($J$16)+1)&gt;0,OR($D72="03. UX Discovery",$D72="04. UX Design")),IF(AND($H72&lt;&gt;"",$H72&lt;=EOMONTH(Z$12,0),$I72&gt;=Z$12),"UX+DEV","UX"),IF(AND($H72&lt;&gt;"",$H72&lt;=EOMONTH(Z$12,0),$I72&gt;=Z$12),"DEV",""))))</f>
      </c>
      <c r="AA72" s="158" t="str">
        <f>IF($AI72="","",IF(AND($AN72&lt;&gt;"",$AN72&lt;=EOMONTH(AA$12,0),$AO72&gt;=AA$12),IF(AND(INDEX('Roadmap Calc (Don’t Touch)'!$AA$2:$AX$151,$AI72,COLUMN()-COLUMN($J$16)+1)&gt;0,OR($D72="03. UX Discovery",$D72="04. UX Design")),IF(AND($H72&lt;&gt;"",$H72&lt;=EOMONTH(AA$12,0),$I72&gt;=AA$12),"ALL","PD+UX"),IF(AND($H72&lt;&gt;"",$H72&lt;=EOMONTH(AA$12,0),$I72&gt;=AA$12),"PD+DEV","PD")),IF(AND(INDEX('Roadmap Calc (Don’t Touch)'!$AA$2:$AX$151,$AI72,COLUMN()-COLUMN($J$16)+1)&gt;0,OR($D72="03. UX Discovery",$D72="04. UX Design")),IF(AND($H72&lt;&gt;"",$H72&lt;=EOMONTH(AA$12,0),$I72&gt;=AA$12),"UX+DEV","UX"),IF(AND($H72&lt;&gt;"",$H72&lt;=EOMONTH(AA$12,0),$I72&gt;=AA$12),"DEV",""))))</f>
      </c>
      <c r="AB72" s="158" t="str">
        <f>IF($AI72="","",IF(AND($AN72&lt;&gt;"",$AN72&lt;=EOMONTH(AB$12,0),$AO72&gt;=AB$12),IF(AND(INDEX('Roadmap Calc (Don’t Touch)'!$AA$2:$AX$151,$AI72,COLUMN()-COLUMN($J$16)+1)&gt;0,OR($D72="03. UX Discovery",$D72="04. UX Design")),IF(AND($H72&lt;&gt;"",$H72&lt;=EOMONTH(AB$12,0),$I72&gt;=AB$12),"ALL","PD+UX"),IF(AND($H72&lt;&gt;"",$H72&lt;=EOMONTH(AB$12,0),$I72&gt;=AB$12),"PD+DEV","PD")),IF(AND(INDEX('Roadmap Calc (Don’t Touch)'!$AA$2:$AX$151,$AI72,COLUMN()-COLUMN($J$16)+1)&gt;0,OR($D72="03. UX Discovery",$D72="04. UX Design")),IF(AND($H72&lt;&gt;"",$H72&lt;=EOMONTH(AB$12,0),$I72&gt;=AB$12),"UX+DEV","UX"),IF(AND($H72&lt;&gt;"",$H72&lt;=EOMONTH(AB$12,0),$I72&gt;=AB$12),"DEV",""))))</f>
      </c>
      <c r="AC72" s="158" t="str">
        <f>IF($AI72="","",IF(AND($AN72&lt;&gt;"",$AN72&lt;=EOMONTH(AC$12,0),$AO72&gt;=AC$12),IF(AND(INDEX('Roadmap Calc (Don’t Touch)'!$AA$2:$AX$151,$AI72,COLUMN()-COLUMN($J$16)+1)&gt;0,OR($D72="03. UX Discovery",$D72="04. UX Design")),IF(AND($H72&lt;&gt;"",$H72&lt;=EOMONTH(AC$12,0),$I72&gt;=AC$12),"ALL","PD+UX"),IF(AND($H72&lt;&gt;"",$H72&lt;=EOMONTH(AC$12,0),$I72&gt;=AC$12),"PD+DEV","PD")),IF(AND(INDEX('Roadmap Calc (Don’t Touch)'!$AA$2:$AX$151,$AI72,COLUMN()-COLUMN($J$16)+1)&gt;0,OR($D72="03. UX Discovery",$D72="04. UX Design")),IF(AND($H72&lt;&gt;"",$H72&lt;=EOMONTH(AC$12,0),$I72&gt;=AC$12),"UX+DEV","UX"),IF(AND($H72&lt;&gt;"",$H72&lt;=EOMONTH(AC$12,0),$I72&gt;=AC$12),"DEV",""))))</f>
      </c>
      <c r="AD72" s="158" t="str">
        <f>IF($AI72="","",IF(AND($AN72&lt;&gt;"",$AN72&lt;=EOMONTH(AD$12,0),$AO72&gt;=AD$12),IF(AND(INDEX('Roadmap Calc (Don’t Touch)'!$AA$2:$AX$151,$AI72,COLUMN()-COLUMN($J$16)+1)&gt;0,OR($D72="03. UX Discovery",$D72="04. UX Design")),IF(AND($H72&lt;&gt;"",$H72&lt;=EOMONTH(AD$12,0),$I72&gt;=AD$12),"ALL","PD+UX"),IF(AND($H72&lt;&gt;"",$H72&lt;=EOMONTH(AD$12,0),$I72&gt;=AD$12),"PD+DEV","PD")),IF(AND(INDEX('Roadmap Calc (Don’t Touch)'!$AA$2:$AX$151,$AI72,COLUMN()-COLUMN($J$16)+1)&gt;0,OR($D72="03. UX Discovery",$D72="04. UX Design")),IF(AND($H72&lt;&gt;"",$H72&lt;=EOMONTH(AD$12,0),$I72&gt;=AD$12),"UX+DEV","UX"),IF(AND($H72&lt;&gt;"",$H72&lt;=EOMONTH(AD$12,0),$I72&gt;=AD$12),"DEV",""))))</f>
      </c>
      <c r="AE72" s="158" t="str">
        <f>IF($AI72="","",IF(AND($AN72&lt;&gt;"",$AN72&lt;=EOMONTH(AE$12,0),$AO72&gt;=AE$12),IF(AND(INDEX('Roadmap Calc (Don’t Touch)'!$AA$2:$AX$151,$AI72,COLUMN()-COLUMN($J$16)+1)&gt;0,OR($D72="03. UX Discovery",$D72="04. UX Design")),IF(AND($H72&lt;&gt;"",$H72&lt;=EOMONTH(AE$12,0),$I72&gt;=AE$12),"ALL","PD+UX"),IF(AND($H72&lt;&gt;"",$H72&lt;=EOMONTH(AE$12,0),$I72&gt;=AE$12),"PD+DEV","PD")),IF(AND(INDEX('Roadmap Calc (Don’t Touch)'!$AA$2:$AX$151,$AI72,COLUMN()-COLUMN($J$16)+1)&gt;0,OR($D72="03. UX Discovery",$D72="04. UX Design")),IF(AND($H72&lt;&gt;"",$H72&lt;=EOMONTH(AE$12,0),$I72&gt;=AE$12),"UX+DEV","UX"),IF(AND($H72&lt;&gt;"",$H72&lt;=EOMONTH(AE$12,0),$I72&gt;=AE$12),"DEV",""))))</f>
      </c>
      <c r="AF72" s="158" t="str">
        <f>IF($AI72="","",IF(AND($AN72&lt;&gt;"",$AN72&lt;=EOMONTH(AF$12,0),$AO72&gt;=AF$12),IF(AND(INDEX('Roadmap Calc (Don’t Touch)'!$AA$2:$AX$151,$AI72,COLUMN()-COLUMN($J$16)+1)&gt;0,OR($D72="03. UX Discovery",$D72="04. UX Design")),IF(AND($H72&lt;&gt;"",$H72&lt;=EOMONTH(AF$12,0),$I72&gt;=AF$12),"ALL","PD+UX"),IF(AND($H72&lt;&gt;"",$H72&lt;=EOMONTH(AF$12,0),$I72&gt;=AF$12),"PD+DEV","PD")),IF(AND(INDEX('Roadmap Calc (Don’t Touch)'!$AA$2:$AX$151,$AI72,COLUMN()-COLUMN($J$16)+1)&gt;0,OR($D72="03. UX Discovery",$D72="04. UX Design")),IF(AND($H72&lt;&gt;"",$H72&lt;=EOMONTH(AF$12,0),$I72&gt;=AF$12),"UX+DEV","UX"),IF(AND($H72&lt;&gt;"",$H72&lt;=EOMONTH(AF$12,0),$I72&gt;=AF$12),"DEV",""))))</f>
      </c>
      <c r="AG72" s="158" t="str">
        <f>IF($AI72="","",IF(AND($AN72&lt;&gt;"",$AN72&lt;=EOMONTH(AG$12,0),$AO72&gt;=AG$12),IF(AND(INDEX('Roadmap Calc (Don’t Touch)'!$AA$2:$AX$151,$AI72,COLUMN()-COLUMN($J$16)+1)&gt;0,OR($D72="03. UX Discovery",$D72="04. UX Design")),IF(AND($H72&lt;&gt;"",$H72&lt;=EOMONTH(AG$12,0),$I72&gt;=AG$12),"ALL","PD+UX"),IF(AND($H72&lt;&gt;"",$H72&lt;=EOMONTH(AG$12,0),$I72&gt;=AG$12),"PD+DEV","PD")),IF(AND(INDEX('Roadmap Calc (Don’t Touch)'!$AA$2:$AX$151,$AI72,COLUMN()-COLUMN($J$16)+1)&gt;0,OR($D72="03. UX Discovery",$D72="04. UX Design")),IF(AND($H72&lt;&gt;"",$H72&lt;=EOMONTH(AG$12,0),$I72&gt;=AG$12),"UX+DEV","UX"),IF(AND($H72&lt;&gt;"",$H72&lt;=EOMONTH(AG$12,0),$I72&gt;=AG$12),"DEV",""))))</f>
      </c>
      <c r="AH72" s="145" t="str">
        <f>IF($AI72="","",INDEX('Roadmap Calc (Don’t Touch)'!$D$2:$D$151,$AI72))</f>
        <v/>
      </c>
      <c r="AI72" s="145" t="str">
        <f>IFERROR(MATCH(57,'Roadmap Calc (Don’t Touch)'!$O$2:$O$151,0),"")</f>
        <v/>
      </c>
      <c r="AJ72" s="145"/>
      <c r="AK72" s="145"/>
      <c r="AL72" s="145"/>
      <c r="AM72" s="145"/>
      <c r="AN72">
        <f>IF($AI72="","",IF(ISNUMBER(INDEX('Roadmap Calc (Don’t Touch)'!$BB$2:$BB$151,$AI72)),INDEX('Roadmap Calc (Don’t Touch)'!$BB$2:$BB$151,$AI72),""))</f>
      </c>
      <c r="AO72">
        <f>IF($AI72="","",IF(ISNUMBER(INDEX('Roadmap Calc (Don’t Touch)'!$BC$2:$BC$151,$AI72)),INDEX('Roadmap Calc (Don’t Touch)'!$BC$2:$BC$151,$AI72),""))</f>
      </c>
    </row>
    <row r="73" spans="1:41" ht="17" customHeight="1" x14ac:dyDescent="0.25">
      <c r="A73" s="152" t="str">
        <f>IF($AI73="","",IF($AH73=$AH72,"",IF(INDEX('Roadmap Calc (Don’t Touch)'!$U$2:$U$151,$AI73)=0,$AH73,HYPERLINK("#'Control (Don’t Touch)'!E"&amp;INDEX('Roadmap Calc (Don’t Touch)'!$U$2:$U$151,$AI73),$AH73))))</f>
        <v/>
      </c>
      <c r="B73" s="153" t="str">
        <f>IF($AI73="","",IF(INDEX('Roadmap Calc (Don’t Touch)'!$K$2:$K$151,$AI73)="",INDEX('Roadmap Calc (Don’t Touch)'!$B$2:$B$151,$AI73),HYPERLINK("https://jira.bnh.com/browse/"&amp;INDEX('Roadmap Calc (Don’t Touch)'!$K$2:$K$151,$AI73),INDEX('Roadmap Calc (Don’t Touch)'!$B$2:$B$151,$AI73))))</f>
        <v/>
      </c>
      <c r="C73" s="153" t="str">
        <f>IF($AI73="","",IF(INDEX('Roadmap Calc (Don’t Touch)'!$E$2:$E$151,$AI73)="","",HYPERLINK("https://jira.bnh.com/browse/"&amp;INDEX('Roadmap Calc (Don’t Touch)'!$E$2:$E$151,$AI73),INDEX('Roadmap Calc (Don’t Touch)'!$E$2:$E$151,$AI73))))</f>
        <v/>
      </c>
      <c r="D73" s="154" t="str">
        <f>IF($AI73="","",INDEX('Roadmap Calc (Don’t Touch)'!$F$2:$F$151,$AI73))</f>
        <v/>
      </c>
      <c r="E73" s="155" t="str">
        <f>IF($AI73="","",IF(ISNUMBER(INDEX('Roadmap Calc (Don’t Touch)'!$G$2:$G$151,$AI73)),INDEX('Roadmap Calc (Don’t Touch)'!$G$2:$G$151,$AI73),""))</f>
        <v/>
      </c>
      <c r="F73" s="155" t="str">
        <f>IF($AI73="","",IF(ISNUMBER(INDEX('Roadmap Calc (Don’t Touch)'!$H$2:$H$151,$AI73)),INDEX('Roadmap Calc (Don’t Touch)'!$H$2:$H$151,$AI73),""))</f>
        <v/>
      </c>
      <c r="G73" s="156" t="str">
        <f>IF($AI73="","",INDEX('Roadmap Calc (Don’t Touch)'!$T$2:$T$151,$AI73))</f>
        <v/>
      </c>
      <c r="H73" s="157" t="str">
        <f>IF($AI73="","",IF(ISNUMBER(INDEX('Roadmap Calc (Don’t Touch)'!$I$2:$I$151,$AI73)),INDEX('Roadmap Calc (Don’t Touch)'!$I$2:$I$151,$AI73),""))</f>
        <v/>
      </c>
      <c r="I73" s="157" t="str">
        <f>IF($AI73="","",IF(ISNUMBER(INDEX('Roadmap Calc (Don’t Touch)'!$J$2:$J$151,$AI73)),INDEX('Roadmap Calc (Don’t Touch)'!$J$2:$J$151,$AI73),""))</f>
        <v/>
      </c>
      <c r="J73" s="158" t="str">
        <f>IF($AI73="","",IF(AND($AN73&lt;&gt;"",$AN73&lt;=EOMONTH(J$12,0),$AO73&gt;=J$12),IF(AND(INDEX('Roadmap Calc (Don’t Touch)'!$AA$2:$AX$151,$AI73,COLUMN()-COLUMN($J$16)+1)&gt;0,OR($D73="03. UX Discovery",$D73="04. UX Design")),IF(AND($H73&lt;&gt;"",$H73&lt;=EOMONTH(J$12,0),$I73&gt;=J$12),"ALL","PD+UX"),IF(AND($H73&lt;&gt;"",$H73&lt;=EOMONTH(J$12,0),$I73&gt;=J$12),"PD+DEV","PD")),IF(AND(INDEX('Roadmap Calc (Don’t Touch)'!$AA$2:$AX$151,$AI73,COLUMN()-COLUMN($J$16)+1)&gt;0,OR($D73="03. UX Discovery",$D73="04. UX Design")),IF(AND($H73&lt;&gt;"",$H73&lt;=EOMONTH(J$12,0),$I73&gt;=J$12),"UX+DEV","UX"),IF(AND($H73&lt;&gt;"",$H73&lt;=EOMONTH(J$12,0),$I73&gt;=J$12),"DEV",""))))</f>
      </c>
      <c r="K73" s="158" t="str">
        <f>IF($AI73="","",IF(AND($AN73&lt;&gt;"",$AN73&lt;=EOMONTH(K$12,0),$AO73&gt;=K$12),IF(AND(INDEX('Roadmap Calc (Don’t Touch)'!$AA$2:$AX$151,$AI73,COLUMN()-COLUMN($J$16)+1)&gt;0,OR($D73="03. UX Discovery",$D73="04. UX Design")),IF(AND($H73&lt;&gt;"",$H73&lt;=EOMONTH(K$12,0),$I73&gt;=K$12),"ALL","PD+UX"),IF(AND($H73&lt;&gt;"",$H73&lt;=EOMONTH(K$12,0),$I73&gt;=K$12),"PD+DEV","PD")),IF(AND(INDEX('Roadmap Calc (Don’t Touch)'!$AA$2:$AX$151,$AI73,COLUMN()-COLUMN($J$16)+1)&gt;0,OR($D73="03. UX Discovery",$D73="04. UX Design")),IF(AND($H73&lt;&gt;"",$H73&lt;=EOMONTH(K$12,0),$I73&gt;=K$12),"UX+DEV","UX"),IF(AND($H73&lt;&gt;"",$H73&lt;=EOMONTH(K$12,0),$I73&gt;=K$12),"DEV",""))))</f>
      </c>
      <c r="L73" s="158" t="str">
        <f>IF($AI73="","",IF(AND($AN73&lt;&gt;"",$AN73&lt;=EOMONTH(L$12,0),$AO73&gt;=L$12),IF(AND(INDEX('Roadmap Calc (Don’t Touch)'!$AA$2:$AX$151,$AI73,COLUMN()-COLUMN($J$16)+1)&gt;0,OR($D73="03. UX Discovery",$D73="04. UX Design")),IF(AND($H73&lt;&gt;"",$H73&lt;=EOMONTH(L$12,0),$I73&gt;=L$12),"ALL","PD+UX"),IF(AND($H73&lt;&gt;"",$H73&lt;=EOMONTH(L$12,0),$I73&gt;=L$12),"PD+DEV","PD")),IF(AND(INDEX('Roadmap Calc (Don’t Touch)'!$AA$2:$AX$151,$AI73,COLUMN()-COLUMN($J$16)+1)&gt;0,OR($D73="03. UX Discovery",$D73="04. UX Design")),IF(AND($H73&lt;&gt;"",$H73&lt;=EOMONTH(L$12,0),$I73&gt;=L$12),"UX+DEV","UX"),IF(AND($H73&lt;&gt;"",$H73&lt;=EOMONTH(L$12,0),$I73&gt;=L$12),"DEV",""))))</f>
      </c>
      <c r="M73" s="158" t="str">
        <f>IF($AI73="","",IF(AND($AN73&lt;&gt;"",$AN73&lt;=EOMONTH(M$12,0),$AO73&gt;=M$12),IF(AND(INDEX('Roadmap Calc (Don’t Touch)'!$AA$2:$AX$151,$AI73,COLUMN()-COLUMN($J$16)+1)&gt;0,OR($D73="03. UX Discovery",$D73="04. UX Design")),IF(AND($H73&lt;&gt;"",$H73&lt;=EOMONTH(M$12,0),$I73&gt;=M$12),"ALL","PD+UX"),IF(AND($H73&lt;&gt;"",$H73&lt;=EOMONTH(M$12,0),$I73&gt;=M$12),"PD+DEV","PD")),IF(AND(INDEX('Roadmap Calc (Don’t Touch)'!$AA$2:$AX$151,$AI73,COLUMN()-COLUMN($J$16)+1)&gt;0,OR($D73="03. UX Discovery",$D73="04. UX Design")),IF(AND($H73&lt;&gt;"",$H73&lt;=EOMONTH(M$12,0),$I73&gt;=M$12),"UX+DEV","UX"),IF(AND($H73&lt;&gt;"",$H73&lt;=EOMONTH(M$12,0),$I73&gt;=M$12),"DEV",""))))</f>
      </c>
      <c r="N73" s="158" t="str">
        <f>IF($AI73="","",IF(AND($AN73&lt;&gt;"",$AN73&lt;=EOMONTH(N$12,0),$AO73&gt;=N$12),IF(AND(INDEX('Roadmap Calc (Don’t Touch)'!$AA$2:$AX$151,$AI73,COLUMN()-COLUMN($J$16)+1)&gt;0,OR($D73="03. UX Discovery",$D73="04. UX Design")),IF(AND($H73&lt;&gt;"",$H73&lt;=EOMONTH(N$12,0),$I73&gt;=N$12),"ALL","PD+UX"),IF(AND($H73&lt;&gt;"",$H73&lt;=EOMONTH(N$12,0),$I73&gt;=N$12),"PD+DEV","PD")),IF(AND(INDEX('Roadmap Calc (Don’t Touch)'!$AA$2:$AX$151,$AI73,COLUMN()-COLUMN($J$16)+1)&gt;0,OR($D73="03. UX Discovery",$D73="04. UX Design")),IF(AND($H73&lt;&gt;"",$H73&lt;=EOMONTH(N$12,0),$I73&gt;=N$12),"UX+DEV","UX"),IF(AND($H73&lt;&gt;"",$H73&lt;=EOMONTH(N$12,0),$I73&gt;=N$12),"DEV",""))))</f>
      </c>
      <c r="O73" s="158" t="str">
        <f>IF($AI73="","",IF(AND($AN73&lt;&gt;"",$AN73&lt;=EOMONTH(O$12,0),$AO73&gt;=O$12),IF(AND(INDEX('Roadmap Calc (Don’t Touch)'!$AA$2:$AX$151,$AI73,COLUMN()-COLUMN($J$16)+1)&gt;0,OR($D73="03. UX Discovery",$D73="04. UX Design")),IF(AND($H73&lt;&gt;"",$H73&lt;=EOMONTH(O$12,0),$I73&gt;=O$12),"ALL","PD+UX"),IF(AND($H73&lt;&gt;"",$H73&lt;=EOMONTH(O$12,0),$I73&gt;=O$12),"PD+DEV","PD")),IF(AND(INDEX('Roadmap Calc (Don’t Touch)'!$AA$2:$AX$151,$AI73,COLUMN()-COLUMN($J$16)+1)&gt;0,OR($D73="03. UX Discovery",$D73="04. UX Design")),IF(AND($H73&lt;&gt;"",$H73&lt;=EOMONTH(O$12,0),$I73&gt;=O$12),"UX+DEV","UX"),IF(AND($H73&lt;&gt;"",$H73&lt;=EOMONTH(O$12,0),$I73&gt;=O$12),"DEV",""))))</f>
      </c>
      <c r="P73" s="158" t="str">
        <f>IF($AI73="","",IF(AND($AN73&lt;&gt;"",$AN73&lt;=EOMONTH(P$12,0),$AO73&gt;=P$12),IF(AND(INDEX('Roadmap Calc (Don’t Touch)'!$AA$2:$AX$151,$AI73,COLUMN()-COLUMN($J$16)+1)&gt;0,OR($D73="03. UX Discovery",$D73="04. UX Design")),IF(AND($H73&lt;&gt;"",$H73&lt;=EOMONTH(P$12,0),$I73&gt;=P$12),"ALL","PD+UX"),IF(AND($H73&lt;&gt;"",$H73&lt;=EOMONTH(P$12,0),$I73&gt;=P$12),"PD+DEV","PD")),IF(AND(INDEX('Roadmap Calc (Don’t Touch)'!$AA$2:$AX$151,$AI73,COLUMN()-COLUMN($J$16)+1)&gt;0,OR($D73="03. UX Discovery",$D73="04. UX Design")),IF(AND($H73&lt;&gt;"",$H73&lt;=EOMONTH(P$12,0),$I73&gt;=P$12),"UX+DEV","UX"),IF(AND($H73&lt;&gt;"",$H73&lt;=EOMONTH(P$12,0),$I73&gt;=P$12),"DEV",""))))</f>
      </c>
      <c r="Q73" s="158" t="str">
        <f>IF($AI73="","",IF(AND($AN73&lt;&gt;"",$AN73&lt;=EOMONTH(Q$12,0),$AO73&gt;=Q$12),IF(AND(INDEX('Roadmap Calc (Don’t Touch)'!$AA$2:$AX$151,$AI73,COLUMN()-COLUMN($J$16)+1)&gt;0,OR($D73="03. UX Discovery",$D73="04. UX Design")),IF(AND($H73&lt;&gt;"",$H73&lt;=EOMONTH(Q$12,0),$I73&gt;=Q$12),"ALL","PD+UX"),IF(AND($H73&lt;&gt;"",$H73&lt;=EOMONTH(Q$12,0),$I73&gt;=Q$12),"PD+DEV","PD")),IF(AND(INDEX('Roadmap Calc (Don’t Touch)'!$AA$2:$AX$151,$AI73,COLUMN()-COLUMN($J$16)+1)&gt;0,OR($D73="03. UX Discovery",$D73="04. UX Design")),IF(AND($H73&lt;&gt;"",$H73&lt;=EOMONTH(Q$12,0),$I73&gt;=Q$12),"UX+DEV","UX"),IF(AND($H73&lt;&gt;"",$H73&lt;=EOMONTH(Q$12,0),$I73&gt;=Q$12),"DEV",""))))</f>
      </c>
      <c r="R73" s="158" t="str">
        <f>IF($AI73="","",IF(AND($AN73&lt;&gt;"",$AN73&lt;=EOMONTH(R$12,0),$AO73&gt;=R$12),IF(AND(INDEX('Roadmap Calc (Don’t Touch)'!$AA$2:$AX$151,$AI73,COLUMN()-COLUMN($J$16)+1)&gt;0,OR($D73="03. UX Discovery",$D73="04. UX Design")),IF(AND($H73&lt;&gt;"",$H73&lt;=EOMONTH(R$12,0),$I73&gt;=R$12),"ALL","PD+UX"),IF(AND($H73&lt;&gt;"",$H73&lt;=EOMONTH(R$12,0),$I73&gt;=R$12),"PD+DEV","PD")),IF(AND(INDEX('Roadmap Calc (Don’t Touch)'!$AA$2:$AX$151,$AI73,COLUMN()-COLUMN($J$16)+1)&gt;0,OR($D73="03. UX Discovery",$D73="04. UX Design")),IF(AND($H73&lt;&gt;"",$H73&lt;=EOMONTH(R$12,0),$I73&gt;=R$12),"UX+DEV","UX"),IF(AND($H73&lt;&gt;"",$H73&lt;=EOMONTH(R$12,0),$I73&gt;=R$12),"DEV",""))))</f>
      </c>
      <c r="S73" s="158" t="str">
        <f>IF($AI73="","",IF(AND($AN73&lt;&gt;"",$AN73&lt;=EOMONTH(S$12,0),$AO73&gt;=S$12),IF(AND(INDEX('Roadmap Calc (Don’t Touch)'!$AA$2:$AX$151,$AI73,COLUMN()-COLUMN($J$16)+1)&gt;0,OR($D73="03. UX Discovery",$D73="04. UX Design")),IF(AND($H73&lt;&gt;"",$H73&lt;=EOMONTH(S$12,0),$I73&gt;=S$12),"ALL","PD+UX"),IF(AND($H73&lt;&gt;"",$H73&lt;=EOMONTH(S$12,0),$I73&gt;=S$12),"PD+DEV","PD")),IF(AND(INDEX('Roadmap Calc (Don’t Touch)'!$AA$2:$AX$151,$AI73,COLUMN()-COLUMN($J$16)+1)&gt;0,OR($D73="03. UX Discovery",$D73="04. UX Design")),IF(AND($H73&lt;&gt;"",$H73&lt;=EOMONTH(S$12,0),$I73&gt;=S$12),"UX+DEV","UX"),IF(AND($H73&lt;&gt;"",$H73&lt;=EOMONTH(S$12,0),$I73&gt;=S$12),"DEV",""))))</f>
      </c>
      <c r="T73" s="158" t="str">
        <f>IF($AI73="","",IF(AND($AN73&lt;&gt;"",$AN73&lt;=EOMONTH(T$12,0),$AO73&gt;=T$12),IF(AND(INDEX('Roadmap Calc (Don’t Touch)'!$AA$2:$AX$151,$AI73,COLUMN()-COLUMN($J$16)+1)&gt;0,OR($D73="03. UX Discovery",$D73="04. UX Design")),IF(AND($H73&lt;&gt;"",$H73&lt;=EOMONTH(T$12,0),$I73&gt;=T$12),"ALL","PD+UX"),IF(AND($H73&lt;&gt;"",$H73&lt;=EOMONTH(T$12,0),$I73&gt;=T$12),"PD+DEV","PD")),IF(AND(INDEX('Roadmap Calc (Don’t Touch)'!$AA$2:$AX$151,$AI73,COLUMN()-COLUMN($J$16)+1)&gt;0,OR($D73="03. UX Discovery",$D73="04. UX Design")),IF(AND($H73&lt;&gt;"",$H73&lt;=EOMONTH(T$12,0),$I73&gt;=T$12),"UX+DEV","UX"),IF(AND($H73&lt;&gt;"",$H73&lt;=EOMONTH(T$12,0),$I73&gt;=T$12),"DEV",""))))</f>
      </c>
      <c r="U73" s="158" t="str">
        <f>IF($AI73="","",IF(AND($AN73&lt;&gt;"",$AN73&lt;=EOMONTH(U$12,0),$AO73&gt;=U$12),IF(AND(INDEX('Roadmap Calc (Don’t Touch)'!$AA$2:$AX$151,$AI73,COLUMN()-COLUMN($J$16)+1)&gt;0,OR($D73="03. UX Discovery",$D73="04. UX Design")),IF(AND($H73&lt;&gt;"",$H73&lt;=EOMONTH(U$12,0),$I73&gt;=U$12),"ALL","PD+UX"),IF(AND($H73&lt;&gt;"",$H73&lt;=EOMONTH(U$12,0),$I73&gt;=U$12),"PD+DEV","PD")),IF(AND(INDEX('Roadmap Calc (Don’t Touch)'!$AA$2:$AX$151,$AI73,COLUMN()-COLUMN($J$16)+1)&gt;0,OR($D73="03. UX Discovery",$D73="04. UX Design")),IF(AND($H73&lt;&gt;"",$H73&lt;=EOMONTH(U$12,0),$I73&gt;=U$12),"UX+DEV","UX"),IF(AND($H73&lt;&gt;"",$H73&lt;=EOMONTH(U$12,0),$I73&gt;=U$12),"DEV",""))))</f>
      </c>
      <c r="V73" s="158" t="str">
        <f>IF($AI73="","",IF(AND($AN73&lt;&gt;"",$AN73&lt;=EOMONTH(V$12,0),$AO73&gt;=V$12),IF(AND(INDEX('Roadmap Calc (Don’t Touch)'!$AA$2:$AX$151,$AI73,COLUMN()-COLUMN($J$16)+1)&gt;0,OR($D73="03. UX Discovery",$D73="04. UX Design")),IF(AND($H73&lt;&gt;"",$H73&lt;=EOMONTH(V$12,0),$I73&gt;=V$12),"ALL","PD+UX"),IF(AND($H73&lt;&gt;"",$H73&lt;=EOMONTH(V$12,0),$I73&gt;=V$12),"PD+DEV","PD")),IF(AND(INDEX('Roadmap Calc (Don’t Touch)'!$AA$2:$AX$151,$AI73,COLUMN()-COLUMN($J$16)+1)&gt;0,OR($D73="03. UX Discovery",$D73="04. UX Design")),IF(AND($H73&lt;&gt;"",$H73&lt;=EOMONTH(V$12,0),$I73&gt;=V$12),"UX+DEV","UX"),IF(AND($H73&lt;&gt;"",$H73&lt;=EOMONTH(V$12,0),$I73&gt;=V$12),"DEV",""))))</f>
      </c>
      <c r="W73" s="158" t="str">
        <f>IF($AI73="","",IF(AND($AN73&lt;&gt;"",$AN73&lt;=EOMONTH(W$12,0),$AO73&gt;=W$12),IF(AND(INDEX('Roadmap Calc (Don’t Touch)'!$AA$2:$AX$151,$AI73,COLUMN()-COLUMN($J$16)+1)&gt;0,OR($D73="03. UX Discovery",$D73="04. UX Design")),IF(AND($H73&lt;&gt;"",$H73&lt;=EOMONTH(W$12,0),$I73&gt;=W$12),"ALL","PD+UX"),IF(AND($H73&lt;&gt;"",$H73&lt;=EOMONTH(W$12,0),$I73&gt;=W$12),"PD+DEV","PD")),IF(AND(INDEX('Roadmap Calc (Don’t Touch)'!$AA$2:$AX$151,$AI73,COLUMN()-COLUMN($J$16)+1)&gt;0,OR($D73="03. UX Discovery",$D73="04. UX Design")),IF(AND($H73&lt;&gt;"",$H73&lt;=EOMONTH(W$12,0),$I73&gt;=W$12),"UX+DEV","UX"),IF(AND($H73&lt;&gt;"",$H73&lt;=EOMONTH(W$12,0),$I73&gt;=W$12),"DEV",""))))</f>
      </c>
      <c r="X73" s="158" t="str">
        <f>IF($AI73="","",IF(AND($AN73&lt;&gt;"",$AN73&lt;=EOMONTH(X$12,0),$AO73&gt;=X$12),IF(AND(INDEX('Roadmap Calc (Don’t Touch)'!$AA$2:$AX$151,$AI73,COLUMN()-COLUMN($J$16)+1)&gt;0,OR($D73="03. UX Discovery",$D73="04. UX Design")),IF(AND($H73&lt;&gt;"",$H73&lt;=EOMONTH(X$12,0),$I73&gt;=X$12),"ALL","PD+UX"),IF(AND($H73&lt;&gt;"",$H73&lt;=EOMONTH(X$12,0),$I73&gt;=X$12),"PD+DEV","PD")),IF(AND(INDEX('Roadmap Calc (Don’t Touch)'!$AA$2:$AX$151,$AI73,COLUMN()-COLUMN($J$16)+1)&gt;0,OR($D73="03. UX Discovery",$D73="04. UX Design")),IF(AND($H73&lt;&gt;"",$H73&lt;=EOMONTH(X$12,0),$I73&gt;=X$12),"UX+DEV","UX"),IF(AND($H73&lt;&gt;"",$H73&lt;=EOMONTH(X$12,0),$I73&gt;=X$12),"DEV",""))))</f>
      </c>
      <c r="Y73" s="158" t="str">
        <f>IF($AI73="","",IF(AND($AN73&lt;&gt;"",$AN73&lt;=EOMONTH(Y$12,0),$AO73&gt;=Y$12),IF(AND(INDEX('Roadmap Calc (Don’t Touch)'!$AA$2:$AX$151,$AI73,COLUMN()-COLUMN($J$16)+1)&gt;0,OR($D73="03. UX Discovery",$D73="04. UX Design")),IF(AND($H73&lt;&gt;"",$H73&lt;=EOMONTH(Y$12,0),$I73&gt;=Y$12),"ALL","PD+UX"),IF(AND($H73&lt;&gt;"",$H73&lt;=EOMONTH(Y$12,0),$I73&gt;=Y$12),"PD+DEV","PD")),IF(AND(INDEX('Roadmap Calc (Don’t Touch)'!$AA$2:$AX$151,$AI73,COLUMN()-COLUMN($J$16)+1)&gt;0,OR($D73="03. UX Discovery",$D73="04. UX Design")),IF(AND($H73&lt;&gt;"",$H73&lt;=EOMONTH(Y$12,0),$I73&gt;=Y$12),"UX+DEV","UX"),IF(AND($H73&lt;&gt;"",$H73&lt;=EOMONTH(Y$12,0),$I73&gt;=Y$12),"DEV",""))))</f>
      </c>
      <c r="Z73" s="158" t="str">
        <f>IF($AI73="","",IF(AND($AN73&lt;&gt;"",$AN73&lt;=EOMONTH(Z$12,0),$AO73&gt;=Z$12),IF(AND(INDEX('Roadmap Calc (Don’t Touch)'!$AA$2:$AX$151,$AI73,COLUMN()-COLUMN($J$16)+1)&gt;0,OR($D73="03. UX Discovery",$D73="04. UX Design")),IF(AND($H73&lt;&gt;"",$H73&lt;=EOMONTH(Z$12,0),$I73&gt;=Z$12),"ALL","PD+UX"),IF(AND($H73&lt;&gt;"",$H73&lt;=EOMONTH(Z$12,0),$I73&gt;=Z$12),"PD+DEV","PD")),IF(AND(INDEX('Roadmap Calc (Don’t Touch)'!$AA$2:$AX$151,$AI73,COLUMN()-COLUMN($J$16)+1)&gt;0,OR($D73="03. UX Discovery",$D73="04. UX Design")),IF(AND($H73&lt;&gt;"",$H73&lt;=EOMONTH(Z$12,0),$I73&gt;=Z$12),"UX+DEV","UX"),IF(AND($H73&lt;&gt;"",$H73&lt;=EOMONTH(Z$12,0),$I73&gt;=Z$12),"DEV",""))))</f>
      </c>
      <c r="AA73" s="158" t="str">
        <f>IF($AI73="","",IF(AND($AN73&lt;&gt;"",$AN73&lt;=EOMONTH(AA$12,0),$AO73&gt;=AA$12),IF(AND(INDEX('Roadmap Calc (Don’t Touch)'!$AA$2:$AX$151,$AI73,COLUMN()-COLUMN($J$16)+1)&gt;0,OR($D73="03. UX Discovery",$D73="04. UX Design")),IF(AND($H73&lt;&gt;"",$H73&lt;=EOMONTH(AA$12,0),$I73&gt;=AA$12),"ALL","PD+UX"),IF(AND($H73&lt;&gt;"",$H73&lt;=EOMONTH(AA$12,0),$I73&gt;=AA$12),"PD+DEV","PD")),IF(AND(INDEX('Roadmap Calc (Don’t Touch)'!$AA$2:$AX$151,$AI73,COLUMN()-COLUMN($J$16)+1)&gt;0,OR($D73="03. UX Discovery",$D73="04. UX Design")),IF(AND($H73&lt;&gt;"",$H73&lt;=EOMONTH(AA$12,0),$I73&gt;=AA$12),"UX+DEV","UX"),IF(AND($H73&lt;&gt;"",$H73&lt;=EOMONTH(AA$12,0),$I73&gt;=AA$12),"DEV",""))))</f>
      </c>
      <c r="AB73" s="158" t="str">
        <f>IF($AI73="","",IF(AND($AN73&lt;&gt;"",$AN73&lt;=EOMONTH(AB$12,0),$AO73&gt;=AB$12),IF(AND(INDEX('Roadmap Calc (Don’t Touch)'!$AA$2:$AX$151,$AI73,COLUMN()-COLUMN($J$16)+1)&gt;0,OR($D73="03. UX Discovery",$D73="04. UX Design")),IF(AND($H73&lt;&gt;"",$H73&lt;=EOMONTH(AB$12,0),$I73&gt;=AB$12),"ALL","PD+UX"),IF(AND($H73&lt;&gt;"",$H73&lt;=EOMONTH(AB$12,0),$I73&gt;=AB$12),"PD+DEV","PD")),IF(AND(INDEX('Roadmap Calc (Don’t Touch)'!$AA$2:$AX$151,$AI73,COLUMN()-COLUMN($J$16)+1)&gt;0,OR($D73="03. UX Discovery",$D73="04. UX Design")),IF(AND($H73&lt;&gt;"",$H73&lt;=EOMONTH(AB$12,0),$I73&gt;=AB$12),"UX+DEV","UX"),IF(AND($H73&lt;&gt;"",$H73&lt;=EOMONTH(AB$12,0),$I73&gt;=AB$12),"DEV",""))))</f>
      </c>
      <c r="AC73" s="158" t="str">
        <f>IF($AI73="","",IF(AND($AN73&lt;&gt;"",$AN73&lt;=EOMONTH(AC$12,0),$AO73&gt;=AC$12),IF(AND(INDEX('Roadmap Calc (Don’t Touch)'!$AA$2:$AX$151,$AI73,COLUMN()-COLUMN($J$16)+1)&gt;0,OR($D73="03. UX Discovery",$D73="04. UX Design")),IF(AND($H73&lt;&gt;"",$H73&lt;=EOMONTH(AC$12,0),$I73&gt;=AC$12),"ALL","PD+UX"),IF(AND($H73&lt;&gt;"",$H73&lt;=EOMONTH(AC$12,0),$I73&gt;=AC$12),"PD+DEV","PD")),IF(AND(INDEX('Roadmap Calc (Don’t Touch)'!$AA$2:$AX$151,$AI73,COLUMN()-COLUMN($J$16)+1)&gt;0,OR($D73="03. UX Discovery",$D73="04. UX Design")),IF(AND($H73&lt;&gt;"",$H73&lt;=EOMONTH(AC$12,0),$I73&gt;=AC$12),"UX+DEV","UX"),IF(AND($H73&lt;&gt;"",$H73&lt;=EOMONTH(AC$12,0),$I73&gt;=AC$12),"DEV",""))))</f>
      </c>
      <c r="AD73" s="158" t="str">
        <f>IF($AI73="","",IF(AND($AN73&lt;&gt;"",$AN73&lt;=EOMONTH(AD$12,0),$AO73&gt;=AD$12),IF(AND(INDEX('Roadmap Calc (Don’t Touch)'!$AA$2:$AX$151,$AI73,COLUMN()-COLUMN($J$16)+1)&gt;0,OR($D73="03. UX Discovery",$D73="04. UX Design")),IF(AND($H73&lt;&gt;"",$H73&lt;=EOMONTH(AD$12,0),$I73&gt;=AD$12),"ALL","PD+UX"),IF(AND($H73&lt;&gt;"",$H73&lt;=EOMONTH(AD$12,0),$I73&gt;=AD$12),"PD+DEV","PD")),IF(AND(INDEX('Roadmap Calc (Don’t Touch)'!$AA$2:$AX$151,$AI73,COLUMN()-COLUMN($J$16)+1)&gt;0,OR($D73="03. UX Discovery",$D73="04. UX Design")),IF(AND($H73&lt;&gt;"",$H73&lt;=EOMONTH(AD$12,0),$I73&gt;=AD$12),"UX+DEV","UX"),IF(AND($H73&lt;&gt;"",$H73&lt;=EOMONTH(AD$12,0),$I73&gt;=AD$12),"DEV",""))))</f>
      </c>
      <c r="AE73" s="158" t="str">
        <f>IF($AI73="","",IF(AND($AN73&lt;&gt;"",$AN73&lt;=EOMONTH(AE$12,0),$AO73&gt;=AE$12),IF(AND(INDEX('Roadmap Calc (Don’t Touch)'!$AA$2:$AX$151,$AI73,COLUMN()-COLUMN($J$16)+1)&gt;0,OR($D73="03. UX Discovery",$D73="04. UX Design")),IF(AND($H73&lt;&gt;"",$H73&lt;=EOMONTH(AE$12,0),$I73&gt;=AE$12),"ALL","PD+UX"),IF(AND($H73&lt;&gt;"",$H73&lt;=EOMONTH(AE$12,0),$I73&gt;=AE$12),"PD+DEV","PD")),IF(AND(INDEX('Roadmap Calc (Don’t Touch)'!$AA$2:$AX$151,$AI73,COLUMN()-COLUMN($J$16)+1)&gt;0,OR($D73="03. UX Discovery",$D73="04. UX Design")),IF(AND($H73&lt;&gt;"",$H73&lt;=EOMONTH(AE$12,0),$I73&gt;=AE$12),"UX+DEV","UX"),IF(AND($H73&lt;&gt;"",$H73&lt;=EOMONTH(AE$12,0),$I73&gt;=AE$12),"DEV",""))))</f>
      </c>
      <c r="AF73" s="158" t="str">
        <f>IF($AI73="","",IF(AND($AN73&lt;&gt;"",$AN73&lt;=EOMONTH(AF$12,0),$AO73&gt;=AF$12),IF(AND(INDEX('Roadmap Calc (Don’t Touch)'!$AA$2:$AX$151,$AI73,COLUMN()-COLUMN($J$16)+1)&gt;0,OR($D73="03. UX Discovery",$D73="04. UX Design")),IF(AND($H73&lt;&gt;"",$H73&lt;=EOMONTH(AF$12,0),$I73&gt;=AF$12),"ALL","PD+UX"),IF(AND($H73&lt;&gt;"",$H73&lt;=EOMONTH(AF$12,0),$I73&gt;=AF$12),"PD+DEV","PD")),IF(AND(INDEX('Roadmap Calc (Don’t Touch)'!$AA$2:$AX$151,$AI73,COLUMN()-COLUMN($J$16)+1)&gt;0,OR($D73="03. UX Discovery",$D73="04. UX Design")),IF(AND($H73&lt;&gt;"",$H73&lt;=EOMONTH(AF$12,0),$I73&gt;=AF$12),"UX+DEV","UX"),IF(AND($H73&lt;&gt;"",$H73&lt;=EOMONTH(AF$12,0),$I73&gt;=AF$12),"DEV",""))))</f>
      </c>
      <c r="AG73" s="158" t="str">
        <f>IF($AI73="","",IF(AND($AN73&lt;&gt;"",$AN73&lt;=EOMONTH(AG$12,0),$AO73&gt;=AG$12),IF(AND(INDEX('Roadmap Calc (Don’t Touch)'!$AA$2:$AX$151,$AI73,COLUMN()-COLUMN($J$16)+1)&gt;0,OR($D73="03. UX Discovery",$D73="04. UX Design")),IF(AND($H73&lt;&gt;"",$H73&lt;=EOMONTH(AG$12,0),$I73&gt;=AG$12),"ALL","PD+UX"),IF(AND($H73&lt;&gt;"",$H73&lt;=EOMONTH(AG$12,0),$I73&gt;=AG$12),"PD+DEV","PD")),IF(AND(INDEX('Roadmap Calc (Don’t Touch)'!$AA$2:$AX$151,$AI73,COLUMN()-COLUMN($J$16)+1)&gt;0,OR($D73="03. UX Discovery",$D73="04. UX Design")),IF(AND($H73&lt;&gt;"",$H73&lt;=EOMONTH(AG$12,0),$I73&gt;=AG$12),"UX+DEV","UX"),IF(AND($H73&lt;&gt;"",$H73&lt;=EOMONTH(AG$12,0),$I73&gt;=AG$12),"DEV",""))))</f>
      </c>
      <c r="AH73" s="145" t="str">
        <f>IF($AI73="","",INDEX('Roadmap Calc (Don’t Touch)'!$D$2:$D$151,$AI73))</f>
        <v/>
      </c>
      <c r="AI73" s="145" t="str">
        <f>IFERROR(MATCH(58,'Roadmap Calc (Don’t Touch)'!$O$2:$O$151,0),"")</f>
        <v/>
      </c>
      <c r="AJ73" s="145"/>
      <c r="AK73" s="145"/>
      <c r="AL73" s="145"/>
      <c r="AM73" s="145"/>
      <c r="AN73">
        <f>IF($AI73="","",IF(ISNUMBER(INDEX('Roadmap Calc (Don’t Touch)'!$BB$2:$BB$151,$AI73)),INDEX('Roadmap Calc (Don’t Touch)'!$BB$2:$BB$151,$AI73),""))</f>
      </c>
      <c r="AO73">
        <f>IF($AI73="","",IF(ISNUMBER(INDEX('Roadmap Calc (Don’t Touch)'!$BC$2:$BC$151,$AI73)),INDEX('Roadmap Calc (Don’t Touch)'!$BC$2:$BC$151,$AI73),""))</f>
      </c>
    </row>
    <row r="74" spans="1:41" ht="17" customHeight="1" x14ac:dyDescent="0.25">
      <c r="A74" s="152" t="str">
        <f>IF($AI74="","",IF($AH74=$AH73,"",IF(INDEX('Roadmap Calc (Don’t Touch)'!$U$2:$U$151,$AI74)=0,$AH74,HYPERLINK("#'Control (Don’t Touch)'!E"&amp;INDEX('Roadmap Calc (Don’t Touch)'!$U$2:$U$151,$AI74),$AH74))))</f>
        <v/>
      </c>
      <c r="B74" s="153" t="str">
        <f>IF($AI74="","",IF(INDEX('Roadmap Calc (Don’t Touch)'!$K$2:$K$151,$AI74)="",INDEX('Roadmap Calc (Don’t Touch)'!$B$2:$B$151,$AI74),HYPERLINK("https://jira.bnh.com/browse/"&amp;INDEX('Roadmap Calc (Don’t Touch)'!$K$2:$K$151,$AI74),INDEX('Roadmap Calc (Don’t Touch)'!$B$2:$B$151,$AI74))))</f>
        <v/>
      </c>
      <c r="C74" s="153" t="str">
        <f>IF($AI74="","",IF(INDEX('Roadmap Calc (Don’t Touch)'!$E$2:$E$151,$AI74)="","",HYPERLINK("https://jira.bnh.com/browse/"&amp;INDEX('Roadmap Calc (Don’t Touch)'!$E$2:$E$151,$AI74),INDEX('Roadmap Calc (Don’t Touch)'!$E$2:$E$151,$AI74))))</f>
        <v/>
      </c>
      <c r="D74" s="154" t="str">
        <f>IF($AI74="","",INDEX('Roadmap Calc (Don’t Touch)'!$F$2:$F$151,$AI74))</f>
        <v/>
      </c>
      <c r="E74" s="155" t="str">
        <f>IF($AI74="","",IF(ISNUMBER(INDEX('Roadmap Calc (Don’t Touch)'!$G$2:$G$151,$AI74)),INDEX('Roadmap Calc (Don’t Touch)'!$G$2:$G$151,$AI74),""))</f>
        <v/>
      </c>
      <c r="F74" s="155" t="str">
        <f>IF($AI74="","",IF(ISNUMBER(INDEX('Roadmap Calc (Don’t Touch)'!$H$2:$H$151,$AI74)),INDEX('Roadmap Calc (Don’t Touch)'!$H$2:$H$151,$AI74),""))</f>
        <v/>
      </c>
      <c r="G74" s="156" t="str">
        <f>IF($AI74="","",INDEX('Roadmap Calc (Don’t Touch)'!$T$2:$T$151,$AI74))</f>
        <v/>
      </c>
      <c r="H74" s="157" t="str">
        <f>IF($AI74="","",IF(ISNUMBER(INDEX('Roadmap Calc (Don’t Touch)'!$I$2:$I$151,$AI74)),INDEX('Roadmap Calc (Don’t Touch)'!$I$2:$I$151,$AI74),""))</f>
        <v/>
      </c>
      <c r="I74" s="157" t="str">
        <f>IF($AI74="","",IF(ISNUMBER(INDEX('Roadmap Calc (Don’t Touch)'!$J$2:$J$151,$AI74)),INDEX('Roadmap Calc (Don’t Touch)'!$J$2:$J$151,$AI74),""))</f>
        <v/>
      </c>
      <c r="J74" s="158" t="str">
        <f>IF($AI74="","",IF(AND($AN74&lt;&gt;"",$AN74&lt;=EOMONTH(J$12,0),$AO74&gt;=J$12),IF(AND(INDEX('Roadmap Calc (Don’t Touch)'!$AA$2:$AX$151,$AI74,COLUMN()-COLUMN($J$16)+1)&gt;0,OR($D74="03. UX Discovery",$D74="04. UX Design")),IF(AND($H74&lt;&gt;"",$H74&lt;=EOMONTH(J$12,0),$I74&gt;=J$12),"ALL","PD+UX"),IF(AND($H74&lt;&gt;"",$H74&lt;=EOMONTH(J$12,0),$I74&gt;=J$12),"PD+DEV","PD")),IF(AND(INDEX('Roadmap Calc (Don’t Touch)'!$AA$2:$AX$151,$AI74,COLUMN()-COLUMN($J$16)+1)&gt;0,OR($D74="03. UX Discovery",$D74="04. UX Design")),IF(AND($H74&lt;&gt;"",$H74&lt;=EOMONTH(J$12,0),$I74&gt;=J$12),"UX+DEV","UX"),IF(AND($H74&lt;&gt;"",$H74&lt;=EOMONTH(J$12,0),$I74&gt;=J$12),"DEV",""))))</f>
      </c>
      <c r="K74" s="158" t="str">
        <f>IF($AI74="","",IF(AND($AN74&lt;&gt;"",$AN74&lt;=EOMONTH(K$12,0),$AO74&gt;=K$12),IF(AND(INDEX('Roadmap Calc (Don’t Touch)'!$AA$2:$AX$151,$AI74,COLUMN()-COLUMN($J$16)+1)&gt;0,OR($D74="03. UX Discovery",$D74="04. UX Design")),IF(AND($H74&lt;&gt;"",$H74&lt;=EOMONTH(K$12,0),$I74&gt;=K$12),"ALL","PD+UX"),IF(AND($H74&lt;&gt;"",$H74&lt;=EOMONTH(K$12,0),$I74&gt;=K$12),"PD+DEV","PD")),IF(AND(INDEX('Roadmap Calc (Don’t Touch)'!$AA$2:$AX$151,$AI74,COLUMN()-COLUMN($J$16)+1)&gt;0,OR($D74="03. UX Discovery",$D74="04. UX Design")),IF(AND($H74&lt;&gt;"",$H74&lt;=EOMONTH(K$12,0),$I74&gt;=K$12),"UX+DEV","UX"),IF(AND($H74&lt;&gt;"",$H74&lt;=EOMONTH(K$12,0),$I74&gt;=K$12),"DEV",""))))</f>
      </c>
      <c r="L74" s="158" t="str">
        <f>IF($AI74="","",IF(AND($AN74&lt;&gt;"",$AN74&lt;=EOMONTH(L$12,0),$AO74&gt;=L$12),IF(AND(INDEX('Roadmap Calc (Don’t Touch)'!$AA$2:$AX$151,$AI74,COLUMN()-COLUMN($J$16)+1)&gt;0,OR($D74="03. UX Discovery",$D74="04. UX Design")),IF(AND($H74&lt;&gt;"",$H74&lt;=EOMONTH(L$12,0),$I74&gt;=L$12),"ALL","PD+UX"),IF(AND($H74&lt;&gt;"",$H74&lt;=EOMONTH(L$12,0),$I74&gt;=L$12),"PD+DEV","PD")),IF(AND(INDEX('Roadmap Calc (Don’t Touch)'!$AA$2:$AX$151,$AI74,COLUMN()-COLUMN($J$16)+1)&gt;0,OR($D74="03. UX Discovery",$D74="04. UX Design")),IF(AND($H74&lt;&gt;"",$H74&lt;=EOMONTH(L$12,0),$I74&gt;=L$12),"UX+DEV","UX"),IF(AND($H74&lt;&gt;"",$H74&lt;=EOMONTH(L$12,0),$I74&gt;=L$12),"DEV",""))))</f>
      </c>
      <c r="M74" s="158" t="str">
        <f>IF($AI74="","",IF(AND($AN74&lt;&gt;"",$AN74&lt;=EOMONTH(M$12,0),$AO74&gt;=M$12),IF(AND(INDEX('Roadmap Calc (Don’t Touch)'!$AA$2:$AX$151,$AI74,COLUMN()-COLUMN($J$16)+1)&gt;0,OR($D74="03. UX Discovery",$D74="04. UX Design")),IF(AND($H74&lt;&gt;"",$H74&lt;=EOMONTH(M$12,0),$I74&gt;=M$12),"ALL","PD+UX"),IF(AND($H74&lt;&gt;"",$H74&lt;=EOMONTH(M$12,0),$I74&gt;=M$12),"PD+DEV","PD")),IF(AND(INDEX('Roadmap Calc (Don’t Touch)'!$AA$2:$AX$151,$AI74,COLUMN()-COLUMN($J$16)+1)&gt;0,OR($D74="03. UX Discovery",$D74="04. UX Design")),IF(AND($H74&lt;&gt;"",$H74&lt;=EOMONTH(M$12,0),$I74&gt;=M$12),"UX+DEV","UX"),IF(AND($H74&lt;&gt;"",$H74&lt;=EOMONTH(M$12,0),$I74&gt;=M$12),"DEV",""))))</f>
      </c>
      <c r="N74" s="158" t="str">
        <f>IF($AI74="","",IF(AND($AN74&lt;&gt;"",$AN74&lt;=EOMONTH(N$12,0),$AO74&gt;=N$12),IF(AND(INDEX('Roadmap Calc (Don’t Touch)'!$AA$2:$AX$151,$AI74,COLUMN()-COLUMN($J$16)+1)&gt;0,OR($D74="03. UX Discovery",$D74="04. UX Design")),IF(AND($H74&lt;&gt;"",$H74&lt;=EOMONTH(N$12,0),$I74&gt;=N$12),"ALL","PD+UX"),IF(AND($H74&lt;&gt;"",$H74&lt;=EOMONTH(N$12,0),$I74&gt;=N$12),"PD+DEV","PD")),IF(AND(INDEX('Roadmap Calc (Don’t Touch)'!$AA$2:$AX$151,$AI74,COLUMN()-COLUMN($J$16)+1)&gt;0,OR($D74="03. UX Discovery",$D74="04. UX Design")),IF(AND($H74&lt;&gt;"",$H74&lt;=EOMONTH(N$12,0),$I74&gt;=N$12),"UX+DEV","UX"),IF(AND($H74&lt;&gt;"",$H74&lt;=EOMONTH(N$12,0),$I74&gt;=N$12),"DEV",""))))</f>
      </c>
      <c r="O74" s="158" t="str">
        <f>IF($AI74="","",IF(AND($AN74&lt;&gt;"",$AN74&lt;=EOMONTH(O$12,0),$AO74&gt;=O$12),IF(AND(INDEX('Roadmap Calc (Don’t Touch)'!$AA$2:$AX$151,$AI74,COLUMN()-COLUMN($J$16)+1)&gt;0,OR($D74="03. UX Discovery",$D74="04. UX Design")),IF(AND($H74&lt;&gt;"",$H74&lt;=EOMONTH(O$12,0),$I74&gt;=O$12),"ALL","PD+UX"),IF(AND($H74&lt;&gt;"",$H74&lt;=EOMONTH(O$12,0),$I74&gt;=O$12),"PD+DEV","PD")),IF(AND(INDEX('Roadmap Calc (Don’t Touch)'!$AA$2:$AX$151,$AI74,COLUMN()-COLUMN($J$16)+1)&gt;0,OR($D74="03. UX Discovery",$D74="04. UX Design")),IF(AND($H74&lt;&gt;"",$H74&lt;=EOMONTH(O$12,0),$I74&gt;=O$12),"UX+DEV","UX"),IF(AND($H74&lt;&gt;"",$H74&lt;=EOMONTH(O$12,0),$I74&gt;=O$12),"DEV",""))))</f>
      </c>
      <c r="P74" s="158" t="str">
        <f>IF($AI74="","",IF(AND($AN74&lt;&gt;"",$AN74&lt;=EOMONTH(P$12,0),$AO74&gt;=P$12),IF(AND(INDEX('Roadmap Calc (Don’t Touch)'!$AA$2:$AX$151,$AI74,COLUMN()-COLUMN($J$16)+1)&gt;0,OR($D74="03. UX Discovery",$D74="04. UX Design")),IF(AND($H74&lt;&gt;"",$H74&lt;=EOMONTH(P$12,0),$I74&gt;=P$12),"ALL","PD+UX"),IF(AND($H74&lt;&gt;"",$H74&lt;=EOMONTH(P$12,0),$I74&gt;=P$12),"PD+DEV","PD")),IF(AND(INDEX('Roadmap Calc (Don’t Touch)'!$AA$2:$AX$151,$AI74,COLUMN()-COLUMN($J$16)+1)&gt;0,OR($D74="03. UX Discovery",$D74="04. UX Design")),IF(AND($H74&lt;&gt;"",$H74&lt;=EOMONTH(P$12,0),$I74&gt;=P$12),"UX+DEV","UX"),IF(AND($H74&lt;&gt;"",$H74&lt;=EOMONTH(P$12,0),$I74&gt;=P$12),"DEV",""))))</f>
      </c>
      <c r="Q74" s="158" t="str">
        <f>IF($AI74="","",IF(AND($AN74&lt;&gt;"",$AN74&lt;=EOMONTH(Q$12,0),$AO74&gt;=Q$12),IF(AND(INDEX('Roadmap Calc (Don’t Touch)'!$AA$2:$AX$151,$AI74,COLUMN()-COLUMN($J$16)+1)&gt;0,OR($D74="03. UX Discovery",$D74="04. UX Design")),IF(AND($H74&lt;&gt;"",$H74&lt;=EOMONTH(Q$12,0),$I74&gt;=Q$12),"ALL","PD+UX"),IF(AND($H74&lt;&gt;"",$H74&lt;=EOMONTH(Q$12,0),$I74&gt;=Q$12),"PD+DEV","PD")),IF(AND(INDEX('Roadmap Calc (Don’t Touch)'!$AA$2:$AX$151,$AI74,COLUMN()-COLUMN($J$16)+1)&gt;0,OR($D74="03. UX Discovery",$D74="04. UX Design")),IF(AND($H74&lt;&gt;"",$H74&lt;=EOMONTH(Q$12,0),$I74&gt;=Q$12),"UX+DEV","UX"),IF(AND($H74&lt;&gt;"",$H74&lt;=EOMONTH(Q$12,0),$I74&gt;=Q$12),"DEV",""))))</f>
      </c>
      <c r="R74" s="158" t="str">
        <f>IF($AI74="","",IF(AND($AN74&lt;&gt;"",$AN74&lt;=EOMONTH(R$12,0),$AO74&gt;=R$12),IF(AND(INDEX('Roadmap Calc (Don’t Touch)'!$AA$2:$AX$151,$AI74,COLUMN()-COLUMN($J$16)+1)&gt;0,OR($D74="03. UX Discovery",$D74="04. UX Design")),IF(AND($H74&lt;&gt;"",$H74&lt;=EOMONTH(R$12,0),$I74&gt;=R$12),"ALL","PD+UX"),IF(AND($H74&lt;&gt;"",$H74&lt;=EOMONTH(R$12,0),$I74&gt;=R$12),"PD+DEV","PD")),IF(AND(INDEX('Roadmap Calc (Don’t Touch)'!$AA$2:$AX$151,$AI74,COLUMN()-COLUMN($J$16)+1)&gt;0,OR($D74="03. UX Discovery",$D74="04. UX Design")),IF(AND($H74&lt;&gt;"",$H74&lt;=EOMONTH(R$12,0),$I74&gt;=R$12),"UX+DEV","UX"),IF(AND($H74&lt;&gt;"",$H74&lt;=EOMONTH(R$12,0),$I74&gt;=R$12),"DEV",""))))</f>
      </c>
      <c r="S74" s="158" t="str">
        <f>IF($AI74="","",IF(AND($AN74&lt;&gt;"",$AN74&lt;=EOMONTH(S$12,0),$AO74&gt;=S$12),IF(AND(INDEX('Roadmap Calc (Don’t Touch)'!$AA$2:$AX$151,$AI74,COLUMN()-COLUMN($J$16)+1)&gt;0,OR($D74="03. UX Discovery",$D74="04. UX Design")),IF(AND($H74&lt;&gt;"",$H74&lt;=EOMONTH(S$12,0),$I74&gt;=S$12),"ALL","PD+UX"),IF(AND($H74&lt;&gt;"",$H74&lt;=EOMONTH(S$12,0),$I74&gt;=S$12),"PD+DEV","PD")),IF(AND(INDEX('Roadmap Calc (Don’t Touch)'!$AA$2:$AX$151,$AI74,COLUMN()-COLUMN($J$16)+1)&gt;0,OR($D74="03. UX Discovery",$D74="04. UX Design")),IF(AND($H74&lt;&gt;"",$H74&lt;=EOMONTH(S$12,0),$I74&gt;=S$12),"UX+DEV","UX"),IF(AND($H74&lt;&gt;"",$H74&lt;=EOMONTH(S$12,0),$I74&gt;=S$12),"DEV",""))))</f>
      </c>
      <c r="T74" s="158" t="str">
        <f>IF($AI74="","",IF(AND($AN74&lt;&gt;"",$AN74&lt;=EOMONTH(T$12,0),$AO74&gt;=T$12),IF(AND(INDEX('Roadmap Calc (Don’t Touch)'!$AA$2:$AX$151,$AI74,COLUMN()-COLUMN($J$16)+1)&gt;0,OR($D74="03. UX Discovery",$D74="04. UX Design")),IF(AND($H74&lt;&gt;"",$H74&lt;=EOMONTH(T$12,0),$I74&gt;=T$12),"ALL","PD+UX"),IF(AND($H74&lt;&gt;"",$H74&lt;=EOMONTH(T$12,0),$I74&gt;=T$12),"PD+DEV","PD")),IF(AND(INDEX('Roadmap Calc (Don’t Touch)'!$AA$2:$AX$151,$AI74,COLUMN()-COLUMN($J$16)+1)&gt;0,OR($D74="03. UX Discovery",$D74="04. UX Design")),IF(AND($H74&lt;&gt;"",$H74&lt;=EOMONTH(T$12,0),$I74&gt;=T$12),"UX+DEV","UX"),IF(AND($H74&lt;&gt;"",$H74&lt;=EOMONTH(T$12,0),$I74&gt;=T$12),"DEV",""))))</f>
      </c>
      <c r="U74" s="158" t="str">
        <f>IF($AI74="","",IF(AND($AN74&lt;&gt;"",$AN74&lt;=EOMONTH(U$12,0),$AO74&gt;=U$12),IF(AND(INDEX('Roadmap Calc (Don’t Touch)'!$AA$2:$AX$151,$AI74,COLUMN()-COLUMN($J$16)+1)&gt;0,OR($D74="03. UX Discovery",$D74="04. UX Design")),IF(AND($H74&lt;&gt;"",$H74&lt;=EOMONTH(U$12,0),$I74&gt;=U$12),"ALL","PD+UX"),IF(AND($H74&lt;&gt;"",$H74&lt;=EOMONTH(U$12,0),$I74&gt;=U$12),"PD+DEV","PD")),IF(AND(INDEX('Roadmap Calc (Don’t Touch)'!$AA$2:$AX$151,$AI74,COLUMN()-COLUMN($J$16)+1)&gt;0,OR($D74="03. UX Discovery",$D74="04. UX Design")),IF(AND($H74&lt;&gt;"",$H74&lt;=EOMONTH(U$12,0),$I74&gt;=U$12),"UX+DEV","UX"),IF(AND($H74&lt;&gt;"",$H74&lt;=EOMONTH(U$12,0),$I74&gt;=U$12),"DEV",""))))</f>
      </c>
      <c r="V74" s="158" t="str">
        <f>IF($AI74="","",IF(AND($AN74&lt;&gt;"",$AN74&lt;=EOMONTH(V$12,0),$AO74&gt;=V$12),IF(AND(INDEX('Roadmap Calc (Don’t Touch)'!$AA$2:$AX$151,$AI74,COLUMN()-COLUMN($J$16)+1)&gt;0,OR($D74="03. UX Discovery",$D74="04. UX Design")),IF(AND($H74&lt;&gt;"",$H74&lt;=EOMONTH(V$12,0),$I74&gt;=V$12),"ALL","PD+UX"),IF(AND($H74&lt;&gt;"",$H74&lt;=EOMONTH(V$12,0),$I74&gt;=V$12),"PD+DEV","PD")),IF(AND(INDEX('Roadmap Calc (Don’t Touch)'!$AA$2:$AX$151,$AI74,COLUMN()-COLUMN($J$16)+1)&gt;0,OR($D74="03. UX Discovery",$D74="04. UX Design")),IF(AND($H74&lt;&gt;"",$H74&lt;=EOMONTH(V$12,0),$I74&gt;=V$12),"UX+DEV","UX"),IF(AND($H74&lt;&gt;"",$H74&lt;=EOMONTH(V$12,0),$I74&gt;=V$12),"DEV",""))))</f>
      </c>
      <c r="W74" s="158" t="str">
        <f>IF($AI74="","",IF(AND($AN74&lt;&gt;"",$AN74&lt;=EOMONTH(W$12,0),$AO74&gt;=W$12),IF(AND(INDEX('Roadmap Calc (Don’t Touch)'!$AA$2:$AX$151,$AI74,COLUMN()-COLUMN($J$16)+1)&gt;0,OR($D74="03. UX Discovery",$D74="04. UX Design")),IF(AND($H74&lt;&gt;"",$H74&lt;=EOMONTH(W$12,0),$I74&gt;=W$12),"ALL","PD+UX"),IF(AND($H74&lt;&gt;"",$H74&lt;=EOMONTH(W$12,0),$I74&gt;=W$12),"PD+DEV","PD")),IF(AND(INDEX('Roadmap Calc (Don’t Touch)'!$AA$2:$AX$151,$AI74,COLUMN()-COLUMN($J$16)+1)&gt;0,OR($D74="03. UX Discovery",$D74="04. UX Design")),IF(AND($H74&lt;&gt;"",$H74&lt;=EOMONTH(W$12,0),$I74&gt;=W$12),"UX+DEV","UX"),IF(AND($H74&lt;&gt;"",$H74&lt;=EOMONTH(W$12,0),$I74&gt;=W$12),"DEV",""))))</f>
      </c>
      <c r="X74" s="158" t="str">
        <f>IF($AI74="","",IF(AND($AN74&lt;&gt;"",$AN74&lt;=EOMONTH(X$12,0),$AO74&gt;=X$12),IF(AND(INDEX('Roadmap Calc (Don’t Touch)'!$AA$2:$AX$151,$AI74,COLUMN()-COLUMN($J$16)+1)&gt;0,OR($D74="03. UX Discovery",$D74="04. UX Design")),IF(AND($H74&lt;&gt;"",$H74&lt;=EOMONTH(X$12,0),$I74&gt;=X$12),"ALL","PD+UX"),IF(AND($H74&lt;&gt;"",$H74&lt;=EOMONTH(X$12,0),$I74&gt;=X$12),"PD+DEV","PD")),IF(AND(INDEX('Roadmap Calc (Don’t Touch)'!$AA$2:$AX$151,$AI74,COLUMN()-COLUMN($J$16)+1)&gt;0,OR($D74="03. UX Discovery",$D74="04. UX Design")),IF(AND($H74&lt;&gt;"",$H74&lt;=EOMONTH(X$12,0),$I74&gt;=X$12),"UX+DEV","UX"),IF(AND($H74&lt;&gt;"",$H74&lt;=EOMONTH(X$12,0),$I74&gt;=X$12),"DEV",""))))</f>
      </c>
      <c r="Y74" s="158" t="str">
        <f>IF($AI74="","",IF(AND($AN74&lt;&gt;"",$AN74&lt;=EOMONTH(Y$12,0),$AO74&gt;=Y$12),IF(AND(INDEX('Roadmap Calc (Don’t Touch)'!$AA$2:$AX$151,$AI74,COLUMN()-COLUMN($J$16)+1)&gt;0,OR($D74="03. UX Discovery",$D74="04. UX Design")),IF(AND($H74&lt;&gt;"",$H74&lt;=EOMONTH(Y$12,0),$I74&gt;=Y$12),"ALL","PD+UX"),IF(AND($H74&lt;&gt;"",$H74&lt;=EOMONTH(Y$12,0),$I74&gt;=Y$12),"PD+DEV","PD")),IF(AND(INDEX('Roadmap Calc (Don’t Touch)'!$AA$2:$AX$151,$AI74,COLUMN()-COLUMN($J$16)+1)&gt;0,OR($D74="03. UX Discovery",$D74="04. UX Design")),IF(AND($H74&lt;&gt;"",$H74&lt;=EOMONTH(Y$12,0),$I74&gt;=Y$12),"UX+DEV","UX"),IF(AND($H74&lt;&gt;"",$H74&lt;=EOMONTH(Y$12,0),$I74&gt;=Y$12),"DEV",""))))</f>
      </c>
      <c r="Z74" s="158" t="str">
        <f>IF($AI74="","",IF(AND($AN74&lt;&gt;"",$AN74&lt;=EOMONTH(Z$12,0),$AO74&gt;=Z$12),IF(AND(INDEX('Roadmap Calc (Don’t Touch)'!$AA$2:$AX$151,$AI74,COLUMN()-COLUMN($J$16)+1)&gt;0,OR($D74="03. UX Discovery",$D74="04. UX Design")),IF(AND($H74&lt;&gt;"",$H74&lt;=EOMONTH(Z$12,0),$I74&gt;=Z$12),"ALL","PD+UX"),IF(AND($H74&lt;&gt;"",$H74&lt;=EOMONTH(Z$12,0),$I74&gt;=Z$12),"PD+DEV","PD")),IF(AND(INDEX('Roadmap Calc (Don’t Touch)'!$AA$2:$AX$151,$AI74,COLUMN()-COLUMN($J$16)+1)&gt;0,OR($D74="03. UX Discovery",$D74="04. UX Design")),IF(AND($H74&lt;&gt;"",$H74&lt;=EOMONTH(Z$12,0),$I74&gt;=Z$12),"UX+DEV","UX"),IF(AND($H74&lt;&gt;"",$H74&lt;=EOMONTH(Z$12,0),$I74&gt;=Z$12),"DEV",""))))</f>
      </c>
      <c r="AA74" s="158" t="str">
        <f>IF($AI74="","",IF(AND($AN74&lt;&gt;"",$AN74&lt;=EOMONTH(AA$12,0),$AO74&gt;=AA$12),IF(AND(INDEX('Roadmap Calc (Don’t Touch)'!$AA$2:$AX$151,$AI74,COLUMN()-COLUMN($J$16)+1)&gt;0,OR($D74="03. UX Discovery",$D74="04. UX Design")),IF(AND($H74&lt;&gt;"",$H74&lt;=EOMONTH(AA$12,0),$I74&gt;=AA$12),"ALL","PD+UX"),IF(AND($H74&lt;&gt;"",$H74&lt;=EOMONTH(AA$12,0),$I74&gt;=AA$12),"PD+DEV","PD")),IF(AND(INDEX('Roadmap Calc (Don’t Touch)'!$AA$2:$AX$151,$AI74,COLUMN()-COLUMN($J$16)+1)&gt;0,OR($D74="03. UX Discovery",$D74="04. UX Design")),IF(AND($H74&lt;&gt;"",$H74&lt;=EOMONTH(AA$12,0),$I74&gt;=AA$12),"UX+DEV","UX"),IF(AND($H74&lt;&gt;"",$H74&lt;=EOMONTH(AA$12,0),$I74&gt;=AA$12),"DEV",""))))</f>
      </c>
      <c r="AB74" s="158" t="str">
        <f>IF($AI74="","",IF(AND($AN74&lt;&gt;"",$AN74&lt;=EOMONTH(AB$12,0),$AO74&gt;=AB$12),IF(AND(INDEX('Roadmap Calc (Don’t Touch)'!$AA$2:$AX$151,$AI74,COLUMN()-COLUMN($J$16)+1)&gt;0,OR($D74="03. UX Discovery",$D74="04. UX Design")),IF(AND($H74&lt;&gt;"",$H74&lt;=EOMONTH(AB$12,0),$I74&gt;=AB$12),"ALL","PD+UX"),IF(AND($H74&lt;&gt;"",$H74&lt;=EOMONTH(AB$12,0),$I74&gt;=AB$12),"PD+DEV","PD")),IF(AND(INDEX('Roadmap Calc (Don’t Touch)'!$AA$2:$AX$151,$AI74,COLUMN()-COLUMN($J$16)+1)&gt;0,OR($D74="03. UX Discovery",$D74="04. UX Design")),IF(AND($H74&lt;&gt;"",$H74&lt;=EOMONTH(AB$12,0),$I74&gt;=AB$12),"UX+DEV","UX"),IF(AND($H74&lt;&gt;"",$H74&lt;=EOMONTH(AB$12,0),$I74&gt;=AB$12),"DEV",""))))</f>
      </c>
      <c r="AC74" s="158" t="str">
        <f>IF($AI74="","",IF(AND($AN74&lt;&gt;"",$AN74&lt;=EOMONTH(AC$12,0),$AO74&gt;=AC$12),IF(AND(INDEX('Roadmap Calc (Don’t Touch)'!$AA$2:$AX$151,$AI74,COLUMN()-COLUMN($J$16)+1)&gt;0,OR($D74="03. UX Discovery",$D74="04. UX Design")),IF(AND($H74&lt;&gt;"",$H74&lt;=EOMONTH(AC$12,0),$I74&gt;=AC$12),"ALL","PD+UX"),IF(AND($H74&lt;&gt;"",$H74&lt;=EOMONTH(AC$12,0),$I74&gt;=AC$12),"PD+DEV","PD")),IF(AND(INDEX('Roadmap Calc (Don’t Touch)'!$AA$2:$AX$151,$AI74,COLUMN()-COLUMN($J$16)+1)&gt;0,OR($D74="03. UX Discovery",$D74="04. UX Design")),IF(AND($H74&lt;&gt;"",$H74&lt;=EOMONTH(AC$12,0),$I74&gt;=AC$12),"UX+DEV","UX"),IF(AND($H74&lt;&gt;"",$H74&lt;=EOMONTH(AC$12,0),$I74&gt;=AC$12),"DEV",""))))</f>
      </c>
      <c r="AD74" s="158" t="str">
        <f>IF($AI74="","",IF(AND($AN74&lt;&gt;"",$AN74&lt;=EOMONTH(AD$12,0),$AO74&gt;=AD$12),IF(AND(INDEX('Roadmap Calc (Don’t Touch)'!$AA$2:$AX$151,$AI74,COLUMN()-COLUMN($J$16)+1)&gt;0,OR($D74="03. UX Discovery",$D74="04. UX Design")),IF(AND($H74&lt;&gt;"",$H74&lt;=EOMONTH(AD$12,0),$I74&gt;=AD$12),"ALL","PD+UX"),IF(AND($H74&lt;&gt;"",$H74&lt;=EOMONTH(AD$12,0),$I74&gt;=AD$12),"PD+DEV","PD")),IF(AND(INDEX('Roadmap Calc (Don’t Touch)'!$AA$2:$AX$151,$AI74,COLUMN()-COLUMN($J$16)+1)&gt;0,OR($D74="03. UX Discovery",$D74="04. UX Design")),IF(AND($H74&lt;&gt;"",$H74&lt;=EOMONTH(AD$12,0),$I74&gt;=AD$12),"UX+DEV","UX"),IF(AND($H74&lt;&gt;"",$H74&lt;=EOMONTH(AD$12,0),$I74&gt;=AD$12),"DEV",""))))</f>
      </c>
      <c r="AE74" s="158" t="str">
        <f>IF($AI74="","",IF(AND($AN74&lt;&gt;"",$AN74&lt;=EOMONTH(AE$12,0),$AO74&gt;=AE$12),IF(AND(INDEX('Roadmap Calc (Don’t Touch)'!$AA$2:$AX$151,$AI74,COLUMN()-COLUMN($J$16)+1)&gt;0,OR($D74="03. UX Discovery",$D74="04. UX Design")),IF(AND($H74&lt;&gt;"",$H74&lt;=EOMONTH(AE$12,0),$I74&gt;=AE$12),"ALL","PD+UX"),IF(AND($H74&lt;&gt;"",$H74&lt;=EOMONTH(AE$12,0),$I74&gt;=AE$12),"PD+DEV","PD")),IF(AND(INDEX('Roadmap Calc (Don’t Touch)'!$AA$2:$AX$151,$AI74,COLUMN()-COLUMN($J$16)+1)&gt;0,OR($D74="03. UX Discovery",$D74="04. UX Design")),IF(AND($H74&lt;&gt;"",$H74&lt;=EOMONTH(AE$12,0),$I74&gt;=AE$12),"UX+DEV","UX"),IF(AND($H74&lt;&gt;"",$H74&lt;=EOMONTH(AE$12,0),$I74&gt;=AE$12),"DEV",""))))</f>
      </c>
      <c r="AF74" s="158" t="str">
        <f>IF($AI74="","",IF(AND($AN74&lt;&gt;"",$AN74&lt;=EOMONTH(AF$12,0),$AO74&gt;=AF$12),IF(AND(INDEX('Roadmap Calc (Don’t Touch)'!$AA$2:$AX$151,$AI74,COLUMN()-COLUMN($J$16)+1)&gt;0,OR($D74="03. UX Discovery",$D74="04. UX Design")),IF(AND($H74&lt;&gt;"",$H74&lt;=EOMONTH(AF$12,0),$I74&gt;=AF$12),"ALL","PD+UX"),IF(AND($H74&lt;&gt;"",$H74&lt;=EOMONTH(AF$12,0),$I74&gt;=AF$12),"PD+DEV","PD")),IF(AND(INDEX('Roadmap Calc (Don’t Touch)'!$AA$2:$AX$151,$AI74,COLUMN()-COLUMN($J$16)+1)&gt;0,OR($D74="03. UX Discovery",$D74="04. UX Design")),IF(AND($H74&lt;&gt;"",$H74&lt;=EOMONTH(AF$12,0),$I74&gt;=AF$12),"UX+DEV","UX"),IF(AND($H74&lt;&gt;"",$H74&lt;=EOMONTH(AF$12,0),$I74&gt;=AF$12),"DEV",""))))</f>
      </c>
      <c r="AG74" s="158" t="str">
        <f>IF($AI74="","",IF(AND($AN74&lt;&gt;"",$AN74&lt;=EOMONTH(AG$12,0),$AO74&gt;=AG$12),IF(AND(INDEX('Roadmap Calc (Don’t Touch)'!$AA$2:$AX$151,$AI74,COLUMN()-COLUMN($J$16)+1)&gt;0,OR($D74="03. UX Discovery",$D74="04. UX Design")),IF(AND($H74&lt;&gt;"",$H74&lt;=EOMONTH(AG$12,0),$I74&gt;=AG$12),"ALL","PD+UX"),IF(AND($H74&lt;&gt;"",$H74&lt;=EOMONTH(AG$12,0),$I74&gt;=AG$12),"PD+DEV","PD")),IF(AND(INDEX('Roadmap Calc (Don’t Touch)'!$AA$2:$AX$151,$AI74,COLUMN()-COLUMN($J$16)+1)&gt;0,OR($D74="03. UX Discovery",$D74="04. UX Design")),IF(AND($H74&lt;&gt;"",$H74&lt;=EOMONTH(AG$12,0),$I74&gt;=AG$12),"UX+DEV","UX"),IF(AND($H74&lt;&gt;"",$H74&lt;=EOMONTH(AG$12,0),$I74&gt;=AG$12),"DEV",""))))</f>
      </c>
      <c r="AH74" s="145" t="str">
        <f>IF($AI74="","",INDEX('Roadmap Calc (Don’t Touch)'!$D$2:$D$151,$AI74))</f>
        <v/>
      </c>
      <c r="AI74" s="145" t="str">
        <f>IFERROR(MATCH(59,'Roadmap Calc (Don’t Touch)'!$O$2:$O$151,0),"")</f>
        <v/>
      </c>
      <c r="AJ74" s="145"/>
      <c r="AK74" s="145"/>
      <c r="AL74" s="145"/>
      <c r="AM74" s="145"/>
      <c r="AN74">
        <f>IF($AI74="","",IF(ISNUMBER(INDEX('Roadmap Calc (Don’t Touch)'!$BB$2:$BB$151,$AI74)),INDEX('Roadmap Calc (Don’t Touch)'!$BB$2:$BB$151,$AI74),""))</f>
      </c>
      <c r="AO74">
        <f>IF($AI74="","",IF(ISNUMBER(INDEX('Roadmap Calc (Don’t Touch)'!$BC$2:$BC$151,$AI74)),INDEX('Roadmap Calc (Don’t Touch)'!$BC$2:$BC$151,$AI74),""))</f>
      </c>
    </row>
    <row r="75" spans="1:41" ht="17" customHeight="1" x14ac:dyDescent="0.25">
      <c r="A75" s="152" t="str">
        <f>IF($AI75="","",IF($AH75=$AH74,"",IF(INDEX('Roadmap Calc (Don’t Touch)'!$U$2:$U$151,$AI75)=0,$AH75,HYPERLINK("#'Control (Don’t Touch)'!E"&amp;INDEX('Roadmap Calc (Don’t Touch)'!$U$2:$U$151,$AI75),$AH75))))</f>
        <v/>
      </c>
      <c r="B75" s="153" t="str">
        <f>IF($AI75="","",IF(INDEX('Roadmap Calc (Don’t Touch)'!$K$2:$K$151,$AI75)="",INDEX('Roadmap Calc (Don’t Touch)'!$B$2:$B$151,$AI75),HYPERLINK("https://jira.bnh.com/browse/"&amp;INDEX('Roadmap Calc (Don’t Touch)'!$K$2:$K$151,$AI75),INDEX('Roadmap Calc (Don’t Touch)'!$B$2:$B$151,$AI75))))</f>
        <v/>
      </c>
      <c r="C75" s="153" t="str">
        <f>IF($AI75="","",IF(INDEX('Roadmap Calc (Don’t Touch)'!$E$2:$E$151,$AI75)="","",HYPERLINK("https://jira.bnh.com/browse/"&amp;INDEX('Roadmap Calc (Don’t Touch)'!$E$2:$E$151,$AI75),INDEX('Roadmap Calc (Don’t Touch)'!$E$2:$E$151,$AI75))))</f>
        <v/>
      </c>
      <c r="D75" s="154" t="str">
        <f>IF($AI75="","",INDEX('Roadmap Calc (Don’t Touch)'!$F$2:$F$151,$AI75))</f>
        <v/>
      </c>
      <c r="E75" s="155" t="str">
        <f>IF($AI75="","",IF(ISNUMBER(INDEX('Roadmap Calc (Don’t Touch)'!$G$2:$G$151,$AI75)),INDEX('Roadmap Calc (Don’t Touch)'!$G$2:$G$151,$AI75),""))</f>
        <v/>
      </c>
      <c r="F75" s="155" t="str">
        <f>IF($AI75="","",IF(ISNUMBER(INDEX('Roadmap Calc (Don’t Touch)'!$H$2:$H$151,$AI75)),INDEX('Roadmap Calc (Don’t Touch)'!$H$2:$H$151,$AI75),""))</f>
        <v/>
      </c>
      <c r="G75" s="156" t="str">
        <f>IF($AI75="","",INDEX('Roadmap Calc (Don’t Touch)'!$T$2:$T$151,$AI75))</f>
        <v/>
      </c>
      <c r="H75" s="157" t="str">
        <f>IF($AI75="","",IF(ISNUMBER(INDEX('Roadmap Calc (Don’t Touch)'!$I$2:$I$151,$AI75)),INDEX('Roadmap Calc (Don’t Touch)'!$I$2:$I$151,$AI75),""))</f>
        <v/>
      </c>
      <c r="I75" s="157" t="str">
        <f>IF($AI75="","",IF(ISNUMBER(INDEX('Roadmap Calc (Don’t Touch)'!$J$2:$J$151,$AI75)),INDEX('Roadmap Calc (Don’t Touch)'!$J$2:$J$151,$AI75),""))</f>
        <v/>
      </c>
      <c r="J75" s="158" t="str">
        <f>IF($AI75="","",IF(AND($AN75&lt;&gt;"",$AN75&lt;=EOMONTH(J$12,0),$AO75&gt;=J$12),IF(AND(INDEX('Roadmap Calc (Don’t Touch)'!$AA$2:$AX$151,$AI75,COLUMN()-COLUMN($J$16)+1)&gt;0,OR($D75="03. UX Discovery",$D75="04. UX Design")),IF(AND($H75&lt;&gt;"",$H75&lt;=EOMONTH(J$12,0),$I75&gt;=J$12),"ALL","PD+UX"),IF(AND($H75&lt;&gt;"",$H75&lt;=EOMONTH(J$12,0),$I75&gt;=J$12),"PD+DEV","PD")),IF(AND(INDEX('Roadmap Calc (Don’t Touch)'!$AA$2:$AX$151,$AI75,COLUMN()-COLUMN($J$16)+1)&gt;0,OR($D75="03. UX Discovery",$D75="04. UX Design")),IF(AND($H75&lt;&gt;"",$H75&lt;=EOMONTH(J$12,0),$I75&gt;=J$12),"UX+DEV","UX"),IF(AND($H75&lt;&gt;"",$H75&lt;=EOMONTH(J$12,0),$I75&gt;=J$12),"DEV",""))))</f>
      </c>
      <c r="K75" s="158" t="str">
        <f>IF($AI75="","",IF(AND($AN75&lt;&gt;"",$AN75&lt;=EOMONTH(K$12,0),$AO75&gt;=K$12),IF(AND(INDEX('Roadmap Calc (Don’t Touch)'!$AA$2:$AX$151,$AI75,COLUMN()-COLUMN($J$16)+1)&gt;0,OR($D75="03. UX Discovery",$D75="04. UX Design")),IF(AND($H75&lt;&gt;"",$H75&lt;=EOMONTH(K$12,0),$I75&gt;=K$12),"ALL","PD+UX"),IF(AND($H75&lt;&gt;"",$H75&lt;=EOMONTH(K$12,0),$I75&gt;=K$12),"PD+DEV","PD")),IF(AND(INDEX('Roadmap Calc (Don’t Touch)'!$AA$2:$AX$151,$AI75,COLUMN()-COLUMN($J$16)+1)&gt;0,OR($D75="03. UX Discovery",$D75="04. UX Design")),IF(AND($H75&lt;&gt;"",$H75&lt;=EOMONTH(K$12,0),$I75&gt;=K$12),"UX+DEV","UX"),IF(AND($H75&lt;&gt;"",$H75&lt;=EOMONTH(K$12,0),$I75&gt;=K$12),"DEV",""))))</f>
      </c>
      <c r="L75" s="158" t="str">
        <f>IF($AI75="","",IF(AND($AN75&lt;&gt;"",$AN75&lt;=EOMONTH(L$12,0),$AO75&gt;=L$12),IF(AND(INDEX('Roadmap Calc (Don’t Touch)'!$AA$2:$AX$151,$AI75,COLUMN()-COLUMN($J$16)+1)&gt;0,OR($D75="03. UX Discovery",$D75="04. UX Design")),IF(AND($H75&lt;&gt;"",$H75&lt;=EOMONTH(L$12,0),$I75&gt;=L$12),"ALL","PD+UX"),IF(AND($H75&lt;&gt;"",$H75&lt;=EOMONTH(L$12,0),$I75&gt;=L$12),"PD+DEV","PD")),IF(AND(INDEX('Roadmap Calc (Don’t Touch)'!$AA$2:$AX$151,$AI75,COLUMN()-COLUMN($J$16)+1)&gt;0,OR($D75="03. UX Discovery",$D75="04. UX Design")),IF(AND($H75&lt;&gt;"",$H75&lt;=EOMONTH(L$12,0),$I75&gt;=L$12),"UX+DEV","UX"),IF(AND($H75&lt;&gt;"",$H75&lt;=EOMONTH(L$12,0),$I75&gt;=L$12),"DEV",""))))</f>
      </c>
      <c r="M75" s="158" t="str">
        <f>IF($AI75="","",IF(AND($AN75&lt;&gt;"",$AN75&lt;=EOMONTH(M$12,0),$AO75&gt;=M$12),IF(AND(INDEX('Roadmap Calc (Don’t Touch)'!$AA$2:$AX$151,$AI75,COLUMN()-COLUMN($J$16)+1)&gt;0,OR($D75="03. UX Discovery",$D75="04. UX Design")),IF(AND($H75&lt;&gt;"",$H75&lt;=EOMONTH(M$12,0),$I75&gt;=M$12),"ALL","PD+UX"),IF(AND($H75&lt;&gt;"",$H75&lt;=EOMONTH(M$12,0),$I75&gt;=M$12),"PD+DEV","PD")),IF(AND(INDEX('Roadmap Calc (Don’t Touch)'!$AA$2:$AX$151,$AI75,COLUMN()-COLUMN($J$16)+1)&gt;0,OR($D75="03. UX Discovery",$D75="04. UX Design")),IF(AND($H75&lt;&gt;"",$H75&lt;=EOMONTH(M$12,0),$I75&gt;=M$12),"UX+DEV","UX"),IF(AND($H75&lt;&gt;"",$H75&lt;=EOMONTH(M$12,0),$I75&gt;=M$12),"DEV",""))))</f>
      </c>
      <c r="N75" s="158" t="str">
        <f>IF($AI75="","",IF(AND($AN75&lt;&gt;"",$AN75&lt;=EOMONTH(N$12,0),$AO75&gt;=N$12),IF(AND(INDEX('Roadmap Calc (Don’t Touch)'!$AA$2:$AX$151,$AI75,COLUMN()-COLUMN($J$16)+1)&gt;0,OR($D75="03. UX Discovery",$D75="04. UX Design")),IF(AND($H75&lt;&gt;"",$H75&lt;=EOMONTH(N$12,0),$I75&gt;=N$12),"ALL","PD+UX"),IF(AND($H75&lt;&gt;"",$H75&lt;=EOMONTH(N$12,0),$I75&gt;=N$12),"PD+DEV","PD")),IF(AND(INDEX('Roadmap Calc (Don’t Touch)'!$AA$2:$AX$151,$AI75,COLUMN()-COLUMN($J$16)+1)&gt;0,OR($D75="03. UX Discovery",$D75="04. UX Design")),IF(AND($H75&lt;&gt;"",$H75&lt;=EOMONTH(N$12,0),$I75&gt;=N$12),"UX+DEV","UX"),IF(AND($H75&lt;&gt;"",$H75&lt;=EOMONTH(N$12,0),$I75&gt;=N$12),"DEV",""))))</f>
      </c>
      <c r="O75" s="158" t="str">
        <f>IF($AI75="","",IF(AND($AN75&lt;&gt;"",$AN75&lt;=EOMONTH(O$12,0),$AO75&gt;=O$12),IF(AND(INDEX('Roadmap Calc (Don’t Touch)'!$AA$2:$AX$151,$AI75,COLUMN()-COLUMN($J$16)+1)&gt;0,OR($D75="03. UX Discovery",$D75="04. UX Design")),IF(AND($H75&lt;&gt;"",$H75&lt;=EOMONTH(O$12,0),$I75&gt;=O$12),"ALL","PD+UX"),IF(AND($H75&lt;&gt;"",$H75&lt;=EOMONTH(O$12,0),$I75&gt;=O$12),"PD+DEV","PD")),IF(AND(INDEX('Roadmap Calc (Don’t Touch)'!$AA$2:$AX$151,$AI75,COLUMN()-COLUMN($J$16)+1)&gt;0,OR($D75="03. UX Discovery",$D75="04. UX Design")),IF(AND($H75&lt;&gt;"",$H75&lt;=EOMONTH(O$12,0),$I75&gt;=O$12),"UX+DEV","UX"),IF(AND($H75&lt;&gt;"",$H75&lt;=EOMONTH(O$12,0),$I75&gt;=O$12),"DEV",""))))</f>
      </c>
      <c r="P75" s="158" t="str">
        <f>IF($AI75="","",IF(AND($AN75&lt;&gt;"",$AN75&lt;=EOMONTH(P$12,0),$AO75&gt;=P$12),IF(AND(INDEX('Roadmap Calc (Don’t Touch)'!$AA$2:$AX$151,$AI75,COLUMN()-COLUMN($J$16)+1)&gt;0,OR($D75="03. UX Discovery",$D75="04. UX Design")),IF(AND($H75&lt;&gt;"",$H75&lt;=EOMONTH(P$12,0),$I75&gt;=P$12),"ALL","PD+UX"),IF(AND($H75&lt;&gt;"",$H75&lt;=EOMONTH(P$12,0),$I75&gt;=P$12),"PD+DEV","PD")),IF(AND(INDEX('Roadmap Calc (Don’t Touch)'!$AA$2:$AX$151,$AI75,COLUMN()-COLUMN($J$16)+1)&gt;0,OR($D75="03. UX Discovery",$D75="04. UX Design")),IF(AND($H75&lt;&gt;"",$H75&lt;=EOMONTH(P$12,0),$I75&gt;=P$12),"UX+DEV","UX"),IF(AND($H75&lt;&gt;"",$H75&lt;=EOMONTH(P$12,0),$I75&gt;=P$12),"DEV",""))))</f>
      </c>
      <c r="Q75" s="158" t="str">
        <f>IF($AI75="","",IF(AND($AN75&lt;&gt;"",$AN75&lt;=EOMONTH(Q$12,0),$AO75&gt;=Q$12),IF(AND(INDEX('Roadmap Calc (Don’t Touch)'!$AA$2:$AX$151,$AI75,COLUMN()-COLUMN($J$16)+1)&gt;0,OR($D75="03. UX Discovery",$D75="04. UX Design")),IF(AND($H75&lt;&gt;"",$H75&lt;=EOMONTH(Q$12,0),$I75&gt;=Q$12),"ALL","PD+UX"),IF(AND($H75&lt;&gt;"",$H75&lt;=EOMONTH(Q$12,0),$I75&gt;=Q$12),"PD+DEV","PD")),IF(AND(INDEX('Roadmap Calc (Don’t Touch)'!$AA$2:$AX$151,$AI75,COLUMN()-COLUMN($J$16)+1)&gt;0,OR($D75="03. UX Discovery",$D75="04. UX Design")),IF(AND($H75&lt;&gt;"",$H75&lt;=EOMONTH(Q$12,0),$I75&gt;=Q$12),"UX+DEV","UX"),IF(AND($H75&lt;&gt;"",$H75&lt;=EOMONTH(Q$12,0),$I75&gt;=Q$12),"DEV",""))))</f>
      </c>
      <c r="R75" s="158" t="str">
        <f>IF($AI75="","",IF(AND($AN75&lt;&gt;"",$AN75&lt;=EOMONTH(R$12,0),$AO75&gt;=R$12),IF(AND(INDEX('Roadmap Calc (Don’t Touch)'!$AA$2:$AX$151,$AI75,COLUMN()-COLUMN($J$16)+1)&gt;0,OR($D75="03. UX Discovery",$D75="04. UX Design")),IF(AND($H75&lt;&gt;"",$H75&lt;=EOMONTH(R$12,0),$I75&gt;=R$12),"ALL","PD+UX"),IF(AND($H75&lt;&gt;"",$H75&lt;=EOMONTH(R$12,0),$I75&gt;=R$12),"PD+DEV","PD")),IF(AND(INDEX('Roadmap Calc (Don’t Touch)'!$AA$2:$AX$151,$AI75,COLUMN()-COLUMN($J$16)+1)&gt;0,OR($D75="03. UX Discovery",$D75="04. UX Design")),IF(AND($H75&lt;&gt;"",$H75&lt;=EOMONTH(R$12,0),$I75&gt;=R$12),"UX+DEV","UX"),IF(AND($H75&lt;&gt;"",$H75&lt;=EOMONTH(R$12,0),$I75&gt;=R$12),"DEV",""))))</f>
      </c>
      <c r="S75" s="158" t="str">
        <f>IF($AI75="","",IF(AND($AN75&lt;&gt;"",$AN75&lt;=EOMONTH(S$12,0),$AO75&gt;=S$12),IF(AND(INDEX('Roadmap Calc (Don’t Touch)'!$AA$2:$AX$151,$AI75,COLUMN()-COLUMN($J$16)+1)&gt;0,OR($D75="03. UX Discovery",$D75="04. UX Design")),IF(AND($H75&lt;&gt;"",$H75&lt;=EOMONTH(S$12,0),$I75&gt;=S$12),"ALL","PD+UX"),IF(AND($H75&lt;&gt;"",$H75&lt;=EOMONTH(S$12,0),$I75&gt;=S$12),"PD+DEV","PD")),IF(AND(INDEX('Roadmap Calc (Don’t Touch)'!$AA$2:$AX$151,$AI75,COLUMN()-COLUMN($J$16)+1)&gt;0,OR($D75="03. UX Discovery",$D75="04. UX Design")),IF(AND($H75&lt;&gt;"",$H75&lt;=EOMONTH(S$12,0),$I75&gt;=S$12),"UX+DEV","UX"),IF(AND($H75&lt;&gt;"",$H75&lt;=EOMONTH(S$12,0),$I75&gt;=S$12),"DEV",""))))</f>
      </c>
      <c r="T75" s="158" t="str">
        <f>IF($AI75="","",IF(AND($AN75&lt;&gt;"",$AN75&lt;=EOMONTH(T$12,0),$AO75&gt;=T$12),IF(AND(INDEX('Roadmap Calc (Don’t Touch)'!$AA$2:$AX$151,$AI75,COLUMN()-COLUMN($J$16)+1)&gt;0,OR($D75="03. UX Discovery",$D75="04. UX Design")),IF(AND($H75&lt;&gt;"",$H75&lt;=EOMONTH(T$12,0),$I75&gt;=T$12),"ALL","PD+UX"),IF(AND($H75&lt;&gt;"",$H75&lt;=EOMONTH(T$12,0),$I75&gt;=T$12),"PD+DEV","PD")),IF(AND(INDEX('Roadmap Calc (Don’t Touch)'!$AA$2:$AX$151,$AI75,COLUMN()-COLUMN($J$16)+1)&gt;0,OR($D75="03. UX Discovery",$D75="04. UX Design")),IF(AND($H75&lt;&gt;"",$H75&lt;=EOMONTH(T$12,0),$I75&gt;=T$12),"UX+DEV","UX"),IF(AND($H75&lt;&gt;"",$H75&lt;=EOMONTH(T$12,0),$I75&gt;=T$12),"DEV",""))))</f>
      </c>
      <c r="U75" s="158" t="str">
        <f>IF($AI75="","",IF(AND($AN75&lt;&gt;"",$AN75&lt;=EOMONTH(U$12,0),$AO75&gt;=U$12),IF(AND(INDEX('Roadmap Calc (Don’t Touch)'!$AA$2:$AX$151,$AI75,COLUMN()-COLUMN($J$16)+1)&gt;0,OR($D75="03. UX Discovery",$D75="04. UX Design")),IF(AND($H75&lt;&gt;"",$H75&lt;=EOMONTH(U$12,0),$I75&gt;=U$12),"ALL","PD+UX"),IF(AND($H75&lt;&gt;"",$H75&lt;=EOMONTH(U$12,0),$I75&gt;=U$12),"PD+DEV","PD")),IF(AND(INDEX('Roadmap Calc (Don’t Touch)'!$AA$2:$AX$151,$AI75,COLUMN()-COLUMN($J$16)+1)&gt;0,OR($D75="03. UX Discovery",$D75="04. UX Design")),IF(AND($H75&lt;&gt;"",$H75&lt;=EOMONTH(U$12,0),$I75&gt;=U$12),"UX+DEV","UX"),IF(AND($H75&lt;&gt;"",$H75&lt;=EOMONTH(U$12,0),$I75&gt;=U$12),"DEV",""))))</f>
      </c>
      <c r="V75" s="158" t="str">
        <f>IF($AI75="","",IF(AND($AN75&lt;&gt;"",$AN75&lt;=EOMONTH(V$12,0),$AO75&gt;=V$12),IF(AND(INDEX('Roadmap Calc (Don’t Touch)'!$AA$2:$AX$151,$AI75,COLUMN()-COLUMN($J$16)+1)&gt;0,OR($D75="03. UX Discovery",$D75="04. UX Design")),IF(AND($H75&lt;&gt;"",$H75&lt;=EOMONTH(V$12,0),$I75&gt;=V$12),"ALL","PD+UX"),IF(AND($H75&lt;&gt;"",$H75&lt;=EOMONTH(V$12,0),$I75&gt;=V$12),"PD+DEV","PD")),IF(AND(INDEX('Roadmap Calc (Don’t Touch)'!$AA$2:$AX$151,$AI75,COLUMN()-COLUMN($J$16)+1)&gt;0,OR($D75="03. UX Discovery",$D75="04. UX Design")),IF(AND($H75&lt;&gt;"",$H75&lt;=EOMONTH(V$12,0),$I75&gt;=V$12),"UX+DEV","UX"),IF(AND($H75&lt;&gt;"",$H75&lt;=EOMONTH(V$12,0),$I75&gt;=V$12),"DEV",""))))</f>
      </c>
      <c r="W75" s="158" t="str">
        <f>IF($AI75="","",IF(AND($AN75&lt;&gt;"",$AN75&lt;=EOMONTH(W$12,0),$AO75&gt;=W$12),IF(AND(INDEX('Roadmap Calc (Don’t Touch)'!$AA$2:$AX$151,$AI75,COLUMN()-COLUMN($J$16)+1)&gt;0,OR($D75="03. UX Discovery",$D75="04. UX Design")),IF(AND($H75&lt;&gt;"",$H75&lt;=EOMONTH(W$12,0),$I75&gt;=W$12),"ALL","PD+UX"),IF(AND($H75&lt;&gt;"",$H75&lt;=EOMONTH(W$12,0),$I75&gt;=W$12),"PD+DEV","PD")),IF(AND(INDEX('Roadmap Calc (Don’t Touch)'!$AA$2:$AX$151,$AI75,COLUMN()-COLUMN($J$16)+1)&gt;0,OR($D75="03. UX Discovery",$D75="04. UX Design")),IF(AND($H75&lt;&gt;"",$H75&lt;=EOMONTH(W$12,0),$I75&gt;=W$12),"UX+DEV","UX"),IF(AND($H75&lt;&gt;"",$H75&lt;=EOMONTH(W$12,0),$I75&gt;=W$12),"DEV",""))))</f>
      </c>
      <c r="X75" s="158" t="str">
        <f>IF($AI75="","",IF(AND($AN75&lt;&gt;"",$AN75&lt;=EOMONTH(X$12,0),$AO75&gt;=X$12),IF(AND(INDEX('Roadmap Calc (Don’t Touch)'!$AA$2:$AX$151,$AI75,COLUMN()-COLUMN($J$16)+1)&gt;0,OR($D75="03. UX Discovery",$D75="04. UX Design")),IF(AND($H75&lt;&gt;"",$H75&lt;=EOMONTH(X$12,0),$I75&gt;=X$12),"ALL","PD+UX"),IF(AND($H75&lt;&gt;"",$H75&lt;=EOMONTH(X$12,0),$I75&gt;=X$12),"PD+DEV","PD")),IF(AND(INDEX('Roadmap Calc (Don’t Touch)'!$AA$2:$AX$151,$AI75,COLUMN()-COLUMN($J$16)+1)&gt;0,OR($D75="03. UX Discovery",$D75="04. UX Design")),IF(AND($H75&lt;&gt;"",$H75&lt;=EOMONTH(X$12,0),$I75&gt;=X$12),"UX+DEV","UX"),IF(AND($H75&lt;&gt;"",$H75&lt;=EOMONTH(X$12,0),$I75&gt;=X$12),"DEV",""))))</f>
      </c>
      <c r="Y75" s="158" t="str">
        <f>IF($AI75="","",IF(AND($AN75&lt;&gt;"",$AN75&lt;=EOMONTH(Y$12,0),$AO75&gt;=Y$12),IF(AND(INDEX('Roadmap Calc (Don’t Touch)'!$AA$2:$AX$151,$AI75,COLUMN()-COLUMN($J$16)+1)&gt;0,OR($D75="03. UX Discovery",$D75="04. UX Design")),IF(AND($H75&lt;&gt;"",$H75&lt;=EOMONTH(Y$12,0),$I75&gt;=Y$12),"ALL","PD+UX"),IF(AND($H75&lt;&gt;"",$H75&lt;=EOMONTH(Y$12,0),$I75&gt;=Y$12),"PD+DEV","PD")),IF(AND(INDEX('Roadmap Calc (Don’t Touch)'!$AA$2:$AX$151,$AI75,COLUMN()-COLUMN($J$16)+1)&gt;0,OR($D75="03. UX Discovery",$D75="04. UX Design")),IF(AND($H75&lt;&gt;"",$H75&lt;=EOMONTH(Y$12,0),$I75&gt;=Y$12),"UX+DEV","UX"),IF(AND($H75&lt;&gt;"",$H75&lt;=EOMONTH(Y$12,0),$I75&gt;=Y$12),"DEV",""))))</f>
      </c>
      <c r="Z75" s="158" t="str">
        <f>IF($AI75="","",IF(AND($AN75&lt;&gt;"",$AN75&lt;=EOMONTH(Z$12,0),$AO75&gt;=Z$12),IF(AND(INDEX('Roadmap Calc (Don’t Touch)'!$AA$2:$AX$151,$AI75,COLUMN()-COLUMN($J$16)+1)&gt;0,OR($D75="03. UX Discovery",$D75="04. UX Design")),IF(AND($H75&lt;&gt;"",$H75&lt;=EOMONTH(Z$12,0),$I75&gt;=Z$12),"ALL","PD+UX"),IF(AND($H75&lt;&gt;"",$H75&lt;=EOMONTH(Z$12,0),$I75&gt;=Z$12),"PD+DEV","PD")),IF(AND(INDEX('Roadmap Calc (Don’t Touch)'!$AA$2:$AX$151,$AI75,COLUMN()-COLUMN($J$16)+1)&gt;0,OR($D75="03. UX Discovery",$D75="04. UX Design")),IF(AND($H75&lt;&gt;"",$H75&lt;=EOMONTH(Z$12,0),$I75&gt;=Z$12),"UX+DEV","UX"),IF(AND($H75&lt;&gt;"",$H75&lt;=EOMONTH(Z$12,0),$I75&gt;=Z$12),"DEV",""))))</f>
      </c>
      <c r="AA75" s="158" t="str">
        <f>IF($AI75="","",IF(AND($AN75&lt;&gt;"",$AN75&lt;=EOMONTH(AA$12,0),$AO75&gt;=AA$12),IF(AND(INDEX('Roadmap Calc (Don’t Touch)'!$AA$2:$AX$151,$AI75,COLUMN()-COLUMN($J$16)+1)&gt;0,OR($D75="03. UX Discovery",$D75="04. UX Design")),IF(AND($H75&lt;&gt;"",$H75&lt;=EOMONTH(AA$12,0),$I75&gt;=AA$12),"ALL","PD+UX"),IF(AND($H75&lt;&gt;"",$H75&lt;=EOMONTH(AA$12,0),$I75&gt;=AA$12),"PD+DEV","PD")),IF(AND(INDEX('Roadmap Calc (Don’t Touch)'!$AA$2:$AX$151,$AI75,COLUMN()-COLUMN($J$16)+1)&gt;0,OR($D75="03. UX Discovery",$D75="04. UX Design")),IF(AND($H75&lt;&gt;"",$H75&lt;=EOMONTH(AA$12,0),$I75&gt;=AA$12),"UX+DEV","UX"),IF(AND($H75&lt;&gt;"",$H75&lt;=EOMONTH(AA$12,0),$I75&gt;=AA$12),"DEV",""))))</f>
      </c>
      <c r="AB75" s="158" t="str">
        <f>IF($AI75="","",IF(AND($AN75&lt;&gt;"",$AN75&lt;=EOMONTH(AB$12,0),$AO75&gt;=AB$12),IF(AND(INDEX('Roadmap Calc (Don’t Touch)'!$AA$2:$AX$151,$AI75,COLUMN()-COLUMN($J$16)+1)&gt;0,OR($D75="03. UX Discovery",$D75="04. UX Design")),IF(AND($H75&lt;&gt;"",$H75&lt;=EOMONTH(AB$12,0),$I75&gt;=AB$12),"ALL","PD+UX"),IF(AND($H75&lt;&gt;"",$H75&lt;=EOMONTH(AB$12,0),$I75&gt;=AB$12),"PD+DEV","PD")),IF(AND(INDEX('Roadmap Calc (Don’t Touch)'!$AA$2:$AX$151,$AI75,COLUMN()-COLUMN($J$16)+1)&gt;0,OR($D75="03. UX Discovery",$D75="04. UX Design")),IF(AND($H75&lt;&gt;"",$H75&lt;=EOMONTH(AB$12,0),$I75&gt;=AB$12),"UX+DEV","UX"),IF(AND($H75&lt;&gt;"",$H75&lt;=EOMONTH(AB$12,0),$I75&gt;=AB$12),"DEV",""))))</f>
      </c>
      <c r="AC75" s="158" t="str">
        <f>IF($AI75="","",IF(AND($AN75&lt;&gt;"",$AN75&lt;=EOMONTH(AC$12,0),$AO75&gt;=AC$12),IF(AND(INDEX('Roadmap Calc (Don’t Touch)'!$AA$2:$AX$151,$AI75,COLUMN()-COLUMN($J$16)+1)&gt;0,OR($D75="03. UX Discovery",$D75="04. UX Design")),IF(AND($H75&lt;&gt;"",$H75&lt;=EOMONTH(AC$12,0),$I75&gt;=AC$12),"ALL","PD+UX"),IF(AND($H75&lt;&gt;"",$H75&lt;=EOMONTH(AC$12,0),$I75&gt;=AC$12),"PD+DEV","PD")),IF(AND(INDEX('Roadmap Calc (Don’t Touch)'!$AA$2:$AX$151,$AI75,COLUMN()-COLUMN($J$16)+1)&gt;0,OR($D75="03. UX Discovery",$D75="04. UX Design")),IF(AND($H75&lt;&gt;"",$H75&lt;=EOMONTH(AC$12,0),$I75&gt;=AC$12),"UX+DEV","UX"),IF(AND($H75&lt;&gt;"",$H75&lt;=EOMONTH(AC$12,0),$I75&gt;=AC$12),"DEV",""))))</f>
      </c>
      <c r="AD75" s="158" t="str">
        <f>IF($AI75="","",IF(AND($AN75&lt;&gt;"",$AN75&lt;=EOMONTH(AD$12,0),$AO75&gt;=AD$12),IF(AND(INDEX('Roadmap Calc (Don’t Touch)'!$AA$2:$AX$151,$AI75,COLUMN()-COLUMN($J$16)+1)&gt;0,OR($D75="03. UX Discovery",$D75="04. UX Design")),IF(AND($H75&lt;&gt;"",$H75&lt;=EOMONTH(AD$12,0),$I75&gt;=AD$12),"ALL","PD+UX"),IF(AND($H75&lt;&gt;"",$H75&lt;=EOMONTH(AD$12,0),$I75&gt;=AD$12),"PD+DEV","PD")),IF(AND(INDEX('Roadmap Calc (Don’t Touch)'!$AA$2:$AX$151,$AI75,COLUMN()-COLUMN($J$16)+1)&gt;0,OR($D75="03. UX Discovery",$D75="04. UX Design")),IF(AND($H75&lt;&gt;"",$H75&lt;=EOMONTH(AD$12,0),$I75&gt;=AD$12),"UX+DEV","UX"),IF(AND($H75&lt;&gt;"",$H75&lt;=EOMONTH(AD$12,0),$I75&gt;=AD$12),"DEV",""))))</f>
      </c>
      <c r="AE75" s="158" t="str">
        <f>IF($AI75="","",IF(AND($AN75&lt;&gt;"",$AN75&lt;=EOMONTH(AE$12,0),$AO75&gt;=AE$12),IF(AND(INDEX('Roadmap Calc (Don’t Touch)'!$AA$2:$AX$151,$AI75,COLUMN()-COLUMN($J$16)+1)&gt;0,OR($D75="03. UX Discovery",$D75="04. UX Design")),IF(AND($H75&lt;&gt;"",$H75&lt;=EOMONTH(AE$12,0),$I75&gt;=AE$12),"ALL","PD+UX"),IF(AND($H75&lt;&gt;"",$H75&lt;=EOMONTH(AE$12,0),$I75&gt;=AE$12),"PD+DEV","PD")),IF(AND(INDEX('Roadmap Calc (Don’t Touch)'!$AA$2:$AX$151,$AI75,COLUMN()-COLUMN($J$16)+1)&gt;0,OR($D75="03. UX Discovery",$D75="04. UX Design")),IF(AND($H75&lt;&gt;"",$H75&lt;=EOMONTH(AE$12,0),$I75&gt;=AE$12),"UX+DEV","UX"),IF(AND($H75&lt;&gt;"",$H75&lt;=EOMONTH(AE$12,0),$I75&gt;=AE$12),"DEV",""))))</f>
      </c>
      <c r="AF75" s="158" t="str">
        <f>IF($AI75="","",IF(AND($AN75&lt;&gt;"",$AN75&lt;=EOMONTH(AF$12,0),$AO75&gt;=AF$12),IF(AND(INDEX('Roadmap Calc (Don’t Touch)'!$AA$2:$AX$151,$AI75,COLUMN()-COLUMN($J$16)+1)&gt;0,OR($D75="03. UX Discovery",$D75="04. UX Design")),IF(AND($H75&lt;&gt;"",$H75&lt;=EOMONTH(AF$12,0),$I75&gt;=AF$12),"ALL","PD+UX"),IF(AND($H75&lt;&gt;"",$H75&lt;=EOMONTH(AF$12,0),$I75&gt;=AF$12),"PD+DEV","PD")),IF(AND(INDEX('Roadmap Calc (Don’t Touch)'!$AA$2:$AX$151,$AI75,COLUMN()-COLUMN($J$16)+1)&gt;0,OR($D75="03. UX Discovery",$D75="04. UX Design")),IF(AND($H75&lt;&gt;"",$H75&lt;=EOMONTH(AF$12,0),$I75&gt;=AF$12),"UX+DEV","UX"),IF(AND($H75&lt;&gt;"",$H75&lt;=EOMONTH(AF$12,0),$I75&gt;=AF$12),"DEV",""))))</f>
      </c>
      <c r="AG75" s="158" t="str">
        <f>IF($AI75="","",IF(AND($AN75&lt;&gt;"",$AN75&lt;=EOMONTH(AG$12,0),$AO75&gt;=AG$12),IF(AND(INDEX('Roadmap Calc (Don’t Touch)'!$AA$2:$AX$151,$AI75,COLUMN()-COLUMN($J$16)+1)&gt;0,OR($D75="03. UX Discovery",$D75="04. UX Design")),IF(AND($H75&lt;&gt;"",$H75&lt;=EOMONTH(AG$12,0),$I75&gt;=AG$12),"ALL","PD+UX"),IF(AND($H75&lt;&gt;"",$H75&lt;=EOMONTH(AG$12,0),$I75&gt;=AG$12),"PD+DEV","PD")),IF(AND(INDEX('Roadmap Calc (Don’t Touch)'!$AA$2:$AX$151,$AI75,COLUMN()-COLUMN($J$16)+1)&gt;0,OR($D75="03. UX Discovery",$D75="04. UX Design")),IF(AND($H75&lt;&gt;"",$H75&lt;=EOMONTH(AG$12,0),$I75&gt;=AG$12),"UX+DEV","UX"),IF(AND($H75&lt;&gt;"",$H75&lt;=EOMONTH(AG$12,0),$I75&gt;=AG$12),"DEV",""))))</f>
      </c>
      <c r="AH75" s="145" t="str">
        <f>IF($AI75="","",INDEX('Roadmap Calc (Don’t Touch)'!$D$2:$D$151,$AI75))</f>
        <v/>
      </c>
      <c r="AI75" s="145" t="str">
        <f>IFERROR(MATCH(60,'Roadmap Calc (Don’t Touch)'!$O$2:$O$151,0),"")</f>
        <v/>
      </c>
      <c r="AJ75" s="145"/>
      <c r="AK75" s="145"/>
      <c r="AL75" s="145"/>
      <c r="AM75" s="145"/>
      <c r="AN75">
        <f>IF($AI75="","",IF(ISNUMBER(INDEX('Roadmap Calc (Don’t Touch)'!$BB$2:$BB$151,$AI75)),INDEX('Roadmap Calc (Don’t Touch)'!$BB$2:$BB$151,$AI75),""))</f>
      </c>
      <c r="AO75">
        <f>IF($AI75="","",IF(ISNUMBER(INDEX('Roadmap Calc (Don’t Touch)'!$BC$2:$BC$151,$AI75)),INDEX('Roadmap Calc (Don’t Touch)'!$BC$2:$BC$151,$AI75),""))</f>
      </c>
    </row>
    <row r="76" spans="1:41" ht="17" customHeight="1" x14ac:dyDescent="0.25">
      <c r="A76" s="152" t="str">
        <f>IF($AI76="","",IF($AH76=$AH75,"",IF(INDEX('Roadmap Calc (Don’t Touch)'!$U$2:$U$151,$AI76)=0,$AH76,HYPERLINK("#'Control (Don’t Touch)'!E"&amp;INDEX('Roadmap Calc (Don’t Touch)'!$U$2:$U$151,$AI76),$AH76))))</f>
        <v/>
      </c>
      <c r="B76" s="153" t="str">
        <f>IF($AI76="","",IF(INDEX('Roadmap Calc (Don’t Touch)'!$K$2:$K$151,$AI76)="",INDEX('Roadmap Calc (Don’t Touch)'!$B$2:$B$151,$AI76),HYPERLINK("https://jira.bnh.com/browse/"&amp;INDEX('Roadmap Calc (Don’t Touch)'!$K$2:$K$151,$AI76),INDEX('Roadmap Calc (Don’t Touch)'!$B$2:$B$151,$AI76))))</f>
        <v/>
      </c>
      <c r="C76" s="153" t="str">
        <f>IF($AI76="","",IF(INDEX('Roadmap Calc (Don’t Touch)'!$E$2:$E$151,$AI76)="","",HYPERLINK("https://jira.bnh.com/browse/"&amp;INDEX('Roadmap Calc (Don’t Touch)'!$E$2:$E$151,$AI76),INDEX('Roadmap Calc (Don’t Touch)'!$E$2:$E$151,$AI76))))</f>
        <v/>
      </c>
      <c r="D76" s="154" t="str">
        <f>IF($AI76="","",INDEX('Roadmap Calc (Don’t Touch)'!$F$2:$F$151,$AI76))</f>
        <v/>
      </c>
      <c r="E76" s="155" t="str">
        <f>IF($AI76="","",IF(ISNUMBER(INDEX('Roadmap Calc (Don’t Touch)'!$G$2:$G$151,$AI76)),INDEX('Roadmap Calc (Don’t Touch)'!$G$2:$G$151,$AI76),""))</f>
        <v/>
      </c>
      <c r="F76" s="155" t="str">
        <f>IF($AI76="","",IF(ISNUMBER(INDEX('Roadmap Calc (Don’t Touch)'!$H$2:$H$151,$AI76)),INDEX('Roadmap Calc (Don’t Touch)'!$H$2:$H$151,$AI76),""))</f>
        <v/>
      </c>
      <c r="G76" s="156" t="str">
        <f>IF($AI76="","",INDEX('Roadmap Calc (Don’t Touch)'!$T$2:$T$151,$AI76))</f>
        <v/>
      </c>
      <c r="H76" s="157" t="str">
        <f>IF($AI76="","",IF(ISNUMBER(INDEX('Roadmap Calc (Don’t Touch)'!$I$2:$I$151,$AI76)),INDEX('Roadmap Calc (Don’t Touch)'!$I$2:$I$151,$AI76),""))</f>
        <v/>
      </c>
      <c r="I76" s="157" t="str">
        <f>IF($AI76="","",IF(ISNUMBER(INDEX('Roadmap Calc (Don’t Touch)'!$J$2:$J$151,$AI76)),INDEX('Roadmap Calc (Don’t Touch)'!$J$2:$J$151,$AI76),""))</f>
        <v/>
      </c>
      <c r="J76" s="158" t="str">
        <f>IF($AI76="","",IF(AND($AN76&lt;&gt;"",$AN76&lt;=EOMONTH(J$12,0),$AO76&gt;=J$12),IF(AND(INDEX('Roadmap Calc (Don’t Touch)'!$AA$2:$AX$151,$AI76,COLUMN()-COLUMN($J$16)+1)&gt;0,OR($D76="03. UX Discovery",$D76="04. UX Design")),IF(AND($H76&lt;&gt;"",$H76&lt;=EOMONTH(J$12,0),$I76&gt;=J$12),"ALL","PD+UX"),IF(AND($H76&lt;&gt;"",$H76&lt;=EOMONTH(J$12,0),$I76&gt;=J$12),"PD+DEV","PD")),IF(AND(INDEX('Roadmap Calc (Don’t Touch)'!$AA$2:$AX$151,$AI76,COLUMN()-COLUMN($J$16)+1)&gt;0,OR($D76="03. UX Discovery",$D76="04. UX Design")),IF(AND($H76&lt;&gt;"",$H76&lt;=EOMONTH(J$12,0),$I76&gt;=J$12),"UX+DEV","UX"),IF(AND($H76&lt;&gt;"",$H76&lt;=EOMONTH(J$12,0),$I76&gt;=J$12),"DEV",""))))</f>
      </c>
      <c r="K76" s="158" t="str">
        <f>IF($AI76="","",IF(AND($AN76&lt;&gt;"",$AN76&lt;=EOMONTH(K$12,0),$AO76&gt;=K$12),IF(AND(INDEX('Roadmap Calc (Don’t Touch)'!$AA$2:$AX$151,$AI76,COLUMN()-COLUMN($J$16)+1)&gt;0,OR($D76="03. UX Discovery",$D76="04. UX Design")),IF(AND($H76&lt;&gt;"",$H76&lt;=EOMONTH(K$12,0),$I76&gt;=K$12),"ALL","PD+UX"),IF(AND($H76&lt;&gt;"",$H76&lt;=EOMONTH(K$12,0),$I76&gt;=K$12),"PD+DEV","PD")),IF(AND(INDEX('Roadmap Calc (Don’t Touch)'!$AA$2:$AX$151,$AI76,COLUMN()-COLUMN($J$16)+1)&gt;0,OR($D76="03. UX Discovery",$D76="04. UX Design")),IF(AND($H76&lt;&gt;"",$H76&lt;=EOMONTH(K$12,0),$I76&gt;=K$12),"UX+DEV","UX"),IF(AND($H76&lt;&gt;"",$H76&lt;=EOMONTH(K$12,0),$I76&gt;=K$12),"DEV",""))))</f>
      </c>
      <c r="L76" s="158" t="str">
        <f>IF($AI76="","",IF(AND($AN76&lt;&gt;"",$AN76&lt;=EOMONTH(L$12,0),$AO76&gt;=L$12),IF(AND(INDEX('Roadmap Calc (Don’t Touch)'!$AA$2:$AX$151,$AI76,COLUMN()-COLUMN($J$16)+1)&gt;0,OR($D76="03. UX Discovery",$D76="04. UX Design")),IF(AND($H76&lt;&gt;"",$H76&lt;=EOMONTH(L$12,0),$I76&gt;=L$12),"ALL","PD+UX"),IF(AND($H76&lt;&gt;"",$H76&lt;=EOMONTH(L$12,0),$I76&gt;=L$12),"PD+DEV","PD")),IF(AND(INDEX('Roadmap Calc (Don’t Touch)'!$AA$2:$AX$151,$AI76,COLUMN()-COLUMN($J$16)+1)&gt;0,OR($D76="03. UX Discovery",$D76="04. UX Design")),IF(AND($H76&lt;&gt;"",$H76&lt;=EOMONTH(L$12,0),$I76&gt;=L$12),"UX+DEV","UX"),IF(AND($H76&lt;&gt;"",$H76&lt;=EOMONTH(L$12,0),$I76&gt;=L$12),"DEV",""))))</f>
      </c>
      <c r="M76" s="158" t="str">
        <f>IF($AI76="","",IF(AND($AN76&lt;&gt;"",$AN76&lt;=EOMONTH(M$12,0),$AO76&gt;=M$12),IF(AND(INDEX('Roadmap Calc (Don’t Touch)'!$AA$2:$AX$151,$AI76,COLUMN()-COLUMN($J$16)+1)&gt;0,OR($D76="03. UX Discovery",$D76="04. UX Design")),IF(AND($H76&lt;&gt;"",$H76&lt;=EOMONTH(M$12,0),$I76&gt;=M$12),"ALL","PD+UX"),IF(AND($H76&lt;&gt;"",$H76&lt;=EOMONTH(M$12,0),$I76&gt;=M$12),"PD+DEV","PD")),IF(AND(INDEX('Roadmap Calc (Don’t Touch)'!$AA$2:$AX$151,$AI76,COLUMN()-COLUMN($J$16)+1)&gt;0,OR($D76="03. UX Discovery",$D76="04. UX Design")),IF(AND($H76&lt;&gt;"",$H76&lt;=EOMONTH(M$12,0),$I76&gt;=M$12),"UX+DEV","UX"),IF(AND($H76&lt;&gt;"",$H76&lt;=EOMONTH(M$12,0),$I76&gt;=M$12),"DEV",""))))</f>
      </c>
      <c r="N76" s="158" t="str">
        <f>IF($AI76="","",IF(AND($AN76&lt;&gt;"",$AN76&lt;=EOMONTH(N$12,0),$AO76&gt;=N$12),IF(AND(INDEX('Roadmap Calc (Don’t Touch)'!$AA$2:$AX$151,$AI76,COLUMN()-COLUMN($J$16)+1)&gt;0,OR($D76="03. UX Discovery",$D76="04. UX Design")),IF(AND($H76&lt;&gt;"",$H76&lt;=EOMONTH(N$12,0),$I76&gt;=N$12),"ALL","PD+UX"),IF(AND($H76&lt;&gt;"",$H76&lt;=EOMONTH(N$12,0),$I76&gt;=N$12),"PD+DEV","PD")),IF(AND(INDEX('Roadmap Calc (Don’t Touch)'!$AA$2:$AX$151,$AI76,COLUMN()-COLUMN($J$16)+1)&gt;0,OR($D76="03. UX Discovery",$D76="04. UX Design")),IF(AND($H76&lt;&gt;"",$H76&lt;=EOMONTH(N$12,0),$I76&gt;=N$12),"UX+DEV","UX"),IF(AND($H76&lt;&gt;"",$H76&lt;=EOMONTH(N$12,0),$I76&gt;=N$12),"DEV",""))))</f>
      </c>
      <c r="O76" s="158" t="str">
        <f>IF($AI76="","",IF(AND($AN76&lt;&gt;"",$AN76&lt;=EOMONTH(O$12,0),$AO76&gt;=O$12),IF(AND(INDEX('Roadmap Calc (Don’t Touch)'!$AA$2:$AX$151,$AI76,COLUMN()-COLUMN($J$16)+1)&gt;0,OR($D76="03. UX Discovery",$D76="04. UX Design")),IF(AND($H76&lt;&gt;"",$H76&lt;=EOMONTH(O$12,0),$I76&gt;=O$12),"ALL","PD+UX"),IF(AND($H76&lt;&gt;"",$H76&lt;=EOMONTH(O$12,0),$I76&gt;=O$12),"PD+DEV","PD")),IF(AND(INDEX('Roadmap Calc (Don’t Touch)'!$AA$2:$AX$151,$AI76,COLUMN()-COLUMN($J$16)+1)&gt;0,OR($D76="03. UX Discovery",$D76="04. UX Design")),IF(AND($H76&lt;&gt;"",$H76&lt;=EOMONTH(O$12,0),$I76&gt;=O$12),"UX+DEV","UX"),IF(AND($H76&lt;&gt;"",$H76&lt;=EOMONTH(O$12,0),$I76&gt;=O$12),"DEV",""))))</f>
      </c>
      <c r="P76" s="158" t="str">
        <f>IF($AI76="","",IF(AND($AN76&lt;&gt;"",$AN76&lt;=EOMONTH(P$12,0),$AO76&gt;=P$12),IF(AND(INDEX('Roadmap Calc (Don’t Touch)'!$AA$2:$AX$151,$AI76,COLUMN()-COLUMN($J$16)+1)&gt;0,OR($D76="03. UX Discovery",$D76="04. UX Design")),IF(AND($H76&lt;&gt;"",$H76&lt;=EOMONTH(P$12,0),$I76&gt;=P$12),"ALL","PD+UX"),IF(AND($H76&lt;&gt;"",$H76&lt;=EOMONTH(P$12,0),$I76&gt;=P$12),"PD+DEV","PD")),IF(AND(INDEX('Roadmap Calc (Don’t Touch)'!$AA$2:$AX$151,$AI76,COLUMN()-COLUMN($J$16)+1)&gt;0,OR($D76="03. UX Discovery",$D76="04. UX Design")),IF(AND($H76&lt;&gt;"",$H76&lt;=EOMONTH(P$12,0),$I76&gt;=P$12),"UX+DEV","UX"),IF(AND($H76&lt;&gt;"",$H76&lt;=EOMONTH(P$12,0),$I76&gt;=P$12),"DEV",""))))</f>
      </c>
      <c r="Q76" s="158" t="str">
        <f>IF($AI76="","",IF(AND($AN76&lt;&gt;"",$AN76&lt;=EOMONTH(Q$12,0),$AO76&gt;=Q$12),IF(AND(INDEX('Roadmap Calc (Don’t Touch)'!$AA$2:$AX$151,$AI76,COLUMN()-COLUMN($J$16)+1)&gt;0,OR($D76="03. UX Discovery",$D76="04. UX Design")),IF(AND($H76&lt;&gt;"",$H76&lt;=EOMONTH(Q$12,0),$I76&gt;=Q$12),"ALL","PD+UX"),IF(AND($H76&lt;&gt;"",$H76&lt;=EOMONTH(Q$12,0),$I76&gt;=Q$12),"PD+DEV","PD")),IF(AND(INDEX('Roadmap Calc (Don’t Touch)'!$AA$2:$AX$151,$AI76,COLUMN()-COLUMN($J$16)+1)&gt;0,OR($D76="03. UX Discovery",$D76="04. UX Design")),IF(AND($H76&lt;&gt;"",$H76&lt;=EOMONTH(Q$12,0),$I76&gt;=Q$12),"UX+DEV","UX"),IF(AND($H76&lt;&gt;"",$H76&lt;=EOMONTH(Q$12,0),$I76&gt;=Q$12),"DEV",""))))</f>
      </c>
      <c r="R76" s="158" t="str">
        <f>IF($AI76="","",IF(AND($AN76&lt;&gt;"",$AN76&lt;=EOMONTH(R$12,0),$AO76&gt;=R$12),IF(AND(INDEX('Roadmap Calc (Don’t Touch)'!$AA$2:$AX$151,$AI76,COLUMN()-COLUMN($J$16)+1)&gt;0,OR($D76="03. UX Discovery",$D76="04. UX Design")),IF(AND($H76&lt;&gt;"",$H76&lt;=EOMONTH(R$12,0),$I76&gt;=R$12),"ALL","PD+UX"),IF(AND($H76&lt;&gt;"",$H76&lt;=EOMONTH(R$12,0),$I76&gt;=R$12),"PD+DEV","PD")),IF(AND(INDEX('Roadmap Calc (Don’t Touch)'!$AA$2:$AX$151,$AI76,COLUMN()-COLUMN($J$16)+1)&gt;0,OR($D76="03. UX Discovery",$D76="04. UX Design")),IF(AND($H76&lt;&gt;"",$H76&lt;=EOMONTH(R$12,0),$I76&gt;=R$12),"UX+DEV","UX"),IF(AND($H76&lt;&gt;"",$H76&lt;=EOMONTH(R$12,0),$I76&gt;=R$12),"DEV",""))))</f>
      </c>
      <c r="S76" s="158" t="str">
        <f>IF($AI76="","",IF(AND($AN76&lt;&gt;"",$AN76&lt;=EOMONTH(S$12,0),$AO76&gt;=S$12),IF(AND(INDEX('Roadmap Calc (Don’t Touch)'!$AA$2:$AX$151,$AI76,COLUMN()-COLUMN($J$16)+1)&gt;0,OR($D76="03. UX Discovery",$D76="04. UX Design")),IF(AND($H76&lt;&gt;"",$H76&lt;=EOMONTH(S$12,0),$I76&gt;=S$12),"ALL","PD+UX"),IF(AND($H76&lt;&gt;"",$H76&lt;=EOMONTH(S$12,0),$I76&gt;=S$12),"PD+DEV","PD")),IF(AND(INDEX('Roadmap Calc (Don’t Touch)'!$AA$2:$AX$151,$AI76,COLUMN()-COLUMN($J$16)+1)&gt;0,OR($D76="03. UX Discovery",$D76="04. UX Design")),IF(AND($H76&lt;&gt;"",$H76&lt;=EOMONTH(S$12,0),$I76&gt;=S$12),"UX+DEV","UX"),IF(AND($H76&lt;&gt;"",$H76&lt;=EOMONTH(S$12,0),$I76&gt;=S$12),"DEV",""))))</f>
      </c>
      <c r="T76" s="158" t="str">
        <f>IF($AI76="","",IF(AND($AN76&lt;&gt;"",$AN76&lt;=EOMONTH(T$12,0),$AO76&gt;=T$12),IF(AND(INDEX('Roadmap Calc (Don’t Touch)'!$AA$2:$AX$151,$AI76,COLUMN()-COLUMN($J$16)+1)&gt;0,OR($D76="03. UX Discovery",$D76="04. UX Design")),IF(AND($H76&lt;&gt;"",$H76&lt;=EOMONTH(T$12,0),$I76&gt;=T$12),"ALL","PD+UX"),IF(AND($H76&lt;&gt;"",$H76&lt;=EOMONTH(T$12,0),$I76&gt;=T$12),"PD+DEV","PD")),IF(AND(INDEX('Roadmap Calc (Don’t Touch)'!$AA$2:$AX$151,$AI76,COLUMN()-COLUMN($J$16)+1)&gt;0,OR($D76="03. UX Discovery",$D76="04. UX Design")),IF(AND($H76&lt;&gt;"",$H76&lt;=EOMONTH(T$12,0),$I76&gt;=T$12),"UX+DEV","UX"),IF(AND($H76&lt;&gt;"",$H76&lt;=EOMONTH(T$12,0),$I76&gt;=T$12),"DEV",""))))</f>
      </c>
      <c r="U76" s="158" t="str">
        <f>IF($AI76="","",IF(AND($AN76&lt;&gt;"",$AN76&lt;=EOMONTH(U$12,0),$AO76&gt;=U$12),IF(AND(INDEX('Roadmap Calc (Don’t Touch)'!$AA$2:$AX$151,$AI76,COLUMN()-COLUMN($J$16)+1)&gt;0,OR($D76="03. UX Discovery",$D76="04. UX Design")),IF(AND($H76&lt;&gt;"",$H76&lt;=EOMONTH(U$12,0),$I76&gt;=U$12),"ALL","PD+UX"),IF(AND($H76&lt;&gt;"",$H76&lt;=EOMONTH(U$12,0),$I76&gt;=U$12),"PD+DEV","PD")),IF(AND(INDEX('Roadmap Calc (Don’t Touch)'!$AA$2:$AX$151,$AI76,COLUMN()-COLUMN($J$16)+1)&gt;0,OR($D76="03. UX Discovery",$D76="04. UX Design")),IF(AND($H76&lt;&gt;"",$H76&lt;=EOMONTH(U$12,0),$I76&gt;=U$12),"UX+DEV","UX"),IF(AND($H76&lt;&gt;"",$H76&lt;=EOMONTH(U$12,0),$I76&gt;=U$12),"DEV",""))))</f>
      </c>
      <c r="V76" s="158" t="str">
        <f>IF($AI76="","",IF(AND($AN76&lt;&gt;"",$AN76&lt;=EOMONTH(V$12,0),$AO76&gt;=V$12),IF(AND(INDEX('Roadmap Calc (Don’t Touch)'!$AA$2:$AX$151,$AI76,COLUMN()-COLUMN($J$16)+1)&gt;0,OR($D76="03. UX Discovery",$D76="04. UX Design")),IF(AND($H76&lt;&gt;"",$H76&lt;=EOMONTH(V$12,0),$I76&gt;=V$12),"ALL","PD+UX"),IF(AND($H76&lt;&gt;"",$H76&lt;=EOMONTH(V$12,0),$I76&gt;=V$12),"PD+DEV","PD")),IF(AND(INDEX('Roadmap Calc (Don’t Touch)'!$AA$2:$AX$151,$AI76,COLUMN()-COLUMN($J$16)+1)&gt;0,OR($D76="03. UX Discovery",$D76="04. UX Design")),IF(AND($H76&lt;&gt;"",$H76&lt;=EOMONTH(V$12,0),$I76&gt;=V$12),"UX+DEV","UX"),IF(AND($H76&lt;&gt;"",$H76&lt;=EOMONTH(V$12,0),$I76&gt;=V$12),"DEV",""))))</f>
      </c>
      <c r="W76" s="158" t="str">
        <f>IF($AI76="","",IF(AND($AN76&lt;&gt;"",$AN76&lt;=EOMONTH(W$12,0),$AO76&gt;=W$12),IF(AND(INDEX('Roadmap Calc (Don’t Touch)'!$AA$2:$AX$151,$AI76,COLUMN()-COLUMN($J$16)+1)&gt;0,OR($D76="03. UX Discovery",$D76="04. UX Design")),IF(AND($H76&lt;&gt;"",$H76&lt;=EOMONTH(W$12,0),$I76&gt;=W$12),"ALL","PD+UX"),IF(AND($H76&lt;&gt;"",$H76&lt;=EOMONTH(W$12,0),$I76&gt;=W$12),"PD+DEV","PD")),IF(AND(INDEX('Roadmap Calc (Don’t Touch)'!$AA$2:$AX$151,$AI76,COLUMN()-COLUMN($J$16)+1)&gt;0,OR($D76="03. UX Discovery",$D76="04. UX Design")),IF(AND($H76&lt;&gt;"",$H76&lt;=EOMONTH(W$12,0),$I76&gt;=W$12),"UX+DEV","UX"),IF(AND($H76&lt;&gt;"",$H76&lt;=EOMONTH(W$12,0),$I76&gt;=W$12),"DEV",""))))</f>
      </c>
      <c r="X76" s="158" t="str">
        <f>IF($AI76="","",IF(AND($AN76&lt;&gt;"",$AN76&lt;=EOMONTH(X$12,0),$AO76&gt;=X$12),IF(AND(INDEX('Roadmap Calc (Don’t Touch)'!$AA$2:$AX$151,$AI76,COLUMN()-COLUMN($J$16)+1)&gt;0,OR($D76="03. UX Discovery",$D76="04. UX Design")),IF(AND($H76&lt;&gt;"",$H76&lt;=EOMONTH(X$12,0),$I76&gt;=X$12),"ALL","PD+UX"),IF(AND($H76&lt;&gt;"",$H76&lt;=EOMONTH(X$12,0),$I76&gt;=X$12),"PD+DEV","PD")),IF(AND(INDEX('Roadmap Calc (Don’t Touch)'!$AA$2:$AX$151,$AI76,COLUMN()-COLUMN($J$16)+1)&gt;0,OR($D76="03. UX Discovery",$D76="04. UX Design")),IF(AND($H76&lt;&gt;"",$H76&lt;=EOMONTH(X$12,0),$I76&gt;=X$12),"UX+DEV","UX"),IF(AND($H76&lt;&gt;"",$H76&lt;=EOMONTH(X$12,0),$I76&gt;=X$12),"DEV",""))))</f>
      </c>
      <c r="Y76" s="158" t="str">
        <f>IF($AI76="","",IF(AND($AN76&lt;&gt;"",$AN76&lt;=EOMONTH(Y$12,0),$AO76&gt;=Y$12),IF(AND(INDEX('Roadmap Calc (Don’t Touch)'!$AA$2:$AX$151,$AI76,COLUMN()-COLUMN($J$16)+1)&gt;0,OR($D76="03. UX Discovery",$D76="04. UX Design")),IF(AND($H76&lt;&gt;"",$H76&lt;=EOMONTH(Y$12,0),$I76&gt;=Y$12),"ALL","PD+UX"),IF(AND($H76&lt;&gt;"",$H76&lt;=EOMONTH(Y$12,0),$I76&gt;=Y$12),"PD+DEV","PD")),IF(AND(INDEX('Roadmap Calc (Don’t Touch)'!$AA$2:$AX$151,$AI76,COLUMN()-COLUMN($J$16)+1)&gt;0,OR($D76="03. UX Discovery",$D76="04. UX Design")),IF(AND($H76&lt;&gt;"",$H76&lt;=EOMONTH(Y$12,0),$I76&gt;=Y$12),"UX+DEV","UX"),IF(AND($H76&lt;&gt;"",$H76&lt;=EOMONTH(Y$12,0),$I76&gt;=Y$12),"DEV",""))))</f>
      </c>
      <c r="Z76" s="158" t="str">
        <f>IF($AI76="","",IF(AND($AN76&lt;&gt;"",$AN76&lt;=EOMONTH(Z$12,0),$AO76&gt;=Z$12),IF(AND(INDEX('Roadmap Calc (Don’t Touch)'!$AA$2:$AX$151,$AI76,COLUMN()-COLUMN($J$16)+1)&gt;0,OR($D76="03. UX Discovery",$D76="04. UX Design")),IF(AND($H76&lt;&gt;"",$H76&lt;=EOMONTH(Z$12,0),$I76&gt;=Z$12),"ALL","PD+UX"),IF(AND($H76&lt;&gt;"",$H76&lt;=EOMONTH(Z$12,0),$I76&gt;=Z$12),"PD+DEV","PD")),IF(AND(INDEX('Roadmap Calc (Don’t Touch)'!$AA$2:$AX$151,$AI76,COLUMN()-COLUMN($J$16)+1)&gt;0,OR($D76="03. UX Discovery",$D76="04. UX Design")),IF(AND($H76&lt;&gt;"",$H76&lt;=EOMONTH(Z$12,0),$I76&gt;=Z$12),"UX+DEV","UX"),IF(AND($H76&lt;&gt;"",$H76&lt;=EOMONTH(Z$12,0),$I76&gt;=Z$12),"DEV",""))))</f>
      </c>
      <c r="AA76" s="158" t="str">
        <f>IF($AI76="","",IF(AND($AN76&lt;&gt;"",$AN76&lt;=EOMONTH(AA$12,0),$AO76&gt;=AA$12),IF(AND(INDEX('Roadmap Calc (Don’t Touch)'!$AA$2:$AX$151,$AI76,COLUMN()-COLUMN($J$16)+1)&gt;0,OR($D76="03. UX Discovery",$D76="04. UX Design")),IF(AND($H76&lt;&gt;"",$H76&lt;=EOMONTH(AA$12,0),$I76&gt;=AA$12),"ALL","PD+UX"),IF(AND($H76&lt;&gt;"",$H76&lt;=EOMONTH(AA$12,0),$I76&gt;=AA$12),"PD+DEV","PD")),IF(AND(INDEX('Roadmap Calc (Don’t Touch)'!$AA$2:$AX$151,$AI76,COLUMN()-COLUMN($J$16)+1)&gt;0,OR($D76="03. UX Discovery",$D76="04. UX Design")),IF(AND($H76&lt;&gt;"",$H76&lt;=EOMONTH(AA$12,0),$I76&gt;=AA$12),"UX+DEV","UX"),IF(AND($H76&lt;&gt;"",$H76&lt;=EOMONTH(AA$12,0),$I76&gt;=AA$12),"DEV",""))))</f>
      </c>
      <c r="AB76" s="158" t="str">
        <f>IF($AI76="","",IF(AND($AN76&lt;&gt;"",$AN76&lt;=EOMONTH(AB$12,0),$AO76&gt;=AB$12),IF(AND(INDEX('Roadmap Calc (Don’t Touch)'!$AA$2:$AX$151,$AI76,COLUMN()-COLUMN($J$16)+1)&gt;0,OR($D76="03. UX Discovery",$D76="04. UX Design")),IF(AND($H76&lt;&gt;"",$H76&lt;=EOMONTH(AB$12,0),$I76&gt;=AB$12),"ALL","PD+UX"),IF(AND($H76&lt;&gt;"",$H76&lt;=EOMONTH(AB$12,0),$I76&gt;=AB$12),"PD+DEV","PD")),IF(AND(INDEX('Roadmap Calc (Don’t Touch)'!$AA$2:$AX$151,$AI76,COLUMN()-COLUMN($J$16)+1)&gt;0,OR($D76="03. UX Discovery",$D76="04. UX Design")),IF(AND($H76&lt;&gt;"",$H76&lt;=EOMONTH(AB$12,0),$I76&gt;=AB$12),"UX+DEV","UX"),IF(AND($H76&lt;&gt;"",$H76&lt;=EOMONTH(AB$12,0),$I76&gt;=AB$12),"DEV",""))))</f>
      </c>
      <c r="AC76" s="158" t="str">
        <f>IF($AI76="","",IF(AND($AN76&lt;&gt;"",$AN76&lt;=EOMONTH(AC$12,0),$AO76&gt;=AC$12),IF(AND(INDEX('Roadmap Calc (Don’t Touch)'!$AA$2:$AX$151,$AI76,COLUMN()-COLUMN($J$16)+1)&gt;0,OR($D76="03. UX Discovery",$D76="04. UX Design")),IF(AND($H76&lt;&gt;"",$H76&lt;=EOMONTH(AC$12,0),$I76&gt;=AC$12),"ALL","PD+UX"),IF(AND($H76&lt;&gt;"",$H76&lt;=EOMONTH(AC$12,0),$I76&gt;=AC$12),"PD+DEV","PD")),IF(AND(INDEX('Roadmap Calc (Don’t Touch)'!$AA$2:$AX$151,$AI76,COLUMN()-COLUMN($J$16)+1)&gt;0,OR($D76="03. UX Discovery",$D76="04. UX Design")),IF(AND($H76&lt;&gt;"",$H76&lt;=EOMONTH(AC$12,0),$I76&gt;=AC$12),"UX+DEV","UX"),IF(AND($H76&lt;&gt;"",$H76&lt;=EOMONTH(AC$12,0),$I76&gt;=AC$12),"DEV",""))))</f>
      </c>
      <c r="AD76" s="158" t="str">
        <f>IF($AI76="","",IF(AND($AN76&lt;&gt;"",$AN76&lt;=EOMONTH(AD$12,0),$AO76&gt;=AD$12),IF(AND(INDEX('Roadmap Calc (Don’t Touch)'!$AA$2:$AX$151,$AI76,COLUMN()-COLUMN($J$16)+1)&gt;0,OR($D76="03. UX Discovery",$D76="04. UX Design")),IF(AND($H76&lt;&gt;"",$H76&lt;=EOMONTH(AD$12,0),$I76&gt;=AD$12),"ALL","PD+UX"),IF(AND($H76&lt;&gt;"",$H76&lt;=EOMONTH(AD$12,0),$I76&gt;=AD$12),"PD+DEV","PD")),IF(AND(INDEX('Roadmap Calc (Don’t Touch)'!$AA$2:$AX$151,$AI76,COLUMN()-COLUMN($J$16)+1)&gt;0,OR($D76="03. UX Discovery",$D76="04. UX Design")),IF(AND($H76&lt;&gt;"",$H76&lt;=EOMONTH(AD$12,0),$I76&gt;=AD$12),"UX+DEV","UX"),IF(AND($H76&lt;&gt;"",$H76&lt;=EOMONTH(AD$12,0),$I76&gt;=AD$12),"DEV",""))))</f>
      </c>
      <c r="AE76" s="158" t="str">
        <f>IF($AI76="","",IF(AND($AN76&lt;&gt;"",$AN76&lt;=EOMONTH(AE$12,0),$AO76&gt;=AE$12),IF(AND(INDEX('Roadmap Calc (Don’t Touch)'!$AA$2:$AX$151,$AI76,COLUMN()-COLUMN($J$16)+1)&gt;0,OR($D76="03. UX Discovery",$D76="04. UX Design")),IF(AND($H76&lt;&gt;"",$H76&lt;=EOMONTH(AE$12,0),$I76&gt;=AE$12),"ALL","PD+UX"),IF(AND($H76&lt;&gt;"",$H76&lt;=EOMONTH(AE$12,0),$I76&gt;=AE$12),"PD+DEV","PD")),IF(AND(INDEX('Roadmap Calc (Don’t Touch)'!$AA$2:$AX$151,$AI76,COLUMN()-COLUMN($J$16)+1)&gt;0,OR($D76="03. UX Discovery",$D76="04. UX Design")),IF(AND($H76&lt;&gt;"",$H76&lt;=EOMONTH(AE$12,0),$I76&gt;=AE$12),"UX+DEV","UX"),IF(AND($H76&lt;&gt;"",$H76&lt;=EOMONTH(AE$12,0),$I76&gt;=AE$12),"DEV",""))))</f>
      </c>
      <c r="AF76" s="158" t="str">
        <f>IF($AI76="","",IF(AND($AN76&lt;&gt;"",$AN76&lt;=EOMONTH(AF$12,0),$AO76&gt;=AF$12),IF(AND(INDEX('Roadmap Calc (Don’t Touch)'!$AA$2:$AX$151,$AI76,COLUMN()-COLUMN($J$16)+1)&gt;0,OR($D76="03. UX Discovery",$D76="04. UX Design")),IF(AND($H76&lt;&gt;"",$H76&lt;=EOMONTH(AF$12,0),$I76&gt;=AF$12),"ALL","PD+UX"),IF(AND($H76&lt;&gt;"",$H76&lt;=EOMONTH(AF$12,0),$I76&gt;=AF$12),"PD+DEV","PD")),IF(AND(INDEX('Roadmap Calc (Don’t Touch)'!$AA$2:$AX$151,$AI76,COLUMN()-COLUMN($J$16)+1)&gt;0,OR($D76="03. UX Discovery",$D76="04. UX Design")),IF(AND($H76&lt;&gt;"",$H76&lt;=EOMONTH(AF$12,0),$I76&gt;=AF$12),"UX+DEV","UX"),IF(AND($H76&lt;&gt;"",$H76&lt;=EOMONTH(AF$12,0),$I76&gt;=AF$12),"DEV",""))))</f>
      </c>
      <c r="AG76" s="158" t="str">
        <f>IF($AI76="","",IF(AND($AN76&lt;&gt;"",$AN76&lt;=EOMONTH(AG$12,0),$AO76&gt;=AG$12),IF(AND(INDEX('Roadmap Calc (Don’t Touch)'!$AA$2:$AX$151,$AI76,COLUMN()-COLUMN($J$16)+1)&gt;0,OR($D76="03. UX Discovery",$D76="04. UX Design")),IF(AND($H76&lt;&gt;"",$H76&lt;=EOMONTH(AG$12,0),$I76&gt;=AG$12),"ALL","PD+UX"),IF(AND($H76&lt;&gt;"",$H76&lt;=EOMONTH(AG$12,0),$I76&gt;=AG$12),"PD+DEV","PD")),IF(AND(INDEX('Roadmap Calc (Don’t Touch)'!$AA$2:$AX$151,$AI76,COLUMN()-COLUMN($J$16)+1)&gt;0,OR($D76="03. UX Discovery",$D76="04. UX Design")),IF(AND($H76&lt;&gt;"",$H76&lt;=EOMONTH(AG$12,0),$I76&gt;=AG$12),"UX+DEV","UX"),IF(AND($H76&lt;&gt;"",$H76&lt;=EOMONTH(AG$12,0),$I76&gt;=AG$12),"DEV",""))))</f>
      </c>
      <c r="AH76" s="145" t="str">
        <f>IF($AI76="","",INDEX('Roadmap Calc (Don’t Touch)'!$D$2:$D$151,$AI76))</f>
        <v/>
      </c>
      <c r="AI76" s="145" t="str">
        <f>IFERROR(MATCH(61,'Roadmap Calc (Don’t Touch)'!$O$2:$O$151,0),"")</f>
        <v/>
      </c>
      <c r="AJ76" s="145"/>
      <c r="AK76" s="145"/>
      <c r="AL76" s="145"/>
      <c r="AM76" s="145"/>
      <c r="AN76">
        <f>IF($AI76="","",IF(ISNUMBER(INDEX('Roadmap Calc (Don’t Touch)'!$BB$2:$BB$151,$AI76)),INDEX('Roadmap Calc (Don’t Touch)'!$BB$2:$BB$151,$AI76),""))</f>
      </c>
      <c r="AO76">
        <f>IF($AI76="","",IF(ISNUMBER(INDEX('Roadmap Calc (Don’t Touch)'!$BC$2:$BC$151,$AI76)),INDEX('Roadmap Calc (Don’t Touch)'!$BC$2:$BC$151,$AI76),""))</f>
      </c>
    </row>
    <row r="77" spans="1:41" ht="17" customHeight="1" x14ac:dyDescent="0.25">
      <c r="A77" s="152" t="str">
        <f>IF($AI77="","",IF($AH77=$AH76,"",IF(INDEX('Roadmap Calc (Don’t Touch)'!$U$2:$U$151,$AI77)=0,$AH77,HYPERLINK("#'Control (Don’t Touch)'!E"&amp;INDEX('Roadmap Calc (Don’t Touch)'!$U$2:$U$151,$AI77),$AH77))))</f>
        <v/>
      </c>
      <c r="B77" s="153" t="str">
        <f>IF($AI77="","",IF(INDEX('Roadmap Calc (Don’t Touch)'!$K$2:$K$151,$AI77)="",INDEX('Roadmap Calc (Don’t Touch)'!$B$2:$B$151,$AI77),HYPERLINK("https://jira.bnh.com/browse/"&amp;INDEX('Roadmap Calc (Don’t Touch)'!$K$2:$K$151,$AI77),INDEX('Roadmap Calc (Don’t Touch)'!$B$2:$B$151,$AI77))))</f>
        <v/>
      </c>
      <c r="C77" s="153" t="str">
        <f>IF($AI77="","",IF(INDEX('Roadmap Calc (Don’t Touch)'!$E$2:$E$151,$AI77)="","",HYPERLINK("https://jira.bnh.com/browse/"&amp;INDEX('Roadmap Calc (Don’t Touch)'!$E$2:$E$151,$AI77),INDEX('Roadmap Calc (Don’t Touch)'!$E$2:$E$151,$AI77))))</f>
        <v/>
      </c>
      <c r="D77" s="154" t="str">
        <f>IF($AI77="","",INDEX('Roadmap Calc (Don’t Touch)'!$F$2:$F$151,$AI77))</f>
        <v/>
      </c>
      <c r="E77" s="155" t="str">
        <f>IF($AI77="","",IF(ISNUMBER(INDEX('Roadmap Calc (Don’t Touch)'!$G$2:$G$151,$AI77)),INDEX('Roadmap Calc (Don’t Touch)'!$G$2:$G$151,$AI77),""))</f>
        <v/>
      </c>
      <c r="F77" s="155" t="str">
        <f>IF($AI77="","",IF(ISNUMBER(INDEX('Roadmap Calc (Don’t Touch)'!$H$2:$H$151,$AI77)),INDEX('Roadmap Calc (Don’t Touch)'!$H$2:$H$151,$AI77),""))</f>
        <v/>
      </c>
      <c r="G77" s="156" t="str">
        <f>IF($AI77="","",INDEX('Roadmap Calc (Don’t Touch)'!$T$2:$T$151,$AI77))</f>
        <v/>
      </c>
      <c r="H77" s="157" t="str">
        <f>IF($AI77="","",IF(ISNUMBER(INDEX('Roadmap Calc (Don’t Touch)'!$I$2:$I$151,$AI77)),INDEX('Roadmap Calc (Don’t Touch)'!$I$2:$I$151,$AI77),""))</f>
        <v/>
      </c>
      <c r="I77" s="157" t="str">
        <f>IF($AI77="","",IF(ISNUMBER(INDEX('Roadmap Calc (Don’t Touch)'!$J$2:$J$151,$AI77)),INDEX('Roadmap Calc (Don’t Touch)'!$J$2:$J$151,$AI77),""))</f>
        <v/>
      </c>
      <c r="J77" s="158" t="str">
        <f>IF($AI77="","",IF(AND($AN77&lt;&gt;"",$AN77&lt;=EOMONTH(J$12,0),$AO77&gt;=J$12),IF(AND(INDEX('Roadmap Calc (Don’t Touch)'!$AA$2:$AX$151,$AI77,COLUMN()-COLUMN($J$16)+1)&gt;0,OR($D77="03. UX Discovery",$D77="04. UX Design")),IF(AND($H77&lt;&gt;"",$H77&lt;=EOMONTH(J$12,0),$I77&gt;=J$12),"ALL","PD+UX"),IF(AND($H77&lt;&gt;"",$H77&lt;=EOMONTH(J$12,0),$I77&gt;=J$12),"PD+DEV","PD")),IF(AND(INDEX('Roadmap Calc (Don’t Touch)'!$AA$2:$AX$151,$AI77,COLUMN()-COLUMN($J$16)+1)&gt;0,OR($D77="03. UX Discovery",$D77="04. UX Design")),IF(AND($H77&lt;&gt;"",$H77&lt;=EOMONTH(J$12,0),$I77&gt;=J$12),"UX+DEV","UX"),IF(AND($H77&lt;&gt;"",$H77&lt;=EOMONTH(J$12,0),$I77&gt;=J$12),"DEV",""))))</f>
      </c>
      <c r="K77" s="158" t="str">
        <f>IF($AI77="","",IF(AND($AN77&lt;&gt;"",$AN77&lt;=EOMONTH(K$12,0),$AO77&gt;=K$12),IF(AND(INDEX('Roadmap Calc (Don’t Touch)'!$AA$2:$AX$151,$AI77,COLUMN()-COLUMN($J$16)+1)&gt;0,OR($D77="03. UX Discovery",$D77="04. UX Design")),IF(AND($H77&lt;&gt;"",$H77&lt;=EOMONTH(K$12,0),$I77&gt;=K$12),"ALL","PD+UX"),IF(AND($H77&lt;&gt;"",$H77&lt;=EOMONTH(K$12,0),$I77&gt;=K$12),"PD+DEV","PD")),IF(AND(INDEX('Roadmap Calc (Don’t Touch)'!$AA$2:$AX$151,$AI77,COLUMN()-COLUMN($J$16)+1)&gt;0,OR($D77="03. UX Discovery",$D77="04. UX Design")),IF(AND($H77&lt;&gt;"",$H77&lt;=EOMONTH(K$12,0),$I77&gt;=K$12),"UX+DEV","UX"),IF(AND($H77&lt;&gt;"",$H77&lt;=EOMONTH(K$12,0),$I77&gt;=K$12),"DEV",""))))</f>
      </c>
      <c r="L77" s="158" t="str">
        <f>IF($AI77="","",IF(AND($AN77&lt;&gt;"",$AN77&lt;=EOMONTH(L$12,0),$AO77&gt;=L$12),IF(AND(INDEX('Roadmap Calc (Don’t Touch)'!$AA$2:$AX$151,$AI77,COLUMN()-COLUMN($J$16)+1)&gt;0,OR($D77="03. UX Discovery",$D77="04. UX Design")),IF(AND($H77&lt;&gt;"",$H77&lt;=EOMONTH(L$12,0),$I77&gt;=L$12),"ALL","PD+UX"),IF(AND($H77&lt;&gt;"",$H77&lt;=EOMONTH(L$12,0),$I77&gt;=L$12),"PD+DEV","PD")),IF(AND(INDEX('Roadmap Calc (Don’t Touch)'!$AA$2:$AX$151,$AI77,COLUMN()-COLUMN($J$16)+1)&gt;0,OR($D77="03. UX Discovery",$D77="04. UX Design")),IF(AND($H77&lt;&gt;"",$H77&lt;=EOMONTH(L$12,0),$I77&gt;=L$12),"UX+DEV","UX"),IF(AND($H77&lt;&gt;"",$H77&lt;=EOMONTH(L$12,0),$I77&gt;=L$12),"DEV",""))))</f>
      </c>
      <c r="M77" s="158" t="str">
        <f>IF($AI77="","",IF(AND($AN77&lt;&gt;"",$AN77&lt;=EOMONTH(M$12,0),$AO77&gt;=M$12),IF(AND(INDEX('Roadmap Calc (Don’t Touch)'!$AA$2:$AX$151,$AI77,COLUMN()-COLUMN($J$16)+1)&gt;0,OR($D77="03. UX Discovery",$D77="04. UX Design")),IF(AND($H77&lt;&gt;"",$H77&lt;=EOMONTH(M$12,0),$I77&gt;=M$12),"ALL","PD+UX"),IF(AND($H77&lt;&gt;"",$H77&lt;=EOMONTH(M$12,0),$I77&gt;=M$12),"PD+DEV","PD")),IF(AND(INDEX('Roadmap Calc (Don’t Touch)'!$AA$2:$AX$151,$AI77,COLUMN()-COLUMN($J$16)+1)&gt;0,OR($D77="03. UX Discovery",$D77="04. UX Design")),IF(AND($H77&lt;&gt;"",$H77&lt;=EOMONTH(M$12,0),$I77&gt;=M$12),"UX+DEV","UX"),IF(AND($H77&lt;&gt;"",$H77&lt;=EOMONTH(M$12,0),$I77&gt;=M$12),"DEV",""))))</f>
      </c>
      <c r="N77" s="158" t="str">
        <f>IF($AI77="","",IF(AND($AN77&lt;&gt;"",$AN77&lt;=EOMONTH(N$12,0),$AO77&gt;=N$12),IF(AND(INDEX('Roadmap Calc (Don’t Touch)'!$AA$2:$AX$151,$AI77,COLUMN()-COLUMN($J$16)+1)&gt;0,OR($D77="03. UX Discovery",$D77="04. UX Design")),IF(AND($H77&lt;&gt;"",$H77&lt;=EOMONTH(N$12,0),$I77&gt;=N$12),"ALL","PD+UX"),IF(AND($H77&lt;&gt;"",$H77&lt;=EOMONTH(N$12,0),$I77&gt;=N$12),"PD+DEV","PD")),IF(AND(INDEX('Roadmap Calc (Don’t Touch)'!$AA$2:$AX$151,$AI77,COLUMN()-COLUMN($J$16)+1)&gt;0,OR($D77="03. UX Discovery",$D77="04. UX Design")),IF(AND($H77&lt;&gt;"",$H77&lt;=EOMONTH(N$12,0),$I77&gt;=N$12),"UX+DEV","UX"),IF(AND($H77&lt;&gt;"",$H77&lt;=EOMONTH(N$12,0),$I77&gt;=N$12),"DEV",""))))</f>
      </c>
      <c r="O77" s="158" t="str">
        <f>IF($AI77="","",IF(AND($AN77&lt;&gt;"",$AN77&lt;=EOMONTH(O$12,0),$AO77&gt;=O$12),IF(AND(INDEX('Roadmap Calc (Don’t Touch)'!$AA$2:$AX$151,$AI77,COLUMN()-COLUMN($J$16)+1)&gt;0,OR($D77="03. UX Discovery",$D77="04. UX Design")),IF(AND($H77&lt;&gt;"",$H77&lt;=EOMONTH(O$12,0),$I77&gt;=O$12),"ALL","PD+UX"),IF(AND($H77&lt;&gt;"",$H77&lt;=EOMONTH(O$12,0),$I77&gt;=O$12),"PD+DEV","PD")),IF(AND(INDEX('Roadmap Calc (Don’t Touch)'!$AA$2:$AX$151,$AI77,COLUMN()-COLUMN($J$16)+1)&gt;0,OR($D77="03. UX Discovery",$D77="04. UX Design")),IF(AND($H77&lt;&gt;"",$H77&lt;=EOMONTH(O$12,0),$I77&gt;=O$12),"UX+DEV","UX"),IF(AND($H77&lt;&gt;"",$H77&lt;=EOMONTH(O$12,0),$I77&gt;=O$12),"DEV",""))))</f>
      </c>
      <c r="P77" s="158" t="str">
        <f>IF($AI77="","",IF(AND($AN77&lt;&gt;"",$AN77&lt;=EOMONTH(P$12,0),$AO77&gt;=P$12),IF(AND(INDEX('Roadmap Calc (Don’t Touch)'!$AA$2:$AX$151,$AI77,COLUMN()-COLUMN($J$16)+1)&gt;0,OR($D77="03. UX Discovery",$D77="04. UX Design")),IF(AND($H77&lt;&gt;"",$H77&lt;=EOMONTH(P$12,0),$I77&gt;=P$12),"ALL","PD+UX"),IF(AND($H77&lt;&gt;"",$H77&lt;=EOMONTH(P$12,0),$I77&gt;=P$12),"PD+DEV","PD")),IF(AND(INDEX('Roadmap Calc (Don’t Touch)'!$AA$2:$AX$151,$AI77,COLUMN()-COLUMN($J$16)+1)&gt;0,OR($D77="03. UX Discovery",$D77="04. UX Design")),IF(AND($H77&lt;&gt;"",$H77&lt;=EOMONTH(P$12,0),$I77&gt;=P$12),"UX+DEV","UX"),IF(AND($H77&lt;&gt;"",$H77&lt;=EOMONTH(P$12,0),$I77&gt;=P$12),"DEV",""))))</f>
      </c>
      <c r="Q77" s="158" t="str">
        <f>IF($AI77="","",IF(AND($AN77&lt;&gt;"",$AN77&lt;=EOMONTH(Q$12,0),$AO77&gt;=Q$12),IF(AND(INDEX('Roadmap Calc (Don’t Touch)'!$AA$2:$AX$151,$AI77,COLUMN()-COLUMN($J$16)+1)&gt;0,OR($D77="03. UX Discovery",$D77="04. UX Design")),IF(AND($H77&lt;&gt;"",$H77&lt;=EOMONTH(Q$12,0),$I77&gt;=Q$12),"ALL","PD+UX"),IF(AND($H77&lt;&gt;"",$H77&lt;=EOMONTH(Q$12,0),$I77&gt;=Q$12),"PD+DEV","PD")),IF(AND(INDEX('Roadmap Calc (Don’t Touch)'!$AA$2:$AX$151,$AI77,COLUMN()-COLUMN($J$16)+1)&gt;0,OR($D77="03. UX Discovery",$D77="04. UX Design")),IF(AND($H77&lt;&gt;"",$H77&lt;=EOMONTH(Q$12,0),$I77&gt;=Q$12),"UX+DEV","UX"),IF(AND($H77&lt;&gt;"",$H77&lt;=EOMONTH(Q$12,0),$I77&gt;=Q$12),"DEV",""))))</f>
      </c>
      <c r="R77" s="158" t="str">
        <f>IF($AI77="","",IF(AND($AN77&lt;&gt;"",$AN77&lt;=EOMONTH(R$12,0),$AO77&gt;=R$12),IF(AND(INDEX('Roadmap Calc (Don’t Touch)'!$AA$2:$AX$151,$AI77,COLUMN()-COLUMN($J$16)+1)&gt;0,OR($D77="03. UX Discovery",$D77="04. UX Design")),IF(AND($H77&lt;&gt;"",$H77&lt;=EOMONTH(R$12,0),$I77&gt;=R$12),"ALL","PD+UX"),IF(AND($H77&lt;&gt;"",$H77&lt;=EOMONTH(R$12,0),$I77&gt;=R$12),"PD+DEV","PD")),IF(AND(INDEX('Roadmap Calc (Don’t Touch)'!$AA$2:$AX$151,$AI77,COLUMN()-COLUMN($J$16)+1)&gt;0,OR($D77="03. UX Discovery",$D77="04. UX Design")),IF(AND($H77&lt;&gt;"",$H77&lt;=EOMONTH(R$12,0),$I77&gt;=R$12),"UX+DEV","UX"),IF(AND($H77&lt;&gt;"",$H77&lt;=EOMONTH(R$12,0),$I77&gt;=R$12),"DEV",""))))</f>
      </c>
      <c r="S77" s="158" t="str">
        <f>IF($AI77="","",IF(AND($AN77&lt;&gt;"",$AN77&lt;=EOMONTH(S$12,0),$AO77&gt;=S$12),IF(AND(INDEX('Roadmap Calc (Don’t Touch)'!$AA$2:$AX$151,$AI77,COLUMN()-COLUMN($J$16)+1)&gt;0,OR($D77="03. UX Discovery",$D77="04. UX Design")),IF(AND($H77&lt;&gt;"",$H77&lt;=EOMONTH(S$12,0),$I77&gt;=S$12),"ALL","PD+UX"),IF(AND($H77&lt;&gt;"",$H77&lt;=EOMONTH(S$12,0),$I77&gt;=S$12),"PD+DEV","PD")),IF(AND(INDEX('Roadmap Calc (Don’t Touch)'!$AA$2:$AX$151,$AI77,COLUMN()-COLUMN($J$16)+1)&gt;0,OR($D77="03. UX Discovery",$D77="04. UX Design")),IF(AND($H77&lt;&gt;"",$H77&lt;=EOMONTH(S$12,0),$I77&gt;=S$12),"UX+DEV","UX"),IF(AND($H77&lt;&gt;"",$H77&lt;=EOMONTH(S$12,0),$I77&gt;=S$12),"DEV",""))))</f>
      </c>
      <c r="T77" s="158" t="str">
        <f>IF($AI77="","",IF(AND($AN77&lt;&gt;"",$AN77&lt;=EOMONTH(T$12,0),$AO77&gt;=T$12),IF(AND(INDEX('Roadmap Calc (Don’t Touch)'!$AA$2:$AX$151,$AI77,COLUMN()-COLUMN($J$16)+1)&gt;0,OR($D77="03. UX Discovery",$D77="04. UX Design")),IF(AND($H77&lt;&gt;"",$H77&lt;=EOMONTH(T$12,0),$I77&gt;=T$12),"ALL","PD+UX"),IF(AND($H77&lt;&gt;"",$H77&lt;=EOMONTH(T$12,0),$I77&gt;=T$12),"PD+DEV","PD")),IF(AND(INDEX('Roadmap Calc (Don’t Touch)'!$AA$2:$AX$151,$AI77,COLUMN()-COLUMN($J$16)+1)&gt;0,OR($D77="03. UX Discovery",$D77="04. UX Design")),IF(AND($H77&lt;&gt;"",$H77&lt;=EOMONTH(T$12,0),$I77&gt;=T$12),"UX+DEV","UX"),IF(AND($H77&lt;&gt;"",$H77&lt;=EOMONTH(T$12,0),$I77&gt;=T$12),"DEV",""))))</f>
      </c>
      <c r="U77" s="158" t="str">
        <f>IF($AI77="","",IF(AND($AN77&lt;&gt;"",$AN77&lt;=EOMONTH(U$12,0),$AO77&gt;=U$12),IF(AND(INDEX('Roadmap Calc (Don’t Touch)'!$AA$2:$AX$151,$AI77,COLUMN()-COLUMN($J$16)+1)&gt;0,OR($D77="03. UX Discovery",$D77="04. UX Design")),IF(AND($H77&lt;&gt;"",$H77&lt;=EOMONTH(U$12,0),$I77&gt;=U$12),"ALL","PD+UX"),IF(AND($H77&lt;&gt;"",$H77&lt;=EOMONTH(U$12,0),$I77&gt;=U$12),"PD+DEV","PD")),IF(AND(INDEX('Roadmap Calc (Don’t Touch)'!$AA$2:$AX$151,$AI77,COLUMN()-COLUMN($J$16)+1)&gt;0,OR($D77="03. UX Discovery",$D77="04. UX Design")),IF(AND($H77&lt;&gt;"",$H77&lt;=EOMONTH(U$12,0),$I77&gt;=U$12),"UX+DEV","UX"),IF(AND($H77&lt;&gt;"",$H77&lt;=EOMONTH(U$12,0),$I77&gt;=U$12),"DEV",""))))</f>
      </c>
      <c r="V77" s="158" t="str">
        <f>IF($AI77="","",IF(AND($AN77&lt;&gt;"",$AN77&lt;=EOMONTH(V$12,0),$AO77&gt;=V$12),IF(AND(INDEX('Roadmap Calc (Don’t Touch)'!$AA$2:$AX$151,$AI77,COLUMN()-COLUMN($J$16)+1)&gt;0,OR($D77="03. UX Discovery",$D77="04. UX Design")),IF(AND($H77&lt;&gt;"",$H77&lt;=EOMONTH(V$12,0),$I77&gt;=V$12),"ALL","PD+UX"),IF(AND($H77&lt;&gt;"",$H77&lt;=EOMONTH(V$12,0),$I77&gt;=V$12),"PD+DEV","PD")),IF(AND(INDEX('Roadmap Calc (Don’t Touch)'!$AA$2:$AX$151,$AI77,COLUMN()-COLUMN($J$16)+1)&gt;0,OR($D77="03. UX Discovery",$D77="04. UX Design")),IF(AND($H77&lt;&gt;"",$H77&lt;=EOMONTH(V$12,0),$I77&gt;=V$12),"UX+DEV","UX"),IF(AND($H77&lt;&gt;"",$H77&lt;=EOMONTH(V$12,0),$I77&gt;=V$12),"DEV",""))))</f>
      </c>
      <c r="W77" s="158" t="str">
        <f>IF($AI77="","",IF(AND($AN77&lt;&gt;"",$AN77&lt;=EOMONTH(W$12,0),$AO77&gt;=W$12),IF(AND(INDEX('Roadmap Calc (Don’t Touch)'!$AA$2:$AX$151,$AI77,COLUMN()-COLUMN($J$16)+1)&gt;0,OR($D77="03. UX Discovery",$D77="04. UX Design")),IF(AND($H77&lt;&gt;"",$H77&lt;=EOMONTH(W$12,0),$I77&gt;=W$12),"ALL","PD+UX"),IF(AND($H77&lt;&gt;"",$H77&lt;=EOMONTH(W$12,0),$I77&gt;=W$12),"PD+DEV","PD")),IF(AND(INDEX('Roadmap Calc (Don’t Touch)'!$AA$2:$AX$151,$AI77,COLUMN()-COLUMN($J$16)+1)&gt;0,OR($D77="03. UX Discovery",$D77="04. UX Design")),IF(AND($H77&lt;&gt;"",$H77&lt;=EOMONTH(W$12,0),$I77&gt;=W$12),"UX+DEV","UX"),IF(AND($H77&lt;&gt;"",$H77&lt;=EOMONTH(W$12,0),$I77&gt;=W$12),"DEV",""))))</f>
      </c>
      <c r="X77" s="158" t="str">
        <f>IF($AI77="","",IF(AND($AN77&lt;&gt;"",$AN77&lt;=EOMONTH(X$12,0),$AO77&gt;=X$12),IF(AND(INDEX('Roadmap Calc (Don’t Touch)'!$AA$2:$AX$151,$AI77,COLUMN()-COLUMN($J$16)+1)&gt;0,OR($D77="03. UX Discovery",$D77="04. UX Design")),IF(AND($H77&lt;&gt;"",$H77&lt;=EOMONTH(X$12,0),$I77&gt;=X$12),"ALL","PD+UX"),IF(AND($H77&lt;&gt;"",$H77&lt;=EOMONTH(X$12,0),$I77&gt;=X$12),"PD+DEV","PD")),IF(AND(INDEX('Roadmap Calc (Don’t Touch)'!$AA$2:$AX$151,$AI77,COLUMN()-COLUMN($J$16)+1)&gt;0,OR($D77="03. UX Discovery",$D77="04. UX Design")),IF(AND($H77&lt;&gt;"",$H77&lt;=EOMONTH(X$12,0),$I77&gt;=X$12),"UX+DEV","UX"),IF(AND($H77&lt;&gt;"",$H77&lt;=EOMONTH(X$12,0),$I77&gt;=X$12),"DEV",""))))</f>
      </c>
      <c r="Y77" s="158" t="str">
        <f>IF($AI77="","",IF(AND($AN77&lt;&gt;"",$AN77&lt;=EOMONTH(Y$12,0),$AO77&gt;=Y$12),IF(AND(INDEX('Roadmap Calc (Don’t Touch)'!$AA$2:$AX$151,$AI77,COLUMN()-COLUMN($J$16)+1)&gt;0,OR($D77="03. UX Discovery",$D77="04. UX Design")),IF(AND($H77&lt;&gt;"",$H77&lt;=EOMONTH(Y$12,0),$I77&gt;=Y$12),"ALL","PD+UX"),IF(AND($H77&lt;&gt;"",$H77&lt;=EOMONTH(Y$12,0),$I77&gt;=Y$12),"PD+DEV","PD")),IF(AND(INDEX('Roadmap Calc (Don’t Touch)'!$AA$2:$AX$151,$AI77,COLUMN()-COLUMN($J$16)+1)&gt;0,OR($D77="03. UX Discovery",$D77="04. UX Design")),IF(AND($H77&lt;&gt;"",$H77&lt;=EOMONTH(Y$12,0),$I77&gt;=Y$12),"UX+DEV","UX"),IF(AND($H77&lt;&gt;"",$H77&lt;=EOMONTH(Y$12,0),$I77&gt;=Y$12),"DEV",""))))</f>
      </c>
      <c r="Z77" s="158" t="str">
        <f>IF($AI77="","",IF(AND($AN77&lt;&gt;"",$AN77&lt;=EOMONTH(Z$12,0),$AO77&gt;=Z$12),IF(AND(INDEX('Roadmap Calc (Don’t Touch)'!$AA$2:$AX$151,$AI77,COLUMN()-COLUMN($J$16)+1)&gt;0,OR($D77="03. UX Discovery",$D77="04. UX Design")),IF(AND($H77&lt;&gt;"",$H77&lt;=EOMONTH(Z$12,0),$I77&gt;=Z$12),"ALL","PD+UX"),IF(AND($H77&lt;&gt;"",$H77&lt;=EOMONTH(Z$12,0),$I77&gt;=Z$12),"PD+DEV","PD")),IF(AND(INDEX('Roadmap Calc (Don’t Touch)'!$AA$2:$AX$151,$AI77,COLUMN()-COLUMN($J$16)+1)&gt;0,OR($D77="03. UX Discovery",$D77="04. UX Design")),IF(AND($H77&lt;&gt;"",$H77&lt;=EOMONTH(Z$12,0),$I77&gt;=Z$12),"UX+DEV","UX"),IF(AND($H77&lt;&gt;"",$H77&lt;=EOMONTH(Z$12,0),$I77&gt;=Z$12),"DEV",""))))</f>
      </c>
      <c r="AA77" s="158" t="str">
        <f>IF($AI77="","",IF(AND($AN77&lt;&gt;"",$AN77&lt;=EOMONTH(AA$12,0),$AO77&gt;=AA$12),IF(AND(INDEX('Roadmap Calc (Don’t Touch)'!$AA$2:$AX$151,$AI77,COLUMN()-COLUMN($J$16)+1)&gt;0,OR($D77="03. UX Discovery",$D77="04. UX Design")),IF(AND($H77&lt;&gt;"",$H77&lt;=EOMONTH(AA$12,0),$I77&gt;=AA$12),"ALL","PD+UX"),IF(AND($H77&lt;&gt;"",$H77&lt;=EOMONTH(AA$12,0),$I77&gt;=AA$12),"PD+DEV","PD")),IF(AND(INDEX('Roadmap Calc (Don’t Touch)'!$AA$2:$AX$151,$AI77,COLUMN()-COLUMN($J$16)+1)&gt;0,OR($D77="03. UX Discovery",$D77="04. UX Design")),IF(AND($H77&lt;&gt;"",$H77&lt;=EOMONTH(AA$12,0),$I77&gt;=AA$12),"UX+DEV","UX"),IF(AND($H77&lt;&gt;"",$H77&lt;=EOMONTH(AA$12,0),$I77&gt;=AA$12),"DEV",""))))</f>
      </c>
      <c r="AB77" s="158" t="str">
        <f>IF($AI77="","",IF(AND($AN77&lt;&gt;"",$AN77&lt;=EOMONTH(AB$12,0),$AO77&gt;=AB$12),IF(AND(INDEX('Roadmap Calc (Don’t Touch)'!$AA$2:$AX$151,$AI77,COLUMN()-COLUMN($J$16)+1)&gt;0,OR($D77="03. UX Discovery",$D77="04. UX Design")),IF(AND($H77&lt;&gt;"",$H77&lt;=EOMONTH(AB$12,0),$I77&gt;=AB$12),"ALL","PD+UX"),IF(AND($H77&lt;&gt;"",$H77&lt;=EOMONTH(AB$12,0),$I77&gt;=AB$12),"PD+DEV","PD")),IF(AND(INDEX('Roadmap Calc (Don’t Touch)'!$AA$2:$AX$151,$AI77,COLUMN()-COLUMN($J$16)+1)&gt;0,OR($D77="03. UX Discovery",$D77="04. UX Design")),IF(AND($H77&lt;&gt;"",$H77&lt;=EOMONTH(AB$12,0),$I77&gt;=AB$12),"UX+DEV","UX"),IF(AND($H77&lt;&gt;"",$H77&lt;=EOMONTH(AB$12,0),$I77&gt;=AB$12),"DEV",""))))</f>
      </c>
      <c r="AC77" s="158" t="str">
        <f>IF($AI77="","",IF(AND($AN77&lt;&gt;"",$AN77&lt;=EOMONTH(AC$12,0),$AO77&gt;=AC$12),IF(AND(INDEX('Roadmap Calc (Don’t Touch)'!$AA$2:$AX$151,$AI77,COLUMN()-COLUMN($J$16)+1)&gt;0,OR($D77="03. UX Discovery",$D77="04. UX Design")),IF(AND($H77&lt;&gt;"",$H77&lt;=EOMONTH(AC$12,0),$I77&gt;=AC$12),"ALL","PD+UX"),IF(AND($H77&lt;&gt;"",$H77&lt;=EOMONTH(AC$12,0),$I77&gt;=AC$12),"PD+DEV","PD")),IF(AND(INDEX('Roadmap Calc (Don’t Touch)'!$AA$2:$AX$151,$AI77,COLUMN()-COLUMN($J$16)+1)&gt;0,OR($D77="03. UX Discovery",$D77="04. UX Design")),IF(AND($H77&lt;&gt;"",$H77&lt;=EOMONTH(AC$12,0),$I77&gt;=AC$12),"UX+DEV","UX"),IF(AND($H77&lt;&gt;"",$H77&lt;=EOMONTH(AC$12,0),$I77&gt;=AC$12),"DEV",""))))</f>
      </c>
      <c r="AD77" s="158" t="str">
        <f>IF($AI77="","",IF(AND($AN77&lt;&gt;"",$AN77&lt;=EOMONTH(AD$12,0),$AO77&gt;=AD$12),IF(AND(INDEX('Roadmap Calc (Don’t Touch)'!$AA$2:$AX$151,$AI77,COLUMN()-COLUMN($J$16)+1)&gt;0,OR($D77="03. UX Discovery",$D77="04. UX Design")),IF(AND($H77&lt;&gt;"",$H77&lt;=EOMONTH(AD$12,0),$I77&gt;=AD$12),"ALL","PD+UX"),IF(AND($H77&lt;&gt;"",$H77&lt;=EOMONTH(AD$12,0),$I77&gt;=AD$12),"PD+DEV","PD")),IF(AND(INDEX('Roadmap Calc (Don’t Touch)'!$AA$2:$AX$151,$AI77,COLUMN()-COLUMN($J$16)+1)&gt;0,OR($D77="03. UX Discovery",$D77="04. UX Design")),IF(AND($H77&lt;&gt;"",$H77&lt;=EOMONTH(AD$12,0),$I77&gt;=AD$12),"UX+DEV","UX"),IF(AND($H77&lt;&gt;"",$H77&lt;=EOMONTH(AD$12,0),$I77&gt;=AD$12),"DEV",""))))</f>
      </c>
      <c r="AE77" s="158" t="str">
        <f>IF($AI77="","",IF(AND($AN77&lt;&gt;"",$AN77&lt;=EOMONTH(AE$12,0),$AO77&gt;=AE$12),IF(AND(INDEX('Roadmap Calc (Don’t Touch)'!$AA$2:$AX$151,$AI77,COLUMN()-COLUMN($J$16)+1)&gt;0,OR($D77="03. UX Discovery",$D77="04. UX Design")),IF(AND($H77&lt;&gt;"",$H77&lt;=EOMONTH(AE$12,0),$I77&gt;=AE$12),"ALL","PD+UX"),IF(AND($H77&lt;&gt;"",$H77&lt;=EOMONTH(AE$12,0),$I77&gt;=AE$12),"PD+DEV","PD")),IF(AND(INDEX('Roadmap Calc (Don’t Touch)'!$AA$2:$AX$151,$AI77,COLUMN()-COLUMN($J$16)+1)&gt;0,OR($D77="03. UX Discovery",$D77="04. UX Design")),IF(AND($H77&lt;&gt;"",$H77&lt;=EOMONTH(AE$12,0),$I77&gt;=AE$12),"UX+DEV","UX"),IF(AND($H77&lt;&gt;"",$H77&lt;=EOMONTH(AE$12,0),$I77&gt;=AE$12),"DEV",""))))</f>
      </c>
      <c r="AF77" s="158" t="str">
        <f>IF($AI77="","",IF(AND($AN77&lt;&gt;"",$AN77&lt;=EOMONTH(AF$12,0),$AO77&gt;=AF$12),IF(AND(INDEX('Roadmap Calc (Don’t Touch)'!$AA$2:$AX$151,$AI77,COLUMN()-COLUMN($J$16)+1)&gt;0,OR($D77="03. UX Discovery",$D77="04. UX Design")),IF(AND($H77&lt;&gt;"",$H77&lt;=EOMONTH(AF$12,0),$I77&gt;=AF$12),"ALL","PD+UX"),IF(AND($H77&lt;&gt;"",$H77&lt;=EOMONTH(AF$12,0),$I77&gt;=AF$12),"PD+DEV","PD")),IF(AND(INDEX('Roadmap Calc (Don’t Touch)'!$AA$2:$AX$151,$AI77,COLUMN()-COLUMN($J$16)+1)&gt;0,OR($D77="03. UX Discovery",$D77="04. UX Design")),IF(AND($H77&lt;&gt;"",$H77&lt;=EOMONTH(AF$12,0),$I77&gt;=AF$12),"UX+DEV","UX"),IF(AND($H77&lt;&gt;"",$H77&lt;=EOMONTH(AF$12,0),$I77&gt;=AF$12),"DEV",""))))</f>
      </c>
      <c r="AG77" s="158" t="str">
        <f>IF($AI77="","",IF(AND($AN77&lt;&gt;"",$AN77&lt;=EOMONTH(AG$12,0),$AO77&gt;=AG$12),IF(AND(INDEX('Roadmap Calc (Don’t Touch)'!$AA$2:$AX$151,$AI77,COLUMN()-COLUMN($J$16)+1)&gt;0,OR($D77="03. UX Discovery",$D77="04. UX Design")),IF(AND($H77&lt;&gt;"",$H77&lt;=EOMONTH(AG$12,0),$I77&gt;=AG$12),"ALL","PD+UX"),IF(AND($H77&lt;&gt;"",$H77&lt;=EOMONTH(AG$12,0),$I77&gt;=AG$12),"PD+DEV","PD")),IF(AND(INDEX('Roadmap Calc (Don’t Touch)'!$AA$2:$AX$151,$AI77,COLUMN()-COLUMN($J$16)+1)&gt;0,OR($D77="03. UX Discovery",$D77="04. UX Design")),IF(AND($H77&lt;&gt;"",$H77&lt;=EOMONTH(AG$12,0),$I77&gt;=AG$12),"UX+DEV","UX"),IF(AND($H77&lt;&gt;"",$H77&lt;=EOMONTH(AG$12,0),$I77&gt;=AG$12),"DEV",""))))</f>
      </c>
      <c r="AH77" s="145" t="str">
        <f>IF($AI77="","",INDEX('Roadmap Calc (Don’t Touch)'!$D$2:$D$151,$AI77))</f>
        <v/>
      </c>
      <c r="AI77" s="145" t="str">
        <f>IFERROR(MATCH(62,'Roadmap Calc (Don’t Touch)'!$O$2:$O$151,0),"")</f>
        <v/>
      </c>
      <c r="AJ77" s="145"/>
      <c r="AK77" s="145"/>
      <c r="AL77" s="145"/>
      <c r="AM77" s="145"/>
      <c r="AN77">
        <f>IF($AI77="","",IF(ISNUMBER(INDEX('Roadmap Calc (Don’t Touch)'!$BB$2:$BB$151,$AI77)),INDEX('Roadmap Calc (Don’t Touch)'!$BB$2:$BB$151,$AI77),""))</f>
      </c>
      <c r="AO77">
        <f>IF($AI77="","",IF(ISNUMBER(INDEX('Roadmap Calc (Don’t Touch)'!$BC$2:$BC$151,$AI77)),INDEX('Roadmap Calc (Don’t Touch)'!$BC$2:$BC$151,$AI77),""))</f>
      </c>
    </row>
    <row r="78" spans="1:41" ht="17" customHeight="1" x14ac:dyDescent="0.25">
      <c r="A78" s="152" t="str">
        <f>IF($AI78="","",IF($AH78=$AH77,"",IF(INDEX('Roadmap Calc (Don’t Touch)'!$U$2:$U$151,$AI78)=0,$AH78,HYPERLINK("#'Control (Don’t Touch)'!E"&amp;INDEX('Roadmap Calc (Don’t Touch)'!$U$2:$U$151,$AI78),$AH78))))</f>
        <v/>
      </c>
      <c r="B78" s="153" t="str">
        <f>IF($AI78="","",IF(INDEX('Roadmap Calc (Don’t Touch)'!$K$2:$K$151,$AI78)="",INDEX('Roadmap Calc (Don’t Touch)'!$B$2:$B$151,$AI78),HYPERLINK("https://jira.bnh.com/browse/"&amp;INDEX('Roadmap Calc (Don’t Touch)'!$K$2:$K$151,$AI78),INDEX('Roadmap Calc (Don’t Touch)'!$B$2:$B$151,$AI78))))</f>
        <v/>
      </c>
      <c r="C78" s="153" t="str">
        <f>IF($AI78="","",IF(INDEX('Roadmap Calc (Don’t Touch)'!$E$2:$E$151,$AI78)="","",HYPERLINK("https://jira.bnh.com/browse/"&amp;INDEX('Roadmap Calc (Don’t Touch)'!$E$2:$E$151,$AI78),INDEX('Roadmap Calc (Don’t Touch)'!$E$2:$E$151,$AI78))))</f>
        <v/>
      </c>
      <c r="D78" s="154" t="str">
        <f>IF($AI78="","",INDEX('Roadmap Calc (Don’t Touch)'!$F$2:$F$151,$AI78))</f>
        <v/>
      </c>
      <c r="E78" s="155" t="str">
        <f>IF($AI78="","",IF(ISNUMBER(INDEX('Roadmap Calc (Don’t Touch)'!$G$2:$G$151,$AI78)),INDEX('Roadmap Calc (Don’t Touch)'!$G$2:$G$151,$AI78),""))</f>
        <v/>
      </c>
      <c r="F78" s="155" t="str">
        <f>IF($AI78="","",IF(ISNUMBER(INDEX('Roadmap Calc (Don’t Touch)'!$H$2:$H$151,$AI78)),INDEX('Roadmap Calc (Don’t Touch)'!$H$2:$H$151,$AI78),""))</f>
        <v/>
      </c>
      <c r="G78" s="156" t="str">
        <f>IF($AI78="","",INDEX('Roadmap Calc (Don’t Touch)'!$T$2:$T$151,$AI78))</f>
        <v/>
      </c>
      <c r="H78" s="157" t="str">
        <f>IF($AI78="","",IF(ISNUMBER(INDEX('Roadmap Calc (Don’t Touch)'!$I$2:$I$151,$AI78)),INDEX('Roadmap Calc (Don’t Touch)'!$I$2:$I$151,$AI78),""))</f>
        <v/>
      </c>
      <c r="I78" s="157" t="str">
        <f>IF($AI78="","",IF(ISNUMBER(INDEX('Roadmap Calc (Don’t Touch)'!$J$2:$J$151,$AI78)),INDEX('Roadmap Calc (Don’t Touch)'!$J$2:$J$151,$AI78),""))</f>
        <v/>
      </c>
      <c r="J78" s="158" t="str">
        <f>IF($AI78="","",IF(AND($AN78&lt;&gt;"",$AN78&lt;=EOMONTH(J$12,0),$AO78&gt;=J$12),IF(AND(INDEX('Roadmap Calc (Don’t Touch)'!$AA$2:$AX$151,$AI78,COLUMN()-COLUMN($J$16)+1)&gt;0,OR($D78="03. UX Discovery",$D78="04. UX Design")),IF(AND($H78&lt;&gt;"",$H78&lt;=EOMONTH(J$12,0),$I78&gt;=J$12),"ALL","PD+UX"),IF(AND($H78&lt;&gt;"",$H78&lt;=EOMONTH(J$12,0),$I78&gt;=J$12),"PD+DEV","PD")),IF(AND(INDEX('Roadmap Calc (Don’t Touch)'!$AA$2:$AX$151,$AI78,COLUMN()-COLUMN($J$16)+1)&gt;0,OR($D78="03. UX Discovery",$D78="04. UX Design")),IF(AND($H78&lt;&gt;"",$H78&lt;=EOMONTH(J$12,0),$I78&gt;=J$12),"UX+DEV","UX"),IF(AND($H78&lt;&gt;"",$H78&lt;=EOMONTH(J$12,0),$I78&gt;=J$12),"DEV",""))))</f>
      </c>
      <c r="K78" s="158" t="str">
        <f>IF($AI78="","",IF(AND($AN78&lt;&gt;"",$AN78&lt;=EOMONTH(K$12,0),$AO78&gt;=K$12),IF(AND(INDEX('Roadmap Calc (Don’t Touch)'!$AA$2:$AX$151,$AI78,COLUMN()-COLUMN($J$16)+1)&gt;0,OR($D78="03. UX Discovery",$D78="04. UX Design")),IF(AND($H78&lt;&gt;"",$H78&lt;=EOMONTH(K$12,0),$I78&gt;=K$12),"ALL","PD+UX"),IF(AND($H78&lt;&gt;"",$H78&lt;=EOMONTH(K$12,0),$I78&gt;=K$12),"PD+DEV","PD")),IF(AND(INDEX('Roadmap Calc (Don’t Touch)'!$AA$2:$AX$151,$AI78,COLUMN()-COLUMN($J$16)+1)&gt;0,OR($D78="03. UX Discovery",$D78="04. UX Design")),IF(AND($H78&lt;&gt;"",$H78&lt;=EOMONTH(K$12,0),$I78&gt;=K$12),"UX+DEV","UX"),IF(AND($H78&lt;&gt;"",$H78&lt;=EOMONTH(K$12,0),$I78&gt;=K$12),"DEV",""))))</f>
      </c>
      <c r="L78" s="158" t="str">
        <f>IF($AI78="","",IF(AND($AN78&lt;&gt;"",$AN78&lt;=EOMONTH(L$12,0),$AO78&gt;=L$12),IF(AND(INDEX('Roadmap Calc (Don’t Touch)'!$AA$2:$AX$151,$AI78,COLUMN()-COLUMN($J$16)+1)&gt;0,OR($D78="03. UX Discovery",$D78="04. UX Design")),IF(AND($H78&lt;&gt;"",$H78&lt;=EOMONTH(L$12,0),$I78&gt;=L$12),"ALL","PD+UX"),IF(AND($H78&lt;&gt;"",$H78&lt;=EOMONTH(L$12,0),$I78&gt;=L$12),"PD+DEV","PD")),IF(AND(INDEX('Roadmap Calc (Don’t Touch)'!$AA$2:$AX$151,$AI78,COLUMN()-COLUMN($J$16)+1)&gt;0,OR($D78="03. UX Discovery",$D78="04. UX Design")),IF(AND($H78&lt;&gt;"",$H78&lt;=EOMONTH(L$12,0),$I78&gt;=L$12),"UX+DEV","UX"),IF(AND($H78&lt;&gt;"",$H78&lt;=EOMONTH(L$12,0),$I78&gt;=L$12),"DEV",""))))</f>
      </c>
      <c r="M78" s="158" t="str">
        <f>IF($AI78="","",IF(AND($AN78&lt;&gt;"",$AN78&lt;=EOMONTH(M$12,0),$AO78&gt;=M$12),IF(AND(INDEX('Roadmap Calc (Don’t Touch)'!$AA$2:$AX$151,$AI78,COLUMN()-COLUMN($J$16)+1)&gt;0,OR($D78="03. UX Discovery",$D78="04. UX Design")),IF(AND($H78&lt;&gt;"",$H78&lt;=EOMONTH(M$12,0),$I78&gt;=M$12),"ALL","PD+UX"),IF(AND($H78&lt;&gt;"",$H78&lt;=EOMONTH(M$12,0),$I78&gt;=M$12),"PD+DEV","PD")),IF(AND(INDEX('Roadmap Calc (Don’t Touch)'!$AA$2:$AX$151,$AI78,COLUMN()-COLUMN($J$16)+1)&gt;0,OR($D78="03. UX Discovery",$D78="04. UX Design")),IF(AND($H78&lt;&gt;"",$H78&lt;=EOMONTH(M$12,0),$I78&gt;=M$12),"UX+DEV","UX"),IF(AND($H78&lt;&gt;"",$H78&lt;=EOMONTH(M$12,0),$I78&gt;=M$12),"DEV",""))))</f>
      </c>
      <c r="N78" s="158" t="str">
        <f>IF($AI78="","",IF(AND($AN78&lt;&gt;"",$AN78&lt;=EOMONTH(N$12,0),$AO78&gt;=N$12),IF(AND(INDEX('Roadmap Calc (Don’t Touch)'!$AA$2:$AX$151,$AI78,COLUMN()-COLUMN($J$16)+1)&gt;0,OR($D78="03. UX Discovery",$D78="04. UX Design")),IF(AND($H78&lt;&gt;"",$H78&lt;=EOMONTH(N$12,0),$I78&gt;=N$12),"ALL","PD+UX"),IF(AND($H78&lt;&gt;"",$H78&lt;=EOMONTH(N$12,0),$I78&gt;=N$12),"PD+DEV","PD")),IF(AND(INDEX('Roadmap Calc (Don’t Touch)'!$AA$2:$AX$151,$AI78,COLUMN()-COLUMN($J$16)+1)&gt;0,OR($D78="03. UX Discovery",$D78="04. UX Design")),IF(AND($H78&lt;&gt;"",$H78&lt;=EOMONTH(N$12,0),$I78&gt;=N$12),"UX+DEV","UX"),IF(AND($H78&lt;&gt;"",$H78&lt;=EOMONTH(N$12,0),$I78&gt;=N$12),"DEV",""))))</f>
      </c>
      <c r="O78" s="158" t="str">
        <f>IF($AI78="","",IF(AND($AN78&lt;&gt;"",$AN78&lt;=EOMONTH(O$12,0),$AO78&gt;=O$12),IF(AND(INDEX('Roadmap Calc (Don’t Touch)'!$AA$2:$AX$151,$AI78,COLUMN()-COLUMN($J$16)+1)&gt;0,OR($D78="03. UX Discovery",$D78="04. UX Design")),IF(AND($H78&lt;&gt;"",$H78&lt;=EOMONTH(O$12,0),$I78&gt;=O$12),"ALL","PD+UX"),IF(AND($H78&lt;&gt;"",$H78&lt;=EOMONTH(O$12,0),$I78&gt;=O$12),"PD+DEV","PD")),IF(AND(INDEX('Roadmap Calc (Don’t Touch)'!$AA$2:$AX$151,$AI78,COLUMN()-COLUMN($J$16)+1)&gt;0,OR($D78="03. UX Discovery",$D78="04. UX Design")),IF(AND($H78&lt;&gt;"",$H78&lt;=EOMONTH(O$12,0),$I78&gt;=O$12),"UX+DEV","UX"),IF(AND($H78&lt;&gt;"",$H78&lt;=EOMONTH(O$12,0),$I78&gt;=O$12),"DEV",""))))</f>
      </c>
      <c r="P78" s="158" t="str">
        <f>IF($AI78="","",IF(AND($AN78&lt;&gt;"",$AN78&lt;=EOMONTH(P$12,0),$AO78&gt;=P$12),IF(AND(INDEX('Roadmap Calc (Don’t Touch)'!$AA$2:$AX$151,$AI78,COLUMN()-COLUMN($J$16)+1)&gt;0,OR($D78="03. UX Discovery",$D78="04. UX Design")),IF(AND($H78&lt;&gt;"",$H78&lt;=EOMONTH(P$12,0),$I78&gt;=P$12),"ALL","PD+UX"),IF(AND($H78&lt;&gt;"",$H78&lt;=EOMONTH(P$12,0),$I78&gt;=P$12),"PD+DEV","PD")),IF(AND(INDEX('Roadmap Calc (Don’t Touch)'!$AA$2:$AX$151,$AI78,COLUMN()-COLUMN($J$16)+1)&gt;0,OR($D78="03. UX Discovery",$D78="04. UX Design")),IF(AND($H78&lt;&gt;"",$H78&lt;=EOMONTH(P$12,0),$I78&gt;=P$12),"UX+DEV","UX"),IF(AND($H78&lt;&gt;"",$H78&lt;=EOMONTH(P$12,0),$I78&gt;=P$12),"DEV",""))))</f>
      </c>
      <c r="Q78" s="158" t="str">
        <f>IF($AI78="","",IF(AND($AN78&lt;&gt;"",$AN78&lt;=EOMONTH(Q$12,0),$AO78&gt;=Q$12),IF(AND(INDEX('Roadmap Calc (Don’t Touch)'!$AA$2:$AX$151,$AI78,COLUMN()-COLUMN($J$16)+1)&gt;0,OR($D78="03. UX Discovery",$D78="04. UX Design")),IF(AND($H78&lt;&gt;"",$H78&lt;=EOMONTH(Q$12,0),$I78&gt;=Q$12),"ALL","PD+UX"),IF(AND($H78&lt;&gt;"",$H78&lt;=EOMONTH(Q$12,0),$I78&gt;=Q$12),"PD+DEV","PD")),IF(AND(INDEX('Roadmap Calc (Don’t Touch)'!$AA$2:$AX$151,$AI78,COLUMN()-COLUMN($J$16)+1)&gt;0,OR($D78="03. UX Discovery",$D78="04. UX Design")),IF(AND($H78&lt;&gt;"",$H78&lt;=EOMONTH(Q$12,0),$I78&gt;=Q$12),"UX+DEV","UX"),IF(AND($H78&lt;&gt;"",$H78&lt;=EOMONTH(Q$12,0),$I78&gt;=Q$12),"DEV",""))))</f>
      </c>
      <c r="R78" s="158" t="str">
        <f>IF($AI78="","",IF(AND($AN78&lt;&gt;"",$AN78&lt;=EOMONTH(R$12,0),$AO78&gt;=R$12),IF(AND(INDEX('Roadmap Calc (Don’t Touch)'!$AA$2:$AX$151,$AI78,COLUMN()-COLUMN($J$16)+1)&gt;0,OR($D78="03. UX Discovery",$D78="04. UX Design")),IF(AND($H78&lt;&gt;"",$H78&lt;=EOMONTH(R$12,0),$I78&gt;=R$12),"ALL","PD+UX"),IF(AND($H78&lt;&gt;"",$H78&lt;=EOMONTH(R$12,0),$I78&gt;=R$12),"PD+DEV","PD")),IF(AND(INDEX('Roadmap Calc (Don’t Touch)'!$AA$2:$AX$151,$AI78,COLUMN()-COLUMN($J$16)+1)&gt;0,OR($D78="03. UX Discovery",$D78="04. UX Design")),IF(AND($H78&lt;&gt;"",$H78&lt;=EOMONTH(R$12,0),$I78&gt;=R$12),"UX+DEV","UX"),IF(AND($H78&lt;&gt;"",$H78&lt;=EOMONTH(R$12,0),$I78&gt;=R$12),"DEV",""))))</f>
      </c>
      <c r="S78" s="158" t="str">
        <f>IF($AI78="","",IF(AND($AN78&lt;&gt;"",$AN78&lt;=EOMONTH(S$12,0),$AO78&gt;=S$12),IF(AND(INDEX('Roadmap Calc (Don’t Touch)'!$AA$2:$AX$151,$AI78,COLUMN()-COLUMN($J$16)+1)&gt;0,OR($D78="03. UX Discovery",$D78="04. UX Design")),IF(AND($H78&lt;&gt;"",$H78&lt;=EOMONTH(S$12,0),$I78&gt;=S$12),"ALL","PD+UX"),IF(AND($H78&lt;&gt;"",$H78&lt;=EOMONTH(S$12,0),$I78&gt;=S$12),"PD+DEV","PD")),IF(AND(INDEX('Roadmap Calc (Don’t Touch)'!$AA$2:$AX$151,$AI78,COLUMN()-COLUMN($J$16)+1)&gt;0,OR($D78="03. UX Discovery",$D78="04. UX Design")),IF(AND($H78&lt;&gt;"",$H78&lt;=EOMONTH(S$12,0),$I78&gt;=S$12),"UX+DEV","UX"),IF(AND($H78&lt;&gt;"",$H78&lt;=EOMONTH(S$12,0),$I78&gt;=S$12),"DEV",""))))</f>
      </c>
      <c r="T78" s="158" t="str">
        <f>IF($AI78="","",IF(AND($AN78&lt;&gt;"",$AN78&lt;=EOMONTH(T$12,0),$AO78&gt;=T$12),IF(AND(INDEX('Roadmap Calc (Don’t Touch)'!$AA$2:$AX$151,$AI78,COLUMN()-COLUMN($J$16)+1)&gt;0,OR($D78="03. UX Discovery",$D78="04. UX Design")),IF(AND($H78&lt;&gt;"",$H78&lt;=EOMONTH(T$12,0),$I78&gt;=T$12),"ALL","PD+UX"),IF(AND($H78&lt;&gt;"",$H78&lt;=EOMONTH(T$12,0),$I78&gt;=T$12),"PD+DEV","PD")),IF(AND(INDEX('Roadmap Calc (Don’t Touch)'!$AA$2:$AX$151,$AI78,COLUMN()-COLUMN($J$16)+1)&gt;0,OR($D78="03. UX Discovery",$D78="04. UX Design")),IF(AND($H78&lt;&gt;"",$H78&lt;=EOMONTH(T$12,0),$I78&gt;=T$12),"UX+DEV","UX"),IF(AND($H78&lt;&gt;"",$H78&lt;=EOMONTH(T$12,0),$I78&gt;=T$12),"DEV",""))))</f>
      </c>
      <c r="U78" s="158" t="str">
        <f>IF($AI78="","",IF(AND($AN78&lt;&gt;"",$AN78&lt;=EOMONTH(U$12,0),$AO78&gt;=U$12),IF(AND(INDEX('Roadmap Calc (Don’t Touch)'!$AA$2:$AX$151,$AI78,COLUMN()-COLUMN($J$16)+1)&gt;0,OR($D78="03. UX Discovery",$D78="04. UX Design")),IF(AND($H78&lt;&gt;"",$H78&lt;=EOMONTH(U$12,0),$I78&gt;=U$12),"ALL","PD+UX"),IF(AND($H78&lt;&gt;"",$H78&lt;=EOMONTH(U$12,0),$I78&gt;=U$12),"PD+DEV","PD")),IF(AND(INDEX('Roadmap Calc (Don’t Touch)'!$AA$2:$AX$151,$AI78,COLUMN()-COLUMN($J$16)+1)&gt;0,OR($D78="03. UX Discovery",$D78="04. UX Design")),IF(AND($H78&lt;&gt;"",$H78&lt;=EOMONTH(U$12,0),$I78&gt;=U$12),"UX+DEV","UX"),IF(AND($H78&lt;&gt;"",$H78&lt;=EOMONTH(U$12,0),$I78&gt;=U$12),"DEV",""))))</f>
      </c>
      <c r="V78" s="158" t="str">
        <f>IF($AI78="","",IF(AND($AN78&lt;&gt;"",$AN78&lt;=EOMONTH(V$12,0),$AO78&gt;=V$12),IF(AND(INDEX('Roadmap Calc (Don’t Touch)'!$AA$2:$AX$151,$AI78,COLUMN()-COLUMN($J$16)+1)&gt;0,OR($D78="03. UX Discovery",$D78="04. UX Design")),IF(AND($H78&lt;&gt;"",$H78&lt;=EOMONTH(V$12,0),$I78&gt;=V$12),"ALL","PD+UX"),IF(AND($H78&lt;&gt;"",$H78&lt;=EOMONTH(V$12,0),$I78&gt;=V$12),"PD+DEV","PD")),IF(AND(INDEX('Roadmap Calc (Don’t Touch)'!$AA$2:$AX$151,$AI78,COLUMN()-COLUMN($J$16)+1)&gt;0,OR($D78="03. UX Discovery",$D78="04. UX Design")),IF(AND($H78&lt;&gt;"",$H78&lt;=EOMONTH(V$12,0),$I78&gt;=V$12),"UX+DEV","UX"),IF(AND($H78&lt;&gt;"",$H78&lt;=EOMONTH(V$12,0),$I78&gt;=V$12),"DEV",""))))</f>
      </c>
      <c r="W78" s="158" t="str">
        <f>IF($AI78="","",IF(AND($AN78&lt;&gt;"",$AN78&lt;=EOMONTH(W$12,0),$AO78&gt;=W$12),IF(AND(INDEX('Roadmap Calc (Don’t Touch)'!$AA$2:$AX$151,$AI78,COLUMN()-COLUMN($J$16)+1)&gt;0,OR($D78="03. UX Discovery",$D78="04. UX Design")),IF(AND($H78&lt;&gt;"",$H78&lt;=EOMONTH(W$12,0),$I78&gt;=W$12),"ALL","PD+UX"),IF(AND($H78&lt;&gt;"",$H78&lt;=EOMONTH(W$12,0),$I78&gt;=W$12),"PD+DEV","PD")),IF(AND(INDEX('Roadmap Calc (Don’t Touch)'!$AA$2:$AX$151,$AI78,COLUMN()-COLUMN($J$16)+1)&gt;0,OR($D78="03. UX Discovery",$D78="04. UX Design")),IF(AND($H78&lt;&gt;"",$H78&lt;=EOMONTH(W$12,0),$I78&gt;=W$12),"UX+DEV","UX"),IF(AND($H78&lt;&gt;"",$H78&lt;=EOMONTH(W$12,0),$I78&gt;=W$12),"DEV",""))))</f>
      </c>
      <c r="X78" s="158" t="str">
        <f>IF($AI78="","",IF(AND($AN78&lt;&gt;"",$AN78&lt;=EOMONTH(X$12,0),$AO78&gt;=X$12),IF(AND(INDEX('Roadmap Calc (Don’t Touch)'!$AA$2:$AX$151,$AI78,COLUMN()-COLUMN($J$16)+1)&gt;0,OR($D78="03. UX Discovery",$D78="04. UX Design")),IF(AND($H78&lt;&gt;"",$H78&lt;=EOMONTH(X$12,0),$I78&gt;=X$12),"ALL","PD+UX"),IF(AND($H78&lt;&gt;"",$H78&lt;=EOMONTH(X$12,0),$I78&gt;=X$12),"PD+DEV","PD")),IF(AND(INDEX('Roadmap Calc (Don’t Touch)'!$AA$2:$AX$151,$AI78,COLUMN()-COLUMN($J$16)+1)&gt;0,OR($D78="03. UX Discovery",$D78="04. UX Design")),IF(AND($H78&lt;&gt;"",$H78&lt;=EOMONTH(X$12,0),$I78&gt;=X$12),"UX+DEV","UX"),IF(AND($H78&lt;&gt;"",$H78&lt;=EOMONTH(X$12,0),$I78&gt;=X$12),"DEV",""))))</f>
      </c>
      <c r="Y78" s="158" t="str">
        <f>IF($AI78="","",IF(AND($AN78&lt;&gt;"",$AN78&lt;=EOMONTH(Y$12,0),$AO78&gt;=Y$12),IF(AND(INDEX('Roadmap Calc (Don’t Touch)'!$AA$2:$AX$151,$AI78,COLUMN()-COLUMN($J$16)+1)&gt;0,OR($D78="03. UX Discovery",$D78="04. UX Design")),IF(AND($H78&lt;&gt;"",$H78&lt;=EOMONTH(Y$12,0),$I78&gt;=Y$12),"ALL","PD+UX"),IF(AND($H78&lt;&gt;"",$H78&lt;=EOMONTH(Y$12,0),$I78&gt;=Y$12),"PD+DEV","PD")),IF(AND(INDEX('Roadmap Calc (Don’t Touch)'!$AA$2:$AX$151,$AI78,COLUMN()-COLUMN($J$16)+1)&gt;0,OR($D78="03. UX Discovery",$D78="04. UX Design")),IF(AND($H78&lt;&gt;"",$H78&lt;=EOMONTH(Y$12,0),$I78&gt;=Y$12),"UX+DEV","UX"),IF(AND($H78&lt;&gt;"",$H78&lt;=EOMONTH(Y$12,0),$I78&gt;=Y$12),"DEV",""))))</f>
      </c>
      <c r="Z78" s="158" t="str">
        <f>IF($AI78="","",IF(AND($AN78&lt;&gt;"",$AN78&lt;=EOMONTH(Z$12,0),$AO78&gt;=Z$12),IF(AND(INDEX('Roadmap Calc (Don’t Touch)'!$AA$2:$AX$151,$AI78,COLUMN()-COLUMN($J$16)+1)&gt;0,OR($D78="03. UX Discovery",$D78="04. UX Design")),IF(AND($H78&lt;&gt;"",$H78&lt;=EOMONTH(Z$12,0),$I78&gt;=Z$12),"ALL","PD+UX"),IF(AND($H78&lt;&gt;"",$H78&lt;=EOMONTH(Z$12,0),$I78&gt;=Z$12),"PD+DEV","PD")),IF(AND(INDEX('Roadmap Calc (Don’t Touch)'!$AA$2:$AX$151,$AI78,COLUMN()-COLUMN($J$16)+1)&gt;0,OR($D78="03. UX Discovery",$D78="04. UX Design")),IF(AND($H78&lt;&gt;"",$H78&lt;=EOMONTH(Z$12,0),$I78&gt;=Z$12),"UX+DEV","UX"),IF(AND($H78&lt;&gt;"",$H78&lt;=EOMONTH(Z$12,0),$I78&gt;=Z$12),"DEV",""))))</f>
      </c>
      <c r="AA78" s="158" t="str">
        <f>IF($AI78="","",IF(AND($AN78&lt;&gt;"",$AN78&lt;=EOMONTH(AA$12,0),$AO78&gt;=AA$12),IF(AND(INDEX('Roadmap Calc (Don’t Touch)'!$AA$2:$AX$151,$AI78,COLUMN()-COLUMN($J$16)+1)&gt;0,OR($D78="03. UX Discovery",$D78="04. UX Design")),IF(AND($H78&lt;&gt;"",$H78&lt;=EOMONTH(AA$12,0),$I78&gt;=AA$12),"ALL","PD+UX"),IF(AND($H78&lt;&gt;"",$H78&lt;=EOMONTH(AA$12,0),$I78&gt;=AA$12),"PD+DEV","PD")),IF(AND(INDEX('Roadmap Calc (Don’t Touch)'!$AA$2:$AX$151,$AI78,COLUMN()-COLUMN($J$16)+1)&gt;0,OR($D78="03. UX Discovery",$D78="04. UX Design")),IF(AND($H78&lt;&gt;"",$H78&lt;=EOMONTH(AA$12,0),$I78&gt;=AA$12),"UX+DEV","UX"),IF(AND($H78&lt;&gt;"",$H78&lt;=EOMONTH(AA$12,0),$I78&gt;=AA$12),"DEV",""))))</f>
      </c>
      <c r="AB78" s="158" t="str">
        <f>IF($AI78="","",IF(AND($AN78&lt;&gt;"",$AN78&lt;=EOMONTH(AB$12,0),$AO78&gt;=AB$12),IF(AND(INDEX('Roadmap Calc (Don’t Touch)'!$AA$2:$AX$151,$AI78,COLUMN()-COLUMN($J$16)+1)&gt;0,OR($D78="03. UX Discovery",$D78="04. UX Design")),IF(AND($H78&lt;&gt;"",$H78&lt;=EOMONTH(AB$12,0),$I78&gt;=AB$12),"ALL","PD+UX"),IF(AND($H78&lt;&gt;"",$H78&lt;=EOMONTH(AB$12,0),$I78&gt;=AB$12),"PD+DEV","PD")),IF(AND(INDEX('Roadmap Calc (Don’t Touch)'!$AA$2:$AX$151,$AI78,COLUMN()-COLUMN($J$16)+1)&gt;0,OR($D78="03. UX Discovery",$D78="04. UX Design")),IF(AND($H78&lt;&gt;"",$H78&lt;=EOMONTH(AB$12,0),$I78&gt;=AB$12),"UX+DEV","UX"),IF(AND($H78&lt;&gt;"",$H78&lt;=EOMONTH(AB$12,0),$I78&gt;=AB$12),"DEV",""))))</f>
      </c>
      <c r="AC78" s="158" t="str">
        <f>IF($AI78="","",IF(AND($AN78&lt;&gt;"",$AN78&lt;=EOMONTH(AC$12,0),$AO78&gt;=AC$12),IF(AND(INDEX('Roadmap Calc (Don’t Touch)'!$AA$2:$AX$151,$AI78,COLUMN()-COLUMN($J$16)+1)&gt;0,OR($D78="03. UX Discovery",$D78="04. UX Design")),IF(AND($H78&lt;&gt;"",$H78&lt;=EOMONTH(AC$12,0),$I78&gt;=AC$12),"ALL","PD+UX"),IF(AND($H78&lt;&gt;"",$H78&lt;=EOMONTH(AC$12,0),$I78&gt;=AC$12),"PD+DEV","PD")),IF(AND(INDEX('Roadmap Calc (Don’t Touch)'!$AA$2:$AX$151,$AI78,COLUMN()-COLUMN($J$16)+1)&gt;0,OR($D78="03. UX Discovery",$D78="04. UX Design")),IF(AND($H78&lt;&gt;"",$H78&lt;=EOMONTH(AC$12,0),$I78&gt;=AC$12),"UX+DEV","UX"),IF(AND($H78&lt;&gt;"",$H78&lt;=EOMONTH(AC$12,0),$I78&gt;=AC$12),"DEV",""))))</f>
      </c>
      <c r="AD78" s="158" t="str">
        <f>IF($AI78="","",IF(AND($AN78&lt;&gt;"",$AN78&lt;=EOMONTH(AD$12,0),$AO78&gt;=AD$12),IF(AND(INDEX('Roadmap Calc (Don’t Touch)'!$AA$2:$AX$151,$AI78,COLUMN()-COLUMN($J$16)+1)&gt;0,OR($D78="03. UX Discovery",$D78="04. UX Design")),IF(AND($H78&lt;&gt;"",$H78&lt;=EOMONTH(AD$12,0),$I78&gt;=AD$12),"ALL","PD+UX"),IF(AND($H78&lt;&gt;"",$H78&lt;=EOMONTH(AD$12,0),$I78&gt;=AD$12),"PD+DEV","PD")),IF(AND(INDEX('Roadmap Calc (Don’t Touch)'!$AA$2:$AX$151,$AI78,COLUMN()-COLUMN($J$16)+1)&gt;0,OR($D78="03. UX Discovery",$D78="04. UX Design")),IF(AND($H78&lt;&gt;"",$H78&lt;=EOMONTH(AD$12,0),$I78&gt;=AD$12),"UX+DEV","UX"),IF(AND($H78&lt;&gt;"",$H78&lt;=EOMONTH(AD$12,0),$I78&gt;=AD$12),"DEV",""))))</f>
      </c>
      <c r="AE78" s="158" t="str">
        <f>IF($AI78="","",IF(AND($AN78&lt;&gt;"",$AN78&lt;=EOMONTH(AE$12,0),$AO78&gt;=AE$12),IF(AND(INDEX('Roadmap Calc (Don’t Touch)'!$AA$2:$AX$151,$AI78,COLUMN()-COLUMN($J$16)+1)&gt;0,OR($D78="03. UX Discovery",$D78="04. UX Design")),IF(AND($H78&lt;&gt;"",$H78&lt;=EOMONTH(AE$12,0),$I78&gt;=AE$12),"ALL","PD+UX"),IF(AND($H78&lt;&gt;"",$H78&lt;=EOMONTH(AE$12,0),$I78&gt;=AE$12),"PD+DEV","PD")),IF(AND(INDEX('Roadmap Calc (Don’t Touch)'!$AA$2:$AX$151,$AI78,COLUMN()-COLUMN($J$16)+1)&gt;0,OR($D78="03. UX Discovery",$D78="04. UX Design")),IF(AND($H78&lt;&gt;"",$H78&lt;=EOMONTH(AE$12,0),$I78&gt;=AE$12),"UX+DEV","UX"),IF(AND($H78&lt;&gt;"",$H78&lt;=EOMONTH(AE$12,0),$I78&gt;=AE$12),"DEV",""))))</f>
      </c>
      <c r="AF78" s="158" t="str">
        <f>IF($AI78="","",IF(AND($AN78&lt;&gt;"",$AN78&lt;=EOMONTH(AF$12,0),$AO78&gt;=AF$12),IF(AND(INDEX('Roadmap Calc (Don’t Touch)'!$AA$2:$AX$151,$AI78,COLUMN()-COLUMN($J$16)+1)&gt;0,OR($D78="03. UX Discovery",$D78="04. UX Design")),IF(AND($H78&lt;&gt;"",$H78&lt;=EOMONTH(AF$12,0),$I78&gt;=AF$12),"ALL","PD+UX"),IF(AND($H78&lt;&gt;"",$H78&lt;=EOMONTH(AF$12,0),$I78&gt;=AF$12),"PD+DEV","PD")),IF(AND(INDEX('Roadmap Calc (Don’t Touch)'!$AA$2:$AX$151,$AI78,COLUMN()-COLUMN($J$16)+1)&gt;0,OR($D78="03. UX Discovery",$D78="04. UX Design")),IF(AND($H78&lt;&gt;"",$H78&lt;=EOMONTH(AF$12,0),$I78&gt;=AF$12),"UX+DEV","UX"),IF(AND($H78&lt;&gt;"",$H78&lt;=EOMONTH(AF$12,0),$I78&gt;=AF$12),"DEV",""))))</f>
      </c>
      <c r="AG78" s="158" t="str">
        <f>IF($AI78="","",IF(AND($AN78&lt;&gt;"",$AN78&lt;=EOMONTH(AG$12,0),$AO78&gt;=AG$12),IF(AND(INDEX('Roadmap Calc (Don’t Touch)'!$AA$2:$AX$151,$AI78,COLUMN()-COLUMN($J$16)+1)&gt;0,OR($D78="03. UX Discovery",$D78="04. UX Design")),IF(AND($H78&lt;&gt;"",$H78&lt;=EOMONTH(AG$12,0),$I78&gt;=AG$12),"ALL","PD+UX"),IF(AND($H78&lt;&gt;"",$H78&lt;=EOMONTH(AG$12,0),$I78&gt;=AG$12),"PD+DEV","PD")),IF(AND(INDEX('Roadmap Calc (Don’t Touch)'!$AA$2:$AX$151,$AI78,COLUMN()-COLUMN($J$16)+1)&gt;0,OR($D78="03. UX Discovery",$D78="04. UX Design")),IF(AND($H78&lt;&gt;"",$H78&lt;=EOMONTH(AG$12,0),$I78&gt;=AG$12),"UX+DEV","UX"),IF(AND($H78&lt;&gt;"",$H78&lt;=EOMONTH(AG$12,0),$I78&gt;=AG$12),"DEV",""))))</f>
      </c>
      <c r="AH78" s="145" t="str">
        <f>IF($AI78="","",INDEX('Roadmap Calc (Don’t Touch)'!$D$2:$D$151,$AI78))</f>
        <v/>
      </c>
      <c r="AI78" s="145" t="str">
        <f>IFERROR(MATCH(63,'Roadmap Calc (Don’t Touch)'!$O$2:$O$151,0),"")</f>
        <v/>
      </c>
      <c r="AJ78" s="145"/>
      <c r="AK78" s="145"/>
      <c r="AL78" s="145"/>
      <c r="AM78" s="145"/>
      <c r="AN78">
        <f>IF($AI78="","",IF(ISNUMBER(INDEX('Roadmap Calc (Don’t Touch)'!$BB$2:$BB$151,$AI78)),INDEX('Roadmap Calc (Don’t Touch)'!$BB$2:$BB$151,$AI78),""))</f>
      </c>
      <c r="AO78">
        <f>IF($AI78="","",IF(ISNUMBER(INDEX('Roadmap Calc (Don’t Touch)'!$BC$2:$BC$151,$AI78)),INDEX('Roadmap Calc (Don’t Touch)'!$BC$2:$BC$151,$AI78),""))</f>
      </c>
    </row>
    <row r="79" spans="1:41" ht="17" customHeight="1" x14ac:dyDescent="0.25">
      <c r="A79" s="152" t="str">
        <f>IF($AI79="","",IF($AH79=$AH78,"",IF(INDEX('Roadmap Calc (Don’t Touch)'!$U$2:$U$151,$AI79)=0,$AH79,HYPERLINK("#'Control (Don’t Touch)'!E"&amp;INDEX('Roadmap Calc (Don’t Touch)'!$U$2:$U$151,$AI79),$AH79))))</f>
        <v/>
      </c>
      <c r="B79" s="153" t="str">
        <f>IF($AI79="","",IF(INDEX('Roadmap Calc (Don’t Touch)'!$K$2:$K$151,$AI79)="",INDEX('Roadmap Calc (Don’t Touch)'!$B$2:$B$151,$AI79),HYPERLINK("https://jira.bnh.com/browse/"&amp;INDEX('Roadmap Calc (Don’t Touch)'!$K$2:$K$151,$AI79),INDEX('Roadmap Calc (Don’t Touch)'!$B$2:$B$151,$AI79))))</f>
        <v/>
      </c>
      <c r="C79" s="153" t="str">
        <f>IF($AI79="","",IF(INDEX('Roadmap Calc (Don’t Touch)'!$E$2:$E$151,$AI79)="","",HYPERLINK("https://jira.bnh.com/browse/"&amp;INDEX('Roadmap Calc (Don’t Touch)'!$E$2:$E$151,$AI79),INDEX('Roadmap Calc (Don’t Touch)'!$E$2:$E$151,$AI79))))</f>
        <v/>
      </c>
      <c r="D79" s="154" t="str">
        <f>IF($AI79="","",INDEX('Roadmap Calc (Don’t Touch)'!$F$2:$F$151,$AI79))</f>
        <v/>
      </c>
      <c r="E79" s="155" t="str">
        <f>IF($AI79="","",IF(ISNUMBER(INDEX('Roadmap Calc (Don’t Touch)'!$G$2:$G$151,$AI79)),INDEX('Roadmap Calc (Don’t Touch)'!$G$2:$G$151,$AI79),""))</f>
        <v/>
      </c>
      <c r="F79" s="155" t="str">
        <f>IF($AI79="","",IF(ISNUMBER(INDEX('Roadmap Calc (Don’t Touch)'!$H$2:$H$151,$AI79)),INDEX('Roadmap Calc (Don’t Touch)'!$H$2:$H$151,$AI79),""))</f>
        <v/>
      </c>
      <c r="G79" s="156" t="str">
        <f>IF($AI79="","",INDEX('Roadmap Calc (Don’t Touch)'!$T$2:$T$151,$AI79))</f>
        <v/>
      </c>
      <c r="H79" s="157" t="str">
        <f>IF($AI79="","",IF(ISNUMBER(INDEX('Roadmap Calc (Don’t Touch)'!$I$2:$I$151,$AI79)),INDEX('Roadmap Calc (Don’t Touch)'!$I$2:$I$151,$AI79),""))</f>
        <v/>
      </c>
      <c r="I79" s="157" t="str">
        <f>IF($AI79="","",IF(ISNUMBER(INDEX('Roadmap Calc (Don’t Touch)'!$J$2:$J$151,$AI79)),INDEX('Roadmap Calc (Don’t Touch)'!$J$2:$J$151,$AI79),""))</f>
        <v/>
      </c>
      <c r="J79" s="158" t="str">
        <f>IF($AI79="","",IF(AND($AN79&lt;&gt;"",$AN79&lt;=EOMONTH(J$12,0),$AO79&gt;=J$12),IF(AND(INDEX('Roadmap Calc (Don’t Touch)'!$AA$2:$AX$151,$AI79,COLUMN()-COLUMN($J$16)+1)&gt;0,OR($D79="03. UX Discovery",$D79="04. UX Design")),IF(AND($H79&lt;&gt;"",$H79&lt;=EOMONTH(J$12,0),$I79&gt;=J$12),"ALL","PD+UX"),IF(AND($H79&lt;&gt;"",$H79&lt;=EOMONTH(J$12,0),$I79&gt;=J$12),"PD+DEV","PD")),IF(AND(INDEX('Roadmap Calc (Don’t Touch)'!$AA$2:$AX$151,$AI79,COLUMN()-COLUMN($J$16)+1)&gt;0,OR($D79="03. UX Discovery",$D79="04. UX Design")),IF(AND($H79&lt;&gt;"",$H79&lt;=EOMONTH(J$12,0),$I79&gt;=J$12),"UX+DEV","UX"),IF(AND($H79&lt;&gt;"",$H79&lt;=EOMONTH(J$12,0),$I79&gt;=J$12),"DEV",""))))</f>
      </c>
      <c r="K79" s="158" t="str">
        <f>IF($AI79="","",IF(AND($AN79&lt;&gt;"",$AN79&lt;=EOMONTH(K$12,0),$AO79&gt;=K$12),IF(AND(INDEX('Roadmap Calc (Don’t Touch)'!$AA$2:$AX$151,$AI79,COLUMN()-COLUMN($J$16)+1)&gt;0,OR($D79="03. UX Discovery",$D79="04. UX Design")),IF(AND($H79&lt;&gt;"",$H79&lt;=EOMONTH(K$12,0),$I79&gt;=K$12),"ALL","PD+UX"),IF(AND($H79&lt;&gt;"",$H79&lt;=EOMONTH(K$12,0),$I79&gt;=K$12),"PD+DEV","PD")),IF(AND(INDEX('Roadmap Calc (Don’t Touch)'!$AA$2:$AX$151,$AI79,COLUMN()-COLUMN($J$16)+1)&gt;0,OR($D79="03. UX Discovery",$D79="04. UX Design")),IF(AND($H79&lt;&gt;"",$H79&lt;=EOMONTH(K$12,0),$I79&gt;=K$12),"UX+DEV","UX"),IF(AND($H79&lt;&gt;"",$H79&lt;=EOMONTH(K$12,0),$I79&gt;=K$12),"DEV",""))))</f>
      </c>
      <c r="L79" s="158" t="str">
        <f>IF($AI79="","",IF(AND($AN79&lt;&gt;"",$AN79&lt;=EOMONTH(L$12,0),$AO79&gt;=L$12),IF(AND(INDEX('Roadmap Calc (Don’t Touch)'!$AA$2:$AX$151,$AI79,COLUMN()-COLUMN($J$16)+1)&gt;0,OR($D79="03. UX Discovery",$D79="04. UX Design")),IF(AND($H79&lt;&gt;"",$H79&lt;=EOMONTH(L$12,0),$I79&gt;=L$12),"ALL","PD+UX"),IF(AND($H79&lt;&gt;"",$H79&lt;=EOMONTH(L$12,0),$I79&gt;=L$12),"PD+DEV","PD")),IF(AND(INDEX('Roadmap Calc (Don’t Touch)'!$AA$2:$AX$151,$AI79,COLUMN()-COLUMN($J$16)+1)&gt;0,OR($D79="03. UX Discovery",$D79="04. UX Design")),IF(AND($H79&lt;&gt;"",$H79&lt;=EOMONTH(L$12,0),$I79&gt;=L$12),"UX+DEV","UX"),IF(AND($H79&lt;&gt;"",$H79&lt;=EOMONTH(L$12,0),$I79&gt;=L$12),"DEV",""))))</f>
      </c>
      <c r="M79" s="158" t="str">
        <f>IF($AI79="","",IF(AND($AN79&lt;&gt;"",$AN79&lt;=EOMONTH(M$12,0),$AO79&gt;=M$12),IF(AND(INDEX('Roadmap Calc (Don’t Touch)'!$AA$2:$AX$151,$AI79,COLUMN()-COLUMN($J$16)+1)&gt;0,OR($D79="03. UX Discovery",$D79="04. UX Design")),IF(AND($H79&lt;&gt;"",$H79&lt;=EOMONTH(M$12,0),$I79&gt;=M$12),"ALL","PD+UX"),IF(AND($H79&lt;&gt;"",$H79&lt;=EOMONTH(M$12,0),$I79&gt;=M$12),"PD+DEV","PD")),IF(AND(INDEX('Roadmap Calc (Don’t Touch)'!$AA$2:$AX$151,$AI79,COLUMN()-COLUMN($J$16)+1)&gt;0,OR($D79="03. UX Discovery",$D79="04. UX Design")),IF(AND($H79&lt;&gt;"",$H79&lt;=EOMONTH(M$12,0),$I79&gt;=M$12),"UX+DEV","UX"),IF(AND($H79&lt;&gt;"",$H79&lt;=EOMONTH(M$12,0),$I79&gt;=M$12),"DEV",""))))</f>
      </c>
      <c r="N79" s="158" t="str">
        <f>IF($AI79="","",IF(AND($AN79&lt;&gt;"",$AN79&lt;=EOMONTH(N$12,0),$AO79&gt;=N$12),IF(AND(INDEX('Roadmap Calc (Don’t Touch)'!$AA$2:$AX$151,$AI79,COLUMN()-COLUMN($J$16)+1)&gt;0,OR($D79="03. UX Discovery",$D79="04. UX Design")),IF(AND($H79&lt;&gt;"",$H79&lt;=EOMONTH(N$12,0),$I79&gt;=N$12),"ALL","PD+UX"),IF(AND($H79&lt;&gt;"",$H79&lt;=EOMONTH(N$12,0),$I79&gt;=N$12),"PD+DEV","PD")),IF(AND(INDEX('Roadmap Calc (Don’t Touch)'!$AA$2:$AX$151,$AI79,COLUMN()-COLUMN($J$16)+1)&gt;0,OR($D79="03. UX Discovery",$D79="04. UX Design")),IF(AND($H79&lt;&gt;"",$H79&lt;=EOMONTH(N$12,0),$I79&gt;=N$12),"UX+DEV","UX"),IF(AND($H79&lt;&gt;"",$H79&lt;=EOMONTH(N$12,0),$I79&gt;=N$12),"DEV",""))))</f>
      </c>
      <c r="O79" s="158" t="str">
        <f>IF($AI79="","",IF(AND($AN79&lt;&gt;"",$AN79&lt;=EOMONTH(O$12,0),$AO79&gt;=O$12),IF(AND(INDEX('Roadmap Calc (Don’t Touch)'!$AA$2:$AX$151,$AI79,COLUMN()-COLUMN($J$16)+1)&gt;0,OR($D79="03. UX Discovery",$D79="04. UX Design")),IF(AND($H79&lt;&gt;"",$H79&lt;=EOMONTH(O$12,0),$I79&gt;=O$12),"ALL","PD+UX"),IF(AND($H79&lt;&gt;"",$H79&lt;=EOMONTH(O$12,0),$I79&gt;=O$12),"PD+DEV","PD")),IF(AND(INDEX('Roadmap Calc (Don’t Touch)'!$AA$2:$AX$151,$AI79,COLUMN()-COLUMN($J$16)+1)&gt;0,OR($D79="03. UX Discovery",$D79="04. UX Design")),IF(AND($H79&lt;&gt;"",$H79&lt;=EOMONTH(O$12,0),$I79&gt;=O$12),"UX+DEV","UX"),IF(AND($H79&lt;&gt;"",$H79&lt;=EOMONTH(O$12,0),$I79&gt;=O$12),"DEV",""))))</f>
      </c>
      <c r="P79" s="158" t="str">
        <f>IF($AI79="","",IF(AND($AN79&lt;&gt;"",$AN79&lt;=EOMONTH(P$12,0),$AO79&gt;=P$12),IF(AND(INDEX('Roadmap Calc (Don’t Touch)'!$AA$2:$AX$151,$AI79,COLUMN()-COLUMN($J$16)+1)&gt;0,OR($D79="03. UX Discovery",$D79="04. UX Design")),IF(AND($H79&lt;&gt;"",$H79&lt;=EOMONTH(P$12,0),$I79&gt;=P$12),"ALL","PD+UX"),IF(AND($H79&lt;&gt;"",$H79&lt;=EOMONTH(P$12,0),$I79&gt;=P$12),"PD+DEV","PD")),IF(AND(INDEX('Roadmap Calc (Don’t Touch)'!$AA$2:$AX$151,$AI79,COLUMN()-COLUMN($J$16)+1)&gt;0,OR($D79="03. UX Discovery",$D79="04. UX Design")),IF(AND($H79&lt;&gt;"",$H79&lt;=EOMONTH(P$12,0),$I79&gt;=P$12),"UX+DEV","UX"),IF(AND($H79&lt;&gt;"",$H79&lt;=EOMONTH(P$12,0),$I79&gt;=P$12),"DEV",""))))</f>
      </c>
      <c r="Q79" s="158" t="str">
        <f>IF($AI79="","",IF(AND($AN79&lt;&gt;"",$AN79&lt;=EOMONTH(Q$12,0),$AO79&gt;=Q$12),IF(AND(INDEX('Roadmap Calc (Don’t Touch)'!$AA$2:$AX$151,$AI79,COLUMN()-COLUMN($J$16)+1)&gt;0,OR($D79="03. UX Discovery",$D79="04. UX Design")),IF(AND($H79&lt;&gt;"",$H79&lt;=EOMONTH(Q$12,0),$I79&gt;=Q$12),"ALL","PD+UX"),IF(AND($H79&lt;&gt;"",$H79&lt;=EOMONTH(Q$12,0),$I79&gt;=Q$12),"PD+DEV","PD")),IF(AND(INDEX('Roadmap Calc (Don’t Touch)'!$AA$2:$AX$151,$AI79,COLUMN()-COLUMN($J$16)+1)&gt;0,OR($D79="03. UX Discovery",$D79="04. UX Design")),IF(AND($H79&lt;&gt;"",$H79&lt;=EOMONTH(Q$12,0),$I79&gt;=Q$12),"UX+DEV","UX"),IF(AND($H79&lt;&gt;"",$H79&lt;=EOMONTH(Q$12,0),$I79&gt;=Q$12),"DEV",""))))</f>
      </c>
      <c r="R79" s="158" t="str">
        <f>IF($AI79="","",IF(AND($AN79&lt;&gt;"",$AN79&lt;=EOMONTH(R$12,0),$AO79&gt;=R$12),IF(AND(INDEX('Roadmap Calc (Don’t Touch)'!$AA$2:$AX$151,$AI79,COLUMN()-COLUMN($J$16)+1)&gt;0,OR($D79="03. UX Discovery",$D79="04. UX Design")),IF(AND($H79&lt;&gt;"",$H79&lt;=EOMONTH(R$12,0),$I79&gt;=R$12),"ALL","PD+UX"),IF(AND($H79&lt;&gt;"",$H79&lt;=EOMONTH(R$12,0),$I79&gt;=R$12),"PD+DEV","PD")),IF(AND(INDEX('Roadmap Calc (Don’t Touch)'!$AA$2:$AX$151,$AI79,COLUMN()-COLUMN($J$16)+1)&gt;0,OR($D79="03. UX Discovery",$D79="04. UX Design")),IF(AND($H79&lt;&gt;"",$H79&lt;=EOMONTH(R$12,0),$I79&gt;=R$12),"UX+DEV","UX"),IF(AND($H79&lt;&gt;"",$H79&lt;=EOMONTH(R$12,0),$I79&gt;=R$12),"DEV",""))))</f>
      </c>
      <c r="S79" s="158" t="str">
        <f>IF($AI79="","",IF(AND($AN79&lt;&gt;"",$AN79&lt;=EOMONTH(S$12,0),$AO79&gt;=S$12),IF(AND(INDEX('Roadmap Calc (Don’t Touch)'!$AA$2:$AX$151,$AI79,COLUMN()-COLUMN($J$16)+1)&gt;0,OR($D79="03. UX Discovery",$D79="04. UX Design")),IF(AND($H79&lt;&gt;"",$H79&lt;=EOMONTH(S$12,0),$I79&gt;=S$12),"ALL","PD+UX"),IF(AND($H79&lt;&gt;"",$H79&lt;=EOMONTH(S$12,0),$I79&gt;=S$12),"PD+DEV","PD")),IF(AND(INDEX('Roadmap Calc (Don’t Touch)'!$AA$2:$AX$151,$AI79,COLUMN()-COLUMN($J$16)+1)&gt;0,OR($D79="03. UX Discovery",$D79="04. UX Design")),IF(AND($H79&lt;&gt;"",$H79&lt;=EOMONTH(S$12,0),$I79&gt;=S$12),"UX+DEV","UX"),IF(AND($H79&lt;&gt;"",$H79&lt;=EOMONTH(S$12,0),$I79&gt;=S$12),"DEV",""))))</f>
      </c>
      <c r="T79" s="158" t="str">
        <f>IF($AI79="","",IF(AND($AN79&lt;&gt;"",$AN79&lt;=EOMONTH(T$12,0),$AO79&gt;=T$12),IF(AND(INDEX('Roadmap Calc (Don’t Touch)'!$AA$2:$AX$151,$AI79,COLUMN()-COLUMN($J$16)+1)&gt;0,OR($D79="03. UX Discovery",$D79="04. UX Design")),IF(AND($H79&lt;&gt;"",$H79&lt;=EOMONTH(T$12,0),$I79&gt;=T$12),"ALL","PD+UX"),IF(AND($H79&lt;&gt;"",$H79&lt;=EOMONTH(T$12,0),$I79&gt;=T$12),"PD+DEV","PD")),IF(AND(INDEX('Roadmap Calc (Don’t Touch)'!$AA$2:$AX$151,$AI79,COLUMN()-COLUMN($J$16)+1)&gt;0,OR($D79="03. UX Discovery",$D79="04. UX Design")),IF(AND($H79&lt;&gt;"",$H79&lt;=EOMONTH(T$12,0),$I79&gt;=T$12),"UX+DEV","UX"),IF(AND($H79&lt;&gt;"",$H79&lt;=EOMONTH(T$12,0),$I79&gt;=T$12),"DEV",""))))</f>
      </c>
      <c r="U79" s="158" t="str">
        <f>IF($AI79="","",IF(AND($AN79&lt;&gt;"",$AN79&lt;=EOMONTH(U$12,0),$AO79&gt;=U$12),IF(AND(INDEX('Roadmap Calc (Don’t Touch)'!$AA$2:$AX$151,$AI79,COLUMN()-COLUMN($J$16)+1)&gt;0,OR($D79="03. UX Discovery",$D79="04. UX Design")),IF(AND($H79&lt;&gt;"",$H79&lt;=EOMONTH(U$12,0),$I79&gt;=U$12),"ALL","PD+UX"),IF(AND($H79&lt;&gt;"",$H79&lt;=EOMONTH(U$12,0),$I79&gt;=U$12),"PD+DEV","PD")),IF(AND(INDEX('Roadmap Calc (Don’t Touch)'!$AA$2:$AX$151,$AI79,COLUMN()-COLUMN($J$16)+1)&gt;0,OR($D79="03. UX Discovery",$D79="04. UX Design")),IF(AND($H79&lt;&gt;"",$H79&lt;=EOMONTH(U$12,0),$I79&gt;=U$12),"UX+DEV","UX"),IF(AND($H79&lt;&gt;"",$H79&lt;=EOMONTH(U$12,0),$I79&gt;=U$12),"DEV",""))))</f>
      </c>
      <c r="V79" s="158" t="str">
        <f>IF($AI79="","",IF(AND($AN79&lt;&gt;"",$AN79&lt;=EOMONTH(V$12,0),$AO79&gt;=V$12),IF(AND(INDEX('Roadmap Calc (Don’t Touch)'!$AA$2:$AX$151,$AI79,COLUMN()-COLUMN($J$16)+1)&gt;0,OR($D79="03. UX Discovery",$D79="04. UX Design")),IF(AND($H79&lt;&gt;"",$H79&lt;=EOMONTH(V$12,0),$I79&gt;=V$12),"ALL","PD+UX"),IF(AND($H79&lt;&gt;"",$H79&lt;=EOMONTH(V$12,0),$I79&gt;=V$12),"PD+DEV","PD")),IF(AND(INDEX('Roadmap Calc (Don’t Touch)'!$AA$2:$AX$151,$AI79,COLUMN()-COLUMN($J$16)+1)&gt;0,OR($D79="03. UX Discovery",$D79="04. UX Design")),IF(AND($H79&lt;&gt;"",$H79&lt;=EOMONTH(V$12,0),$I79&gt;=V$12),"UX+DEV","UX"),IF(AND($H79&lt;&gt;"",$H79&lt;=EOMONTH(V$12,0),$I79&gt;=V$12),"DEV",""))))</f>
      </c>
      <c r="W79" s="158" t="str">
        <f>IF($AI79="","",IF(AND($AN79&lt;&gt;"",$AN79&lt;=EOMONTH(W$12,0),$AO79&gt;=W$12),IF(AND(INDEX('Roadmap Calc (Don’t Touch)'!$AA$2:$AX$151,$AI79,COLUMN()-COLUMN($J$16)+1)&gt;0,OR($D79="03. UX Discovery",$D79="04. UX Design")),IF(AND($H79&lt;&gt;"",$H79&lt;=EOMONTH(W$12,0),$I79&gt;=W$12),"ALL","PD+UX"),IF(AND($H79&lt;&gt;"",$H79&lt;=EOMONTH(W$12,0),$I79&gt;=W$12),"PD+DEV","PD")),IF(AND(INDEX('Roadmap Calc (Don’t Touch)'!$AA$2:$AX$151,$AI79,COLUMN()-COLUMN($J$16)+1)&gt;0,OR($D79="03. UX Discovery",$D79="04. UX Design")),IF(AND($H79&lt;&gt;"",$H79&lt;=EOMONTH(W$12,0),$I79&gt;=W$12),"UX+DEV","UX"),IF(AND($H79&lt;&gt;"",$H79&lt;=EOMONTH(W$12,0),$I79&gt;=W$12),"DEV",""))))</f>
      </c>
      <c r="X79" s="158" t="str">
        <f>IF($AI79="","",IF(AND($AN79&lt;&gt;"",$AN79&lt;=EOMONTH(X$12,0),$AO79&gt;=X$12),IF(AND(INDEX('Roadmap Calc (Don’t Touch)'!$AA$2:$AX$151,$AI79,COLUMN()-COLUMN($J$16)+1)&gt;0,OR($D79="03. UX Discovery",$D79="04. UX Design")),IF(AND($H79&lt;&gt;"",$H79&lt;=EOMONTH(X$12,0),$I79&gt;=X$12),"ALL","PD+UX"),IF(AND($H79&lt;&gt;"",$H79&lt;=EOMONTH(X$12,0),$I79&gt;=X$12),"PD+DEV","PD")),IF(AND(INDEX('Roadmap Calc (Don’t Touch)'!$AA$2:$AX$151,$AI79,COLUMN()-COLUMN($J$16)+1)&gt;0,OR($D79="03. UX Discovery",$D79="04. UX Design")),IF(AND($H79&lt;&gt;"",$H79&lt;=EOMONTH(X$12,0),$I79&gt;=X$12),"UX+DEV","UX"),IF(AND($H79&lt;&gt;"",$H79&lt;=EOMONTH(X$12,0),$I79&gt;=X$12),"DEV",""))))</f>
      </c>
      <c r="Y79" s="158" t="str">
        <f>IF($AI79="","",IF(AND($AN79&lt;&gt;"",$AN79&lt;=EOMONTH(Y$12,0),$AO79&gt;=Y$12),IF(AND(INDEX('Roadmap Calc (Don’t Touch)'!$AA$2:$AX$151,$AI79,COLUMN()-COLUMN($J$16)+1)&gt;0,OR($D79="03. UX Discovery",$D79="04. UX Design")),IF(AND($H79&lt;&gt;"",$H79&lt;=EOMONTH(Y$12,0),$I79&gt;=Y$12),"ALL","PD+UX"),IF(AND($H79&lt;&gt;"",$H79&lt;=EOMONTH(Y$12,0),$I79&gt;=Y$12),"PD+DEV","PD")),IF(AND(INDEX('Roadmap Calc (Don’t Touch)'!$AA$2:$AX$151,$AI79,COLUMN()-COLUMN($J$16)+1)&gt;0,OR($D79="03. UX Discovery",$D79="04. UX Design")),IF(AND($H79&lt;&gt;"",$H79&lt;=EOMONTH(Y$12,0),$I79&gt;=Y$12),"UX+DEV","UX"),IF(AND($H79&lt;&gt;"",$H79&lt;=EOMONTH(Y$12,0),$I79&gt;=Y$12),"DEV",""))))</f>
      </c>
      <c r="Z79" s="158" t="str">
        <f>IF($AI79="","",IF(AND($AN79&lt;&gt;"",$AN79&lt;=EOMONTH(Z$12,0),$AO79&gt;=Z$12),IF(AND(INDEX('Roadmap Calc (Don’t Touch)'!$AA$2:$AX$151,$AI79,COLUMN()-COLUMN($J$16)+1)&gt;0,OR($D79="03. UX Discovery",$D79="04. UX Design")),IF(AND($H79&lt;&gt;"",$H79&lt;=EOMONTH(Z$12,0),$I79&gt;=Z$12),"ALL","PD+UX"),IF(AND($H79&lt;&gt;"",$H79&lt;=EOMONTH(Z$12,0),$I79&gt;=Z$12),"PD+DEV","PD")),IF(AND(INDEX('Roadmap Calc (Don’t Touch)'!$AA$2:$AX$151,$AI79,COLUMN()-COLUMN($J$16)+1)&gt;0,OR($D79="03. UX Discovery",$D79="04. UX Design")),IF(AND($H79&lt;&gt;"",$H79&lt;=EOMONTH(Z$12,0),$I79&gt;=Z$12),"UX+DEV","UX"),IF(AND($H79&lt;&gt;"",$H79&lt;=EOMONTH(Z$12,0),$I79&gt;=Z$12),"DEV",""))))</f>
      </c>
      <c r="AA79" s="158" t="str">
        <f>IF($AI79="","",IF(AND($AN79&lt;&gt;"",$AN79&lt;=EOMONTH(AA$12,0),$AO79&gt;=AA$12),IF(AND(INDEX('Roadmap Calc (Don’t Touch)'!$AA$2:$AX$151,$AI79,COLUMN()-COLUMN($J$16)+1)&gt;0,OR($D79="03. UX Discovery",$D79="04. UX Design")),IF(AND($H79&lt;&gt;"",$H79&lt;=EOMONTH(AA$12,0),$I79&gt;=AA$12),"ALL","PD+UX"),IF(AND($H79&lt;&gt;"",$H79&lt;=EOMONTH(AA$12,0),$I79&gt;=AA$12),"PD+DEV","PD")),IF(AND(INDEX('Roadmap Calc (Don’t Touch)'!$AA$2:$AX$151,$AI79,COLUMN()-COLUMN($J$16)+1)&gt;0,OR($D79="03. UX Discovery",$D79="04. UX Design")),IF(AND($H79&lt;&gt;"",$H79&lt;=EOMONTH(AA$12,0),$I79&gt;=AA$12),"UX+DEV","UX"),IF(AND($H79&lt;&gt;"",$H79&lt;=EOMONTH(AA$12,0),$I79&gt;=AA$12),"DEV",""))))</f>
      </c>
      <c r="AB79" s="158" t="str">
        <f>IF($AI79="","",IF(AND($AN79&lt;&gt;"",$AN79&lt;=EOMONTH(AB$12,0),$AO79&gt;=AB$12),IF(AND(INDEX('Roadmap Calc (Don’t Touch)'!$AA$2:$AX$151,$AI79,COLUMN()-COLUMN($J$16)+1)&gt;0,OR($D79="03. UX Discovery",$D79="04. UX Design")),IF(AND($H79&lt;&gt;"",$H79&lt;=EOMONTH(AB$12,0),$I79&gt;=AB$12),"ALL","PD+UX"),IF(AND($H79&lt;&gt;"",$H79&lt;=EOMONTH(AB$12,0),$I79&gt;=AB$12),"PD+DEV","PD")),IF(AND(INDEX('Roadmap Calc (Don’t Touch)'!$AA$2:$AX$151,$AI79,COLUMN()-COLUMN($J$16)+1)&gt;0,OR($D79="03. UX Discovery",$D79="04. UX Design")),IF(AND($H79&lt;&gt;"",$H79&lt;=EOMONTH(AB$12,0),$I79&gt;=AB$12),"UX+DEV","UX"),IF(AND($H79&lt;&gt;"",$H79&lt;=EOMONTH(AB$12,0),$I79&gt;=AB$12),"DEV",""))))</f>
      </c>
      <c r="AC79" s="158" t="str">
        <f>IF($AI79="","",IF(AND($AN79&lt;&gt;"",$AN79&lt;=EOMONTH(AC$12,0),$AO79&gt;=AC$12),IF(AND(INDEX('Roadmap Calc (Don’t Touch)'!$AA$2:$AX$151,$AI79,COLUMN()-COLUMN($J$16)+1)&gt;0,OR($D79="03. UX Discovery",$D79="04. UX Design")),IF(AND($H79&lt;&gt;"",$H79&lt;=EOMONTH(AC$12,0),$I79&gt;=AC$12),"ALL","PD+UX"),IF(AND($H79&lt;&gt;"",$H79&lt;=EOMONTH(AC$12,0),$I79&gt;=AC$12),"PD+DEV","PD")),IF(AND(INDEX('Roadmap Calc (Don’t Touch)'!$AA$2:$AX$151,$AI79,COLUMN()-COLUMN($J$16)+1)&gt;0,OR($D79="03. UX Discovery",$D79="04. UX Design")),IF(AND($H79&lt;&gt;"",$H79&lt;=EOMONTH(AC$12,0),$I79&gt;=AC$12),"UX+DEV","UX"),IF(AND($H79&lt;&gt;"",$H79&lt;=EOMONTH(AC$12,0),$I79&gt;=AC$12),"DEV",""))))</f>
      </c>
      <c r="AD79" s="158" t="str">
        <f>IF($AI79="","",IF(AND($AN79&lt;&gt;"",$AN79&lt;=EOMONTH(AD$12,0),$AO79&gt;=AD$12),IF(AND(INDEX('Roadmap Calc (Don’t Touch)'!$AA$2:$AX$151,$AI79,COLUMN()-COLUMN($J$16)+1)&gt;0,OR($D79="03. UX Discovery",$D79="04. UX Design")),IF(AND($H79&lt;&gt;"",$H79&lt;=EOMONTH(AD$12,0),$I79&gt;=AD$12),"ALL","PD+UX"),IF(AND($H79&lt;&gt;"",$H79&lt;=EOMONTH(AD$12,0),$I79&gt;=AD$12),"PD+DEV","PD")),IF(AND(INDEX('Roadmap Calc (Don’t Touch)'!$AA$2:$AX$151,$AI79,COLUMN()-COLUMN($J$16)+1)&gt;0,OR($D79="03. UX Discovery",$D79="04. UX Design")),IF(AND($H79&lt;&gt;"",$H79&lt;=EOMONTH(AD$12,0),$I79&gt;=AD$12),"UX+DEV","UX"),IF(AND($H79&lt;&gt;"",$H79&lt;=EOMONTH(AD$12,0),$I79&gt;=AD$12),"DEV",""))))</f>
      </c>
      <c r="AE79" s="158" t="str">
        <f>IF($AI79="","",IF(AND($AN79&lt;&gt;"",$AN79&lt;=EOMONTH(AE$12,0),$AO79&gt;=AE$12),IF(AND(INDEX('Roadmap Calc (Don’t Touch)'!$AA$2:$AX$151,$AI79,COLUMN()-COLUMN($J$16)+1)&gt;0,OR($D79="03. UX Discovery",$D79="04. UX Design")),IF(AND($H79&lt;&gt;"",$H79&lt;=EOMONTH(AE$12,0),$I79&gt;=AE$12),"ALL","PD+UX"),IF(AND($H79&lt;&gt;"",$H79&lt;=EOMONTH(AE$12,0),$I79&gt;=AE$12),"PD+DEV","PD")),IF(AND(INDEX('Roadmap Calc (Don’t Touch)'!$AA$2:$AX$151,$AI79,COLUMN()-COLUMN($J$16)+1)&gt;0,OR($D79="03. UX Discovery",$D79="04. UX Design")),IF(AND($H79&lt;&gt;"",$H79&lt;=EOMONTH(AE$12,0),$I79&gt;=AE$12),"UX+DEV","UX"),IF(AND($H79&lt;&gt;"",$H79&lt;=EOMONTH(AE$12,0),$I79&gt;=AE$12),"DEV",""))))</f>
      </c>
      <c r="AF79" s="158" t="str">
        <f>IF($AI79="","",IF(AND($AN79&lt;&gt;"",$AN79&lt;=EOMONTH(AF$12,0),$AO79&gt;=AF$12),IF(AND(INDEX('Roadmap Calc (Don’t Touch)'!$AA$2:$AX$151,$AI79,COLUMN()-COLUMN($J$16)+1)&gt;0,OR($D79="03. UX Discovery",$D79="04. UX Design")),IF(AND($H79&lt;&gt;"",$H79&lt;=EOMONTH(AF$12,0),$I79&gt;=AF$12),"ALL","PD+UX"),IF(AND($H79&lt;&gt;"",$H79&lt;=EOMONTH(AF$12,0),$I79&gt;=AF$12),"PD+DEV","PD")),IF(AND(INDEX('Roadmap Calc (Don’t Touch)'!$AA$2:$AX$151,$AI79,COLUMN()-COLUMN($J$16)+1)&gt;0,OR($D79="03. UX Discovery",$D79="04. UX Design")),IF(AND($H79&lt;&gt;"",$H79&lt;=EOMONTH(AF$12,0),$I79&gt;=AF$12),"UX+DEV","UX"),IF(AND($H79&lt;&gt;"",$H79&lt;=EOMONTH(AF$12,0),$I79&gt;=AF$12),"DEV",""))))</f>
      </c>
      <c r="AG79" s="158" t="str">
        <f>IF($AI79="","",IF(AND($AN79&lt;&gt;"",$AN79&lt;=EOMONTH(AG$12,0),$AO79&gt;=AG$12),IF(AND(INDEX('Roadmap Calc (Don’t Touch)'!$AA$2:$AX$151,$AI79,COLUMN()-COLUMN($J$16)+1)&gt;0,OR($D79="03. UX Discovery",$D79="04. UX Design")),IF(AND($H79&lt;&gt;"",$H79&lt;=EOMONTH(AG$12,0),$I79&gt;=AG$12),"ALL","PD+UX"),IF(AND($H79&lt;&gt;"",$H79&lt;=EOMONTH(AG$12,0),$I79&gt;=AG$12),"PD+DEV","PD")),IF(AND(INDEX('Roadmap Calc (Don’t Touch)'!$AA$2:$AX$151,$AI79,COLUMN()-COLUMN($J$16)+1)&gt;0,OR($D79="03. UX Discovery",$D79="04. UX Design")),IF(AND($H79&lt;&gt;"",$H79&lt;=EOMONTH(AG$12,0),$I79&gt;=AG$12),"UX+DEV","UX"),IF(AND($H79&lt;&gt;"",$H79&lt;=EOMONTH(AG$12,0),$I79&gt;=AG$12),"DEV",""))))</f>
      </c>
      <c r="AH79" s="145" t="str">
        <f>IF($AI79="","",INDEX('Roadmap Calc (Don’t Touch)'!$D$2:$D$151,$AI79))</f>
        <v/>
      </c>
      <c r="AI79" s="145" t="str">
        <f>IFERROR(MATCH(64,'Roadmap Calc (Don’t Touch)'!$O$2:$O$151,0),"")</f>
        <v/>
      </c>
      <c r="AJ79" s="145"/>
      <c r="AK79" s="145"/>
      <c r="AL79" s="145"/>
      <c r="AM79" s="145"/>
      <c r="AN79">
        <f>IF($AI79="","",IF(ISNUMBER(INDEX('Roadmap Calc (Don’t Touch)'!$BB$2:$BB$151,$AI79)),INDEX('Roadmap Calc (Don’t Touch)'!$BB$2:$BB$151,$AI79),""))</f>
      </c>
      <c r="AO79">
        <f>IF($AI79="","",IF(ISNUMBER(INDEX('Roadmap Calc (Don’t Touch)'!$BC$2:$BC$151,$AI79)),INDEX('Roadmap Calc (Don’t Touch)'!$BC$2:$BC$151,$AI79),""))</f>
      </c>
    </row>
    <row r="80" spans="1:41" ht="17" customHeight="1" x14ac:dyDescent="0.25">
      <c r="A80" s="152" t="str">
        <f>IF($AI80="","",IF($AH80=$AH79,"",IF(INDEX('Roadmap Calc (Don’t Touch)'!$U$2:$U$151,$AI80)=0,$AH80,HYPERLINK("#'Control (Don’t Touch)'!E"&amp;INDEX('Roadmap Calc (Don’t Touch)'!$U$2:$U$151,$AI80),$AH80))))</f>
        <v/>
      </c>
      <c r="B80" s="153" t="str">
        <f>IF($AI80="","",IF(INDEX('Roadmap Calc (Don’t Touch)'!$K$2:$K$151,$AI80)="",INDEX('Roadmap Calc (Don’t Touch)'!$B$2:$B$151,$AI80),HYPERLINK("https://jira.bnh.com/browse/"&amp;INDEX('Roadmap Calc (Don’t Touch)'!$K$2:$K$151,$AI80),INDEX('Roadmap Calc (Don’t Touch)'!$B$2:$B$151,$AI80))))</f>
        <v/>
      </c>
      <c r="C80" s="153" t="str">
        <f>IF($AI80="","",IF(INDEX('Roadmap Calc (Don’t Touch)'!$E$2:$E$151,$AI80)="","",HYPERLINK("https://jira.bnh.com/browse/"&amp;INDEX('Roadmap Calc (Don’t Touch)'!$E$2:$E$151,$AI80),INDEX('Roadmap Calc (Don’t Touch)'!$E$2:$E$151,$AI80))))</f>
        <v/>
      </c>
      <c r="D80" s="154" t="str">
        <f>IF($AI80="","",INDEX('Roadmap Calc (Don’t Touch)'!$F$2:$F$151,$AI80))</f>
        <v/>
      </c>
      <c r="E80" s="155" t="str">
        <f>IF($AI80="","",IF(ISNUMBER(INDEX('Roadmap Calc (Don’t Touch)'!$G$2:$G$151,$AI80)),INDEX('Roadmap Calc (Don’t Touch)'!$G$2:$G$151,$AI80),""))</f>
        <v/>
      </c>
      <c r="F80" s="155" t="str">
        <f>IF($AI80="","",IF(ISNUMBER(INDEX('Roadmap Calc (Don’t Touch)'!$H$2:$H$151,$AI80)),INDEX('Roadmap Calc (Don’t Touch)'!$H$2:$H$151,$AI80),""))</f>
        <v/>
      </c>
      <c r="G80" s="156" t="str">
        <f>IF($AI80="","",INDEX('Roadmap Calc (Don’t Touch)'!$T$2:$T$151,$AI80))</f>
        <v/>
      </c>
      <c r="H80" s="157" t="str">
        <f>IF($AI80="","",IF(ISNUMBER(INDEX('Roadmap Calc (Don’t Touch)'!$I$2:$I$151,$AI80)),INDEX('Roadmap Calc (Don’t Touch)'!$I$2:$I$151,$AI80),""))</f>
        <v/>
      </c>
      <c r="I80" s="157" t="str">
        <f>IF($AI80="","",IF(ISNUMBER(INDEX('Roadmap Calc (Don’t Touch)'!$J$2:$J$151,$AI80)),INDEX('Roadmap Calc (Don’t Touch)'!$J$2:$J$151,$AI80),""))</f>
        <v/>
      </c>
      <c r="J80" s="158" t="str">
        <f>IF($AI80="","",IF(AND($AN80&lt;&gt;"",$AN80&lt;=EOMONTH(J$12,0),$AO80&gt;=J$12),IF(AND(INDEX('Roadmap Calc (Don’t Touch)'!$AA$2:$AX$151,$AI80,COLUMN()-COLUMN($J$16)+1)&gt;0,OR($D80="03. UX Discovery",$D80="04. UX Design")),IF(AND($H80&lt;&gt;"",$H80&lt;=EOMONTH(J$12,0),$I80&gt;=J$12),"ALL","PD+UX"),IF(AND($H80&lt;&gt;"",$H80&lt;=EOMONTH(J$12,0),$I80&gt;=J$12),"PD+DEV","PD")),IF(AND(INDEX('Roadmap Calc (Don’t Touch)'!$AA$2:$AX$151,$AI80,COLUMN()-COLUMN($J$16)+1)&gt;0,OR($D80="03. UX Discovery",$D80="04. UX Design")),IF(AND($H80&lt;&gt;"",$H80&lt;=EOMONTH(J$12,0),$I80&gt;=J$12),"UX+DEV","UX"),IF(AND($H80&lt;&gt;"",$H80&lt;=EOMONTH(J$12,0),$I80&gt;=J$12),"DEV",""))))</f>
      </c>
      <c r="K80" s="158" t="str">
        <f>IF($AI80="","",IF(AND($AN80&lt;&gt;"",$AN80&lt;=EOMONTH(K$12,0),$AO80&gt;=K$12),IF(AND(INDEX('Roadmap Calc (Don’t Touch)'!$AA$2:$AX$151,$AI80,COLUMN()-COLUMN($J$16)+1)&gt;0,OR($D80="03. UX Discovery",$D80="04. UX Design")),IF(AND($H80&lt;&gt;"",$H80&lt;=EOMONTH(K$12,0),$I80&gt;=K$12),"ALL","PD+UX"),IF(AND($H80&lt;&gt;"",$H80&lt;=EOMONTH(K$12,0),$I80&gt;=K$12),"PD+DEV","PD")),IF(AND(INDEX('Roadmap Calc (Don’t Touch)'!$AA$2:$AX$151,$AI80,COLUMN()-COLUMN($J$16)+1)&gt;0,OR($D80="03. UX Discovery",$D80="04. UX Design")),IF(AND($H80&lt;&gt;"",$H80&lt;=EOMONTH(K$12,0),$I80&gt;=K$12),"UX+DEV","UX"),IF(AND($H80&lt;&gt;"",$H80&lt;=EOMONTH(K$12,0),$I80&gt;=K$12),"DEV",""))))</f>
      </c>
      <c r="L80" s="158" t="str">
        <f>IF($AI80="","",IF(AND($AN80&lt;&gt;"",$AN80&lt;=EOMONTH(L$12,0),$AO80&gt;=L$12),IF(AND(INDEX('Roadmap Calc (Don’t Touch)'!$AA$2:$AX$151,$AI80,COLUMN()-COLUMN($J$16)+1)&gt;0,OR($D80="03. UX Discovery",$D80="04. UX Design")),IF(AND($H80&lt;&gt;"",$H80&lt;=EOMONTH(L$12,0),$I80&gt;=L$12),"ALL","PD+UX"),IF(AND($H80&lt;&gt;"",$H80&lt;=EOMONTH(L$12,0),$I80&gt;=L$12),"PD+DEV","PD")),IF(AND(INDEX('Roadmap Calc (Don’t Touch)'!$AA$2:$AX$151,$AI80,COLUMN()-COLUMN($J$16)+1)&gt;0,OR($D80="03. UX Discovery",$D80="04. UX Design")),IF(AND($H80&lt;&gt;"",$H80&lt;=EOMONTH(L$12,0),$I80&gt;=L$12),"UX+DEV","UX"),IF(AND($H80&lt;&gt;"",$H80&lt;=EOMONTH(L$12,0),$I80&gt;=L$12),"DEV",""))))</f>
      </c>
      <c r="M80" s="158" t="str">
        <f>IF($AI80="","",IF(AND($AN80&lt;&gt;"",$AN80&lt;=EOMONTH(M$12,0),$AO80&gt;=M$12),IF(AND(INDEX('Roadmap Calc (Don’t Touch)'!$AA$2:$AX$151,$AI80,COLUMN()-COLUMN($J$16)+1)&gt;0,OR($D80="03. UX Discovery",$D80="04. UX Design")),IF(AND($H80&lt;&gt;"",$H80&lt;=EOMONTH(M$12,0),$I80&gt;=M$12),"ALL","PD+UX"),IF(AND($H80&lt;&gt;"",$H80&lt;=EOMONTH(M$12,0),$I80&gt;=M$12),"PD+DEV","PD")),IF(AND(INDEX('Roadmap Calc (Don’t Touch)'!$AA$2:$AX$151,$AI80,COLUMN()-COLUMN($J$16)+1)&gt;0,OR($D80="03. UX Discovery",$D80="04. UX Design")),IF(AND($H80&lt;&gt;"",$H80&lt;=EOMONTH(M$12,0),$I80&gt;=M$12),"UX+DEV","UX"),IF(AND($H80&lt;&gt;"",$H80&lt;=EOMONTH(M$12,0),$I80&gt;=M$12),"DEV",""))))</f>
      </c>
      <c r="N80" s="158" t="str">
        <f>IF($AI80="","",IF(AND($AN80&lt;&gt;"",$AN80&lt;=EOMONTH(N$12,0),$AO80&gt;=N$12),IF(AND(INDEX('Roadmap Calc (Don’t Touch)'!$AA$2:$AX$151,$AI80,COLUMN()-COLUMN($J$16)+1)&gt;0,OR($D80="03. UX Discovery",$D80="04. UX Design")),IF(AND($H80&lt;&gt;"",$H80&lt;=EOMONTH(N$12,0),$I80&gt;=N$12),"ALL","PD+UX"),IF(AND($H80&lt;&gt;"",$H80&lt;=EOMONTH(N$12,0),$I80&gt;=N$12),"PD+DEV","PD")),IF(AND(INDEX('Roadmap Calc (Don’t Touch)'!$AA$2:$AX$151,$AI80,COLUMN()-COLUMN($J$16)+1)&gt;0,OR($D80="03. UX Discovery",$D80="04. UX Design")),IF(AND($H80&lt;&gt;"",$H80&lt;=EOMONTH(N$12,0),$I80&gt;=N$12),"UX+DEV","UX"),IF(AND($H80&lt;&gt;"",$H80&lt;=EOMONTH(N$12,0),$I80&gt;=N$12),"DEV",""))))</f>
      </c>
      <c r="O80" s="158" t="str">
        <f>IF($AI80="","",IF(AND($AN80&lt;&gt;"",$AN80&lt;=EOMONTH(O$12,0),$AO80&gt;=O$12),IF(AND(INDEX('Roadmap Calc (Don’t Touch)'!$AA$2:$AX$151,$AI80,COLUMN()-COLUMN($J$16)+1)&gt;0,OR($D80="03. UX Discovery",$D80="04. UX Design")),IF(AND($H80&lt;&gt;"",$H80&lt;=EOMONTH(O$12,0),$I80&gt;=O$12),"ALL","PD+UX"),IF(AND($H80&lt;&gt;"",$H80&lt;=EOMONTH(O$12,0),$I80&gt;=O$12),"PD+DEV","PD")),IF(AND(INDEX('Roadmap Calc (Don’t Touch)'!$AA$2:$AX$151,$AI80,COLUMN()-COLUMN($J$16)+1)&gt;0,OR($D80="03. UX Discovery",$D80="04. UX Design")),IF(AND($H80&lt;&gt;"",$H80&lt;=EOMONTH(O$12,0),$I80&gt;=O$12),"UX+DEV","UX"),IF(AND($H80&lt;&gt;"",$H80&lt;=EOMONTH(O$12,0),$I80&gt;=O$12),"DEV",""))))</f>
      </c>
      <c r="P80" s="158" t="str">
        <f>IF($AI80="","",IF(AND($AN80&lt;&gt;"",$AN80&lt;=EOMONTH(P$12,0),$AO80&gt;=P$12),IF(AND(INDEX('Roadmap Calc (Don’t Touch)'!$AA$2:$AX$151,$AI80,COLUMN()-COLUMN($J$16)+1)&gt;0,OR($D80="03. UX Discovery",$D80="04. UX Design")),IF(AND($H80&lt;&gt;"",$H80&lt;=EOMONTH(P$12,0),$I80&gt;=P$12),"ALL","PD+UX"),IF(AND($H80&lt;&gt;"",$H80&lt;=EOMONTH(P$12,0),$I80&gt;=P$12),"PD+DEV","PD")),IF(AND(INDEX('Roadmap Calc (Don’t Touch)'!$AA$2:$AX$151,$AI80,COLUMN()-COLUMN($J$16)+1)&gt;0,OR($D80="03. UX Discovery",$D80="04. UX Design")),IF(AND($H80&lt;&gt;"",$H80&lt;=EOMONTH(P$12,0),$I80&gt;=P$12),"UX+DEV","UX"),IF(AND($H80&lt;&gt;"",$H80&lt;=EOMONTH(P$12,0),$I80&gt;=P$12),"DEV",""))))</f>
      </c>
      <c r="Q80" s="158" t="str">
        <f>IF($AI80="","",IF(AND($AN80&lt;&gt;"",$AN80&lt;=EOMONTH(Q$12,0),$AO80&gt;=Q$12),IF(AND(INDEX('Roadmap Calc (Don’t Touch)'!$AA$2:$AX$151,$AI80,COLUMN()-COLUMN($J$16)+1)&gt;0,OR($D80="03. UX Discovery",$D80="04. UX Design")),IF(AND($H80&lt;&gt;"",$H80&lt;=EOMONTH(Q$12,0),$I80&gt;=Q$12),"ALL","PD+UX"),IF(AND($H80&lt;&gt;"",$H80&lt;=EOMONTH(Q$12,0),$I80&gt;=Q$12),"PD+DEV","PD")),IF(AND(INDEX('Roadmap Calc (Don’t Touch)'!$AA$2:$AX$151,$AI80,COLUMN()-COLUMN($J$16)+1)&gt;0,OR($D80="03. UX Discovery",$D80="04. UX Design")),IF(AND($H80&lt;&gt;"",$H80&lt;=EOMONTH(Q$12,0),$I80&gt;=Q$12),"UX+DEV","UX"),IF(AND($H80&lt;&gt;"",$H80&lt;=EOMONTH(Q$12,0),$I80&gt;=Q$12),"DEV",""))))</f>
      </c>
      <c r="R80" s="158" t="str">
        <f>IF($AI80="","",IF(AND($AN80&lt;&gt;"",$AN80&lt;=EOMONTH(R$12,0),$AO80&gt;=R$12),IF(AND(INDEX('Roadmap Calc (Don’t Touch)'!$AA$2:$AX$151,$AI80,COLUMN()-COLUMN($J$16)+1)&gt;0,OR($D80="03. UX Discovery",$D80="04. UX Design")),IF(AND($H80&lt;&gt;"",$H80&lt;=EOMONTH(R$12,0),$I80&gt;=R$12),"ALL","PD+UX"),IF(AND($H80&lt;&gt;"",$H80&lt;=EOMONTH(R$12,0),$I80&gt;=R$12),"PD+DEV","PD")),IF(AND(INDEX('Roadmap Calc (Don’t Touch)'!$AA$2:$AX$151,$AI80,COLUMN()-COLUMN($J$16)+1)&gt;0,OR($D80="03. UX Discovery",$D80="04. UX Design")),IF(AND($H80&lt;&gt;"",$H80&lt;=EOMONTH(R$12,0),$I80&gt;=R$12),"UX+DEV","UX"),IF(AND($H80&lt;&gt;"",$H80&lt;=EOMONTH(R$12,0),$I80&gt;=R$12),"DEV",""))))</f>
      </c>
      <c r="S80" s="158" t="str">
        <f>IF($AI80="","",IF(AND($AN80&lt;&gt;"",$AN80&lt;=EOMONTH(S$12,0),$AO80&gt;=S$12),IF(AND(INDEX('Roadmap Calc (Don’t Touch)'!$AA$2:$AX$151,$AI80,COLUMN()-COLUMN($J$16)+1)&gt;0,OR($D80="03. UX Discovery",$D80="04. UX Design")),IF(AND($H80&lt;&gt;"",$H80&lt;=EOMONTH(S$12,0),$I80&gt;=S$12),"ALL","PD+UX"),IF(AND($H80&lt;&gt;"",$H80&lt;=EOMONTH(S$12,0),$I80&gt;=S$12),"PD+DEV","PD")),IF(AND(INDEX('Roadmap Calc (Don’t Touch)'!$AA$2:$AX$151,$AI80,COLUMN()-COLUMN($J$16)+1)&gt;0,OR($D80="03. UX Discovery",$D80="04. UX Design")),IF(AND($H80&lt;&gt;"",$H80&lt;=EOMONTH(S$12,0),$I80&gt;=S$12),"UX+DEV","UX"),IF(AND($H80&lt;&gt;"",$H80&lt;=EOMONTH(S$12,0),$I80&gt;=S$12),"DEV",""))))</f>
      </c>
      <c r="T80" s="158" t="str">
        <f>IF($AI80="","",IF(AND($AN80&lt;&gt;"",$AN80&lt;=EOMONTH(T$12,0),$AO80&gt;=T$12),IF(AND(INDEX('Roadmap Calc (Don’t Touch)'!$AA$2:$AX$151,$AI80,COLUMN()-COLUMN($J$16)+1)&gt;0,OR($D80="03. UX Discovery",$D80="04. UX Design")),IF(AND($H80&lt;&gt;"",$H80&lt;=EOMONTH(T$12,0),$I80&gt;=T$12),"ALL","PD+UX"),IF(AND($H80&lt;&gt;"",$H80&lt;=EOMONTH(T$12,0),$I80&gt;=T$12),"PD+DEV","PD")),IF(AND(INDEX('Roadmap Calc (Don’t Touch)'!$AA$2:$AX$151,$AI80,COLUMN()-COLUMN($J$16)+1)&gt;0,OR($D80="03. UX Discovery",$D80="04. UX Design")),IF(AND($H80&lt;&gt;"",$H80&lt;=EOMONTH(T$12,0),$I80&gt;=T$12),"UX+DEV","UX"),IF(AND($H80&lt;&gt;"",$H80&lt;=EOMONTH(T$12,0),$I80&gt;=T$12),"DEV",""))))</f>
      </c>
      <c r="U80" s="158" t="str">
        <f>IF($AI80="","",IF(AND($AN80&lt;&gt;"",$AN80&lt;=EOMONTH(U$12,0),$AO80&gt;=U$12),IF(AND(INDEX('Roadmap Calc (Don’t Touch)'!$AA$2:$AX$151,$AI80,COLUMN()-COLUMN($J$16)+1)&gt;0,OR($D80="03. UX Discovery",$D80="04. UX Design")),IF(AND($H80&lt;&gt;"",$H80&lt;=EOMONTH(U$12,0),$I80&gt;=U$12),"ALL","PD+UX"),IF(AND($H80&lt;&gt;"",$H80&lt;=EOMONTH(U$12,0),$I80&gt;=U$12),"PD+DEV","PD")),IF(AND(INDEX('Roadmap Calc (Don’t Touch)'!$AA$2:$AX$151,$AI80,COLUMN()-COLUMN($J$16)+1)&gt;0,OR($D80="03. UX Discovery",$D80="04. UX Design")),IF(AND($H80&lt;&gt;"",$H80&lt;=EOMONTH(U$12,0),$I80&gt;=U$12),"UX+DEV","UX"),IF(AND($H80&lt;&gt;"",$H80&lt;=EOMONTH(U$12,0),$I80&gt;=U$12),"DEV",""))))</f>
      </c>
      <c r="V80" s="158" t="str">
        <f>IF($AI80="","",IF(AND($AN80&lt;&gt;"",$AN80&lt;=EOMONTH(V$12,0),$AO80&gt;=V$12),IF(AND(INDEX('Roadmap Calc (Don’t Touch)'!$AA$2:$AX$151,$AI80,COLUMN()-COLUMN($J$16)+1)&gt;0,OR($D80="03. UX Discovery",$D80="04. UX Design")),IF(AND($H80&lt;&gt;"",$H80&lt;=EOMONTH(V$12,0),$I80&gt;=V$12),"ALL","PD+UX"),IF(AND($H80&lt;&gt;"",$H80&lt;=EOMONTH(V$12,0),$I80&gt;=V$12),"PD+DEV","PD")),IF(AND(INDEX('Roadmap Calc (Don’t Touch)'!$AA$2:$AX$151,$AI80,COLUMN()-COLUMN($J$16)+1)&gt;0,OR($D80="03. UX Discovery",$D80="04. UX Design")),IF(AND($H80&lt;&gt;"",$H80&lt;=EOMONTH(V$12,0),$I80&gt;=V$12),"UX+DEV","UX"),IF(AND($H80&lt;&gt;"",$H80&lt;=EOMONTH(V$12,0),$I80&gt;=V$12),"DEV",""))))</f>
      </c>
      <c r="W80" s="158" t="str">
        <f>IF($AI80="","",IF(AND($AN80&lt;&gt;"",$AN80&lt;=EOMONTH(W$12,0),$AO80&gt;=W$12),IF(AND(INDEX('Roadmap Calc (Don’t Touch)'!$AA$2:$AX$151,$AI80,COLUMN()-COLUMN($J$16)+1)&gt;0,OR($D80="03. UX Discovery",$D80="04. UX Design")),IF(AND($H80&lt;&gt;"",$H80&lt;=EOMONTH(W$12,0),$I80&gt;=W$12),"ALL","PD+UX"),IF(AND($H80&lt;&gt;"",$H80&lt;=EOMONTH(W$12,0),$I80&gt;=W$12),"PD+DEV","PD")),IF(AND(INDEX('Roadmap Calc (Don’t Touch)'!$AA$2:$AX$151,$AI80,COLUMN()-COLUMN($J$16)+1)&gt;0,OR($D80="03. UX Discovery",$D80="04. UX Design")),IF(AND($H80&lt;&gt;"",$H80&lt;=EOMONTH(W$12,0),$I80&gt;=W$12),"UX+DEV","UX"),IF(AND($H80&lt;&gt;"",$H80&lt;=EOMONTH(W$12,0),$I80&gt;=W$12),"DEV",""))))</f>
      </c>
      <c r="X80" s="158" t="str">
        <f>IF($AI80="","",IF(AND($AN80&lt;&gt;"",$AN80&lt;=EOMONTH(X$12,0),$AO80&gt;=X$12),IF(AND(INDEX('Roadmap Calc (Don’t Touch)'!$AA$2:$AX$151,$AI80,COLUMN()-COLUMN($J$16)+1)&gt;0,OR($D80="03. UX Discovery",$D80="04. UX Design")),IF(AND($H80&lt;&gt;"",$H80&lt;=EOMONTH(X$12,0),$I80&gt;=X$12),"ALL","PD+UX"),IF(AND($H80&lt;&gt;"",$H80&lt;=EOMONTH(X$12,0),$I80&gt;=X$12),"PD+DEV","PD")),IF(AND(INDEX('Roadmap Calc (Don’t Touch)'!$AA$2:$AX$151,$AI80,COLUMN()-COLUMN($J$16)+1)&gt;0,OR($D80="03. UX Discovery",$D80="04. UX Design")),IF(AND($H80&lt;&gt;"",$H80&lt;=EOMONTH(X$12,0),$I80&gt;=X$12),"UX+DEV","UX"),IF(AND($H80&lt;&gt;"",$H80&lt;=EOMONTH(X$12,0),$I80&gt;=X$12),"DEV",""))))</f>
      </c>
      <c r="Y80" s="158" t="str">
        <f>IF($AI80="","",IF(AND($AN80&lt;&gt;"",$AN80&lt;=EOMONTH(Y$12,0),$AO80&gt;=Y$12),IF(AND(INDEX('Roadmap Calc (Don’t Touch)'!$AA$2:$AX$151,$AI80,COLUMN()-COLUMN($J$16)+1)&gt;0,OR($D80="03. UX Discovery",$D80="04. UX Design")),IF(AND($H80&lt;&gt;"",$H80&lt;=EOMONTH(Y$12,0),$I80&gt;=Y$12),"ALL","PD+UX"),IF(AND($H80&lt;&gt;"",$H80&lt;=EOMONTH(Y$12,0),$I80&gt;=Y$12),"PD+DEV","PD")),IF(AND(INDEX('Roadmap Calc (Don’t Touch)'!$AA$2:$AX$151,$AI80,COLUMN()-COLUMN($J$16)+1)&gt;0,OR($D80="03. UX Discovery",$D80="04. UX Design")),IF(AND($H80&lt;&gt;"",$H80&lt;=EOMONTH(Y$12,0),$I80&gt;=Y$12),"UX+DEV","UX"),IF(AND($H80&lt;&gt;"",$H80&lt;=EOMONTH(Y$12,0),$I80&gt;=Y$12),"DEV",""))))</f>
      </c>
      <c r="Z80" s="158" t="str">
        <f>IF($AI80="","",IF(AND($AN80&lt;&gt;"",$AN80&lt;=EOMONTH(Z$12,0),$AO80&gt;=Z$12),IF(AND(INDEX('Roadmap Calc (Don’t Touch)'!$AA$2:$AX$151,$AI80,COLUMN()-COLUMN($J$16)+1)&gt;0,OR($D80="03. UX Discovery",$D80="04. UX Design")),IF(AND($H80&lt;&gt;"",$H80&lt;=EOMONTH(Z$12,0),$I80&gt;=Z$12),"ALL","PD+UX"),IF(AND($H80&lt;&gt;"",$H80&lt;=EOMONTH(Z$12,0),$I80&gt;=Z$12),"PD+DEV","PD")),IF(AND(INDEX('Roadmap Calc (Don’t Touch)'!$AA$2:$AX$151,$AI80,COLUMN()-COLUMN($J$16)+1)&gt;0,OR($D80="03. UX Discovery",$D80="04. UX Design")),IF(AND($H80&lt;&gt;"",$H80&lt;=EOMONTH(Z$12,0),$I80&gt;=Z$12),"UX+DEV","UX"),IF(AND($H80&lt;&gt;"",$H80&lt;=EOMONTH(Z$12,0),$I80&gt;=Z$12),"DEV",""))))</f>
      </c>
      <c r="AA80" s="158" t="str">
        <f>IF($AI80="","",IF(AND($AN80&lt;&gt;"",$AN80&lt;=EOMONTH(AA$12,0),$AO80&gt;=AA$12),IF(AND(INDEX('Roadmap Calc (Don’t Touch)'!$AA$2:$AX$151,$AI80,COLUMN()-COLUMN($J$16)+1)&gt;0,OR($D80="03. UX Discovery",$D80="04. UX Design")),IF(AND($H80&lt;&gt;"",$H80&lt;=EOMONTH(AA$12,0),$I80&gt;=AA$12),"ALL","PD+UX"),IF(AND($H80&lt;&gt;"",$H80&lt;=EOMONTH(AA$12,0),$I80&gt;=AA$12),"PD+DEV","PD")),IF(AND(INDEX('Roadmap Calc (Don’t Touch)'!$AA$2:$AX$151,$AI80,COLUMN()-COLUMN($J$16)+1)&gt;0,OR($D80="03. UX Discovery",$D80="04. UX Design")),IF(AND($H80&lt;&gt;"",$H80&lt;=EOMONTH(AA$12,0),$I80&gt;=AA$12),"UX+DEV","UX"),IF(AND($H80&lt;&gt;"",$H80&lt;=EOMONTH(AA$12,0),$I80&gt;=AA$12),"DEV",""))))</f>
      </c>
      <c r="AB80" s="158" t="str">
        <f>IF($AI80="","",IF(AND($AN80&lt;&gt;"",$AN80&lt;=EOMONTH(AB$12,0),$AO80&gt;=AB$12),IF(AND(INDEX('Roadmap Calc (Don’t Touch)'!$AA$2:$AX$151,$AI80,COLUMN()-COLUMN($J$16)+1)&gt;0,OR($D80="03. UX Discovery",$D80="04. UX Design")),IF(AND($H80&lt;&gt;"",$H80&lt;=EOMONTH(AB$12,0),$I80&gt;=AB$12),"ALL","PD+UX"),IF(AND($H80&lt;&gt;"",$H80&lt;=EOMONTH(AB$12,0),$I80&gt;=AB$12),"PD+DEV","PD")),IF(AND(INDEX('Roadmap Calc (Don’t Touch)'!$AA$2:$AX$151,$AI80,COLUMN()-COLUMN($J$16)+1)&gt;0,OR($D80="03. UX Discovery",$D80="04. UX Design")),IF(AND($H80&lt;&gt;"",$H80&lt;=EOMONTH(AB$12,0),$I80&gt;=AB$12),"UX+DEV","UX"),IF(AND($H80&lt;&gt;"",$H80&lt;=EOMONTH(AB$12,0),$I80&gt;=AB$12),"DEV",""))))</f>
      </c>
      <c r="AC80" s="158" t="str">
        <f>IF($AI80="","",IF(AND($AN80&lt;&gt;"",$AN80&lt;=EOMONTH(AC$12,0),$AO80&gt;=AC$12),IF(AND(INDEX('Roadmap Calc (Don’t Touch)'!$AA$2:$AX$151,$AI80,COLUMN()-COLUMN($J$16)+1)&gt;0,OR($D80="03. UX Discovery",$D80="04. UX Design")),IF(AND($H80&lt;&gt;"",$H80&lt;=EOMONTH(AC$12,0),$I80&gt;=AC$12),"ALL","PD+UX"),IF(AND($H80&lt;&gt;"",$H80&lt;=EOMONTH(AC$12,0),$I80&gt;=AC$12),"PD+DEV","PD")),IF(AND(INDEX('Roadmap Calc (Don’t Touch)'!$AA$2:$AX$151,$AI80,COLUMN()-COLUMN($J$16)+1)&gt;0,OR($D80="03. UX Discovery",$D80="04. UX Design")),IF(AND($H80&lt;&gt;"",$H80&lt;=EOMONTH(AC$12,0),$I80&gt;=AC$12),"UX+DEV","UX"),IF(AND($H80&lt;&gt;"",$H80&lt;=EOMONTH(AC$12,0),$I80&gt;=AC$12),"DEV",""))))</f>
      </c>
      <c r="AD80" s="158" t="str">
        <f>IF($AI80="","",IF(AND($AN80&lt;&gt;"",$AN80&lt;=EOMONTH(AD$12,0),$AO80&gt;=AD$12),IF(AND(INDEX('Roadmap Calc (Don’t Touch)'!$AA$2:$AX$151,$AI80,COLUMN()-COLUMN($J$16)+1)&gt;0,OR($D80="03. UX Discovery",$D80="04. UX Design")),IF(AND($H80&lt;&gt;"",$H80&lt;=EOMONTH(AD$12,0),$I80&gt;=AD$12),"ALL","PD+UX"),IF(AND($H80&lt;&gt;"",$H80&lt;=EOMONTH(AD$12,0),$I80&gt;=AD$12),"PD+DEV","PD")),IF(AND(INDEX('Roadmap Calc (Don’t Touch)'!$AA$2:$AX$151,$AI80,COLUMN()-COLUMN($J$16)+1)&gt;0,OR($D80="03. UX Discovery",$D80="04. UX Design")),IF(AND($H80&lt;&gt;"",$H80&lt;=EOMONTH(AD$12,0),$I80&gt;=AD$12),"UX+DEV","UX"),IF(AND($H80&lt;&gt;"",$H80&lt;=EOMONTH(AD$12,0),$I80&gt;=AD$12),"DEV",""))))</f>
      </c>
      <c r="AE80" s="158" t="str">
        <f>IF($AI80="","",IF(AND($AN80&lt;&gt;"",$AN80&lt;=EOMONTH(AE$12,0),$AO80&gt;=AE$12),IF(AND(INDEX('Roadmap Calc (Don’t Touch)'!$AA$2:$AX$151,$AI80,COLUMN()-COLUMN($J$16)+1)&gt;0,OR($D80="03. UX Discovery",$D80="04. UX Design")),IF(AND($H80&lt;&gt;"",$H80&lt;=EOMONTH(AE$12,0),$I80&gt;=AE$12),"ALL","PD+UX"),IF(AND($H80&lt;&gt;"",$H80&lt;=EOMONTH(AE$12,0),$I80&gt;=AE$12),"PD+DEV","PD")),IF(AND(INDEX('Roadmap Calc (Don’t Touch)'!$AA$2:$AX$151,$AI80,COLUMN()-COLUMN($J$16)+1)&gt;0,OR($D80="03. UX Discovery",$D80="04. UX Design")),IF(AND($H80&lt;&gt;"",$H80&lt;=EOMONTH(AE$12,0),$I80&gt;=AE$12),"UX+DEV","UX"),IF(AND($H80&lt;&gt;"",$H80&lt;=EOMONTH(AE$12,0),$I80&gt;=AE$12),"DEV",""))))</f>
      </c>
      <c r="AF80" s="158" t="str">
        <f>IF($AI80="","",IF(AND($AN80&lt;&gt;"",$AN80&lt;=EOMONTH(AF$12,0),$AO80&gt;=AF$12),IF(AND(INDEX('Roadmap Calc (Don’t Touch)'!$AA$2:$AX$151,$AI80,COLUMN()-COLUMN($J$16)+1)&gt;0,OR($D80="03. UX Discovery",$D80="04. UX Design")),IF(AND($H80&lt;&gt;"",$H80&lt;=EOMONTH(AF$12,0),$I80&gt;=AF$12),"ALL","PD+UX"),IF(AND($H80&lt;&gt;"",$H80&lt;=EOMONTH(AF$12,0),$I80&gt;=AF$12),"PD+DEV","PD")),IF(AND(INDEX('Roadmap Calc (Don’t Touch)'!$AA$2:$AX$151,$AI80,COLUMN()-COLUMN($J$16)+1)&gt;0,OR($D80="03. UX Discovery",$D80="04. UX Design")),IF(AND($H80&lt;&gt;"",$H80&lt;=EOMONTH(AF$12,0),$I80&gt;=AF$12),"UX+DEV","UX"),IF(AND($H80&lt;&gt;"",$H80&lt;=EOMONTH(AF$12,0),$I80&gt;=AF$12),"DEV",""))))</f>
      </c>
      <c r="AG80" s="158" t="str">
        <f>IF($AI80="","",IF(AND($AN80&lt;&gt;"",$AN80&lt;=EOMONTH(AG$12,0),$AO80&gt;=AG$12),IF(AND(INDEX('Roadmap Calc (Don’t Touch)'!$AA$2:$AX$151,$AI80,COLUMN()-COLUMN($J$16)+1)&gt;0,OR($D80="03. UX Discovery",$D80="04. UX Design")),IF(AND($H80&lt;&gt;"",$H80&lt;=EOMONTH(AG$12,0),$I80&gt;=AG$12),"ALL","PD+UX"),IF(AND($H80&lt;&gt;"",$H80&lt;=EOMONTH(AG$12,0),$I80&gt;=AG$12),"PD+DEV","PD")),IF(AND(INDEX('Roadmap Calc (Don’t Touch)'!$AA$2:$AX$151,$AI80,COLUMN()-COLUMN($J$16)+1)&gt;0,OR($D80="03. UX Discovery",$D80="04. UX Design")),IF(AND($H80&lt;&gt;"",$H80&lt;=EOMONTH(AG$12,0),$I80&gt;=AG$12),"UX+DEV","UX"),IF(AND($H80&lt;&gt;"",$H80&lt;=EOMONTH(AG$12,0),$I80&gt;=AG$12),"DEV",""))))</f>
      </c>
      <c r="AH80" s="145" t="str">
        <f>IF($AI80="","",INDEX('Roadmap Calc (Don’t Touch)'!$D$2:$D$151,$AI80))</f>
        <v/>
      </c>
      <c r="AI80" s="145" t="str">
        <f>IFERROR(MATCH(65,'Roadmap Calc (Don’t Touch)'!$O$2:$O$151,0),"")</f>
        <v/>
      </c>
      <c r="AJ80" s="145"/>
      <c r="AK80" s="145"/>
      <c r="AL80" s="145"/>
      <c r="AM80" s="145"/>
      <c r="AN80">
        <f>IF($AI80="","",IF(ISNUMBER(INDEX('Roadmap Calc (Don’t Touch)'!$BB$2:$BB$151,$AI80)),INDEX('Roadmap Calc (Don’t Touch)'!$BB$2:$BB$151,$AI80),""))</f>
      </c>
      <c r="AO80">
        <f>IF($AI80="","",IF(ISNUMBER(INDEX('Roadmap Calc (Don’t Touch)'!$BC$2:$BC$151,$AI80)),INDEX('Roadmap Calc (Don’t Touch)'!$BC$2:$BC$151,$AI80),""))</f>
      </c>
    </row>
    <row r="81" spans="1:41" ht="17" customHeight="1" x14ac:dyDescent="0.25">
      <c r="A81" s="152" t="str">
        <f>IF($AI81="","",IF($AH81=$AH80,"",IF(INDEX('Roadmap Calc (Don’t Touch)'!$U$2:$U$151,$AI81)=0,$AH81,HYPERLINK("#'Control (Don’t Touch)'!E"&amp;INDEX('Roadmap Calc (Don’t Touch)'!$U$2:$U$151,$AI81),$AH81))))</f>
        <v/>
      </c>
      <c r="B81" s="153" t="str">
        <f>IF($AI81="","",IF(INDEX('Roadmap Calc (Don’t Touch)'!$K$2:$K$151,$AI81)="",INDEX('Roadmap Calc (Don’t Touch)'!$B$2:$B$151,$AI81),HYPERLINK("https://jira.bnh.com/browse/"&amp;INDEX('Roadmap Calc (Don’t Touch)'!$K$2:$K$151,$AI81),INDEX('Roadmap Calc (Don’t Touch)'!$B$2:$B$151,$AI81))))</f>
        <v/>
      </c>
      <c r="C81" s="153" t="str">
        <f>IF($AI81="","",IF(INDEX('Roadmap Calc (Don’t Touch)'!$E$2:$E$151,$AI81)="","",HYPERLINK("https://jira.bnh.com/browse/"&amp;INDEX('Roadmap Calc (Don’t Touch)'!$E$2:$E$151,$AI81),INDEX('Roadmap Calc (Don’t Touch)'!$E$2:$E$151,$AI81))))</f>
        <v/>
      </c>
      <c r="D81" s="154" t="str">
        <f>IF($AI81="","",INDEX('Roadmap Calc (Don’t Touch)'!$F$2:$F$151,$AI81))</f>
        <v/>
      </c>
      <c r="E81" s="155" t="str">
        <f>IF($AI81="","",IF(ISNUMBER(INDEX('Roadmap Calc (Don’t Touch)'!$G$2:$G$151,$AI81)),INDEX('Roadmap Calc (Don’t Touch)'!$G$2:$G$151,$AI81),""))</f>
        <v/>
      </c>
      <c r="F81" s="155" t="str">
        <f>IF($AI81="","",IF(ISNUMBER(INDEX('Roadmap Calc (Don’t Touch)'!$H$2:$H$151,$AI81)),INDEX('Roadmap Calc (Don’t Touch)'!$H$2:$H$151,$AI81),""))</f>
        <v/>
      </c>
      <c r="G81" s="156" t="str">
        <f>IF($AI81="","",INDEX('Roadmap Calc (Don’t Touch)'!$T$2:$T$151,$AI81))</f>
        <v/>
      </c>
      <c r="H81" s="157" t="str">
        <f>IF($AI81="","",IF(ISNUMBER(INDEX('Roadmap Calc (Don’t Touch)'!$I$2:$I$151,$AI81)),INDEX('Roadmap Calc (Don’t Touch)'!$I$2:$I$151,$AI81),""))</f>
        <v/>
      </c>
      <c r="I81" s="157" t="str">
        <f>IF($AI81="","",IF(ISNUMBER(INDEX('Roadmap Calc (Don’t Touch)'!$J$2:$J$151,$AI81)),INDEX('Roadmap Calc (Don’t Touch)'!$J$2:$J$151,$AI81),""))</f>
        <v/>
      </c>
      <c r="J81" s="158" t="str">
        <f>IF($AI81="","",IF(AND($AN81&lt;&gt;"",$AN81&lt;=EOMONTH(J$12,0),$AO81&gt;=J$12),IF(AND(INDEX('Roadmap Calc (Don’t Touch)'!$AA$2:$AX$151,$AI81,COLUMN()-COLUMN($J$16)+1)&gt;0,OR($D81="03. UX Discovery",$D81="04. UX Design")),IF(AND($H81&lt;&gt;"",$H81&lt;=EOMONTH(J$12,0),$I81&gt;=J$12),"ALL","PD+UX"),IF(AND($H81&lt;&gt;"",$H81&lt;=EOMONTH(J$12,0),$I81&gt;=J$12),"PD+DEV","PD")),IF(AND(INDEX('Roadmap Calc (Don’t Touch)'!$AA$2:$AX$151,$AI81,COLUMN()-COLUMN($J$16)+1)&gt;0,OR($D81="03. UX Discovery",$D81="04. UX Design")),IF(AND($H81&lt;&gt;"",$H81&lt;=EOMONTH(J$12,0),$I81&gt;=J$12),"UX+DEV","UX"),IF(AND($H81&lt;&gt;"",$H81&lt;=EOMONTH(J$12,0),$I81&gt;=J$12),"DEV",""))))</f>
      </c>
      <c r="K81" s="158" t="str">
        <f>IF($AI81="","",IF(AND($AN81&lt;&gt;"",$AN81&lt;=EOMONTH(K$12,0),$AO81&gt;=K$12),IF(AND(INDEX('Roadmap Calc (Don’t Touch)'!$AA$2:$AX$151,$AI81,COLUMN()-COLUMN($J$16)+1)&gt;0,OR($D81="03. UX Discovery",$D81="04. UX Design")),IF(AND($H81&lt;&gt;"",$H81&lt;=EOMONTH(K$12,0),$I81&gt;=K$12),"ALL","PD+UX"),IF(AND($H81&lt;&gt;"",$H81&lt;=EOMONTH(K$12,0),$I81&gt;=K$12),"PD+DEV","PD")),IF(AND(INDEX('Roadmap Calc (Don’t Touch)'!$AA$2:$AX$151,$AI81,COLUMN()-COLUMN($J$16)+1)&gt;0,OR($D81="03. UX Discovery",$D81="04. UX Design")),IF(AND($H81&lt;&gt;"",$H81&lt;=EOMONTH(K$12,0),$I81&gt;=K$12),"UX+DEV","UX"),IF(AND($H81&lt;&gt;"",$H81&lt;=EOMONTH(K$12,0),$I81&gt;=K$12),"DEV",""))))</f>
      </c>
      <c r="L81" s="158" t="str">
        <f>IF($AI81="","",IF(AND($AN81&lt;&gt;"",$AN81&lt;=EOMONTH(L$12,0),$AO81&gt;=L$12),IF(AND(INDEX('Roadmap Calc (Don’t Touch)'!$AA$2:$AX$151,$AI81,COLUMN()-COLUMN($J$16)+1)&gt;0,OR($D81="03. UX Discovery",$D81="04. UX Design")),IF(AND($H81&lt;&gt;"",$H81&lt;=EOMONTH(L$12,0),$I81&gt;=L$12),"ALL","PD+UX"),IF(AND($H81&lt;&gt;"",$H81&lt;=EOMONTH(L$12,0),$I81&gt;=L$12),"PD+DEV","PD")),IF(AND(INDEX('Roadmap Calc (Don’t Touch)'!$AA$2:$AX$151,$AI81,COLUMN()-COLUMN($J$16)+1)&gt;0,OR($D81="03. UX Discovery",$D81="04. UX Design")),IF(AND($H81&lt;&gt;"",$H81&lt;=EOMONTH(L$12,0),$I81&gt;=L$12),"UX+DEV","UX"),IF(AND($H81&lt;&gt;"",$H81&lt;=EOMONTH(L$12,0),$I81&gt;=L$12),"DEV",""))))</f>
      </c>
      <c r="M81" s="158" t="str">
        <f>IF($AI81="","",IF(AND($AN81&lt;&gt;"",$AN81&lt;=EOMONTH(M$12,0),$AO81&gt;=M$12),IF(AND(INDEX('Roadmap Calc (Don’t Touch)'!$AA$2:$AX$151,$AI81,COLUMN()-COLUMN($J$16)+1)&gt;0,OR($D81="03. UX Discovery",$D81="04. UX Design")),IF(AND($H81&lt;&gt;"",$H81&lt;=EOMONTH(M$12,0),$I81&gt;=M$12),"ALL","PD+UX"),IF(AND($H81&lt;&gt;"",$H81&lt;=EOMONTH(M$12,0),$I81&gt;=M$12),"PD+DEV","PD")),IF(AND(INDEX('Roadmap Calc (Don’t Touch)'!$AA$2:$AX$151,$AI81,COLUMN()-COLUMN($J$16)+1)&gt;0,OR($D81="03. UX Discovery",$D81="04. UX Design")),IF(AND($H81&lt;&gt;"",$H81&lt;=EOMONTH(M$12,0),$I81&gt;=M$12),"UX+DEV","UX"),IF(AND($H81&lt;&gt;"",$H81&lt;=EOMONTH(M$12,0),$I81&gt;=M$12),"DEV",""))))</f>
      </c>
      <c r="N81" s="158" t="str">
        <f>IF($AI81="","",IF(AND($AN81&lt;&gt;"",$AN81&lt;=EOMONTH(N$12,0),$AO81&gt;=N$12),IF(AND(INDEX('Roadmap Calc (Don’t Touch)'!$AA$2:$AX$151,$AI81,COLUMN()-COLUMN($J$16)+1)&gt;0,OR($D81="03. UX Discovery",$D81="04. UX Design")),IF(AND($H81&lt;&gt;"",$H81&lt;=EOMONTH(N$12,0),$I81&gt;=N$12),"ALL","PD+UX"),IF(AND($H81&lt;&gt;"",$H81&lt;=EOMONTH(N$12,0),$I81&gt;=N$12),"PD+DEV","PD")),IF(AND(INDEX('Roadmap Calc (Don’t Touch)'!$AA$2:$AX$151,$AI81,COLUMN()-COLUMN($J$16)+1)&gt;0,OR($D81="03. UX Discovery",$D81="04. UX Design")),IF(AND($H81&lt;&gt;"",$H81&lt;=EOMONTH(N$12,0),$I81&gt;=N$12),"UX+DEV","UX"),IF(AND($H81&lt;&gt;"",$H81&lt;=EOMONTH(N$12,0),$I81&gt;=N$12),"DEV",""))))</f>
      </c>
      <c r="O81" s="158" t="str">
        <f>IF($AI81="","",IF(AND($AN81&lt;&gt;"",$AN81&lt;=EOMONTH(O$12,0),$AO81&gt;=O$12),IF(AND(INDEX('Roadmap Calc (Don’t Touch)'!$AA$2:$AX$151,$AI81,COLUMN()-COLUMN($J$16)+1)&gt;0,OR($D81="03. UX Discovery",$D81="04. UX Design")),IF(AND($H81&lt;&gt;"",$H81&lt;=EOMONTH(O$12,0),$I81&gt;=O$12),"ALL","PD+UX"),IF(AND($H81&lt;&gt;"",$H81&lt;=EOMONTH(O$12,0),$I81&gt;=O$12),"PD+DEV","PD")),IF(AND(INDEX('Roadmap Calc (Don’t Touch)'!$AA$2:$AX$151,$AI81,COLUMN()-COLUMN($J$16)+1)&gt;0,OR($D81="03. UX Discovery",$D81="04. UX Design")),IF(AND($H81&lt;&gt;"",$H81&lt;=EOMONTH(O$12,0),$I81&gt;=O$12),"UX+DEV","UX"),IF(AND($H81&lt;&gt;"",$H81&lt;=EOMONTH(O$12,0),$I81&gt;=O$12),"DEV",""))))</f>
      </c>
      <c r="P81" s="158" t="str">
        <f>IF($AI81="","",IF(AND($AN81&lt;&gt;"",$AN81&lt;=EOMONTH(P$12,0),$AO81&gt;=P$12),IF(AND(INDEX('Roadmap Calc (Don’t Touch)'!$AA$2:$AX$151,$AI81,COLUMN()-COLUMN($J$16)+1)&gt;0,OR($D81="03. UX Discovery",$D81="04. UX Design")),IF(AND($H81&lt;&gt;"",$H81&lt;=EOMONTH(P$12,0),$I81&gt;=P$12),"ALL","PD+UX"),IF(AND($H81&lt;&gt;"",$H81&lt;=EOMONTH(P$12,0),$I81&gt;=P$12),"PD+DEV","PD")),IF(AND(INDEX('Roadmap Calc (Don’t Touch)'!$AA$2:$AX$151,$AI81,COLUMN()-COLUMN($J$16)+1)&gt;0,OR($D81="03. UX Discovery",$D81="04. UX Design")),IF(AND($H81&lt;&gt;"",$H81&lt;=EOMONTH(P$12,0),$I81&gt;=P$12),"UX+DEV","UX"),IF(AND($H81&lt;&gt;"",$H81&lt;=EOMONTH(P$12,0),$I81&gt;=P$12),"DEV",""))))</f>
      </c>
      <c r="Q81" s="158" t="str">
        <f>IF($AI81="","",IF(AND($AN81&lt;&gt;"",$AN81&lt;=EOMONTH(Q$12,0),$AO81&gt;=Q$12),IF(AND(INDEX('Roadmap Calc (Don’t Touch)'!$AA$2:$AX$151,$AI81,COLUMN()-COLUMN($J$16)+1)&gt;0,OR($D81="03. UX Discovery",$D81="04. UX Design")),IF(AND($H81&lt;&gt;"",$H81&lt;=EOMONTH(Q$12,0),$I81&gt;=Q$12),"ALL","PD+UX"),IF(AND($H81&lt;&gt;"",$H81&lt;=EOMONTH(Q$12,0),$I81&gt;=Q$12),"PD+DEV","PD")),IF(AND(INDEX('Roadmap Calc (Don’t Touch)'!$AA$2:$AX$151,$AI81,COLUMN()-COLUMN($J$16)+1)&gt;0,OR($D81="03. UX Discovery",$D81="04. UX Design")),IF(AND($H81&lt;&gt;"",$H81&lt;=EOMONTH(Q$12,0),$I81&gt;=Q$12),"UX+DEV","UX"),IF(AND($H81&lt;&gt;"",$H81&lt;=EOMONTH(Q$12,0),$I81&gt;=Q$12),"DEV",""))))</f>
      </c>
      <c r="R81" s="158" t="str">
        <f>IF($AI81="","",IF(AND($AN81&lt;&gt;"",$AN81&lt;=EOMONTH(R$12,0),$AO81&gt;=R$12),IF(AND(INDEX('Roadmap Calc (Don’t Touch)'!$AA$2:$AX$151,$AI81,COLUMN()-COLUMN($J$16)+1)&gt;0,OR($D81="03. UX Discovery",$D81="04. UX Design")),IF(AND($H81&lt;&gt;"",$H81&lt;=EOMONTH(R$12,0),$I81&gt;=R$12),"ALL","PD+UX"),IF(AND($H81&lt;&gt;"",$H81&lt;=EOMONTH(R$12,0),$I81&gt;=R$12),"PD+DEV","PD")),IF(AND(INDEX('Roadmap Calc (Don’t Touch)'!$AA$2:$AX$151,$AI81,COLUMN()-COLUMN($J$16)+1)&gt;0,OR($D81="03. UX Discovery",$D81="04. UX Design")),IF(AND($H81&lt;&gt;"",$H81&lt;=EOMONTH(R$12,0),$I81&gt;=R$12),"UX+DEV","UX"),IF(AND($H81&lt;&gt;"",$H81&lt;=EOMONTH(R$12,0),$I81&gt;=R$12),"DEV",""))))</f>
      </c>
      <c r="S81" s="158" t="str">
        <f>IF($AI81="","",IF(AND($AN81&lt;&gt;"",$AN81&lt;=EOMONTH(S$12,0),$AO81&gt;=S$12),IF(AND(INDEX('Roadmap Calc (Don’t Touch)'!$AA$2:$AX$151,$AI81,COLUMN()-COLUMN($J$16)+1)&gt;0,OR($D81="03. UX Discovery",$D81="04. UX Design")),IF(AND($H81&lt;&gt;"",$H81&lt;=EOMONTH(S$12,0),$I81&gt;=S$12),"ALL","PD+UX"),IF(AND($H81&lt;&gt;"",$H81&lt;=EOMONTH(S$12,0),$I81&gt;=S$12),"PD+DEV","PD")),IF(AND(INDEX('Roadmap Calc (Don’t Touch)'!$AA$2:$AX$151,$AI81,COLUMN()-COLUMN($J$16)+1)&gt;0,OR($D81="03. UX Discovery",$D81="04. UX Design")),IF(AND($H81&lt;&gt;"",$H81&lt;=EOMONTH(S$12,0),$I81&gt;=S$12),"UX+DEV","UX"),IF(AND($H81&lt;&gt;"",$H81&lt;=EOMONTH(S$12,0),$I81&gt;=S$12),"DEV",""))))</f>
      </c>
      <c r="T81" s="158" t="str">
        <f>IF($AI81="","",IF(AND($AN81&lt;&gt;"",$AN81&lt;=EOMONTH(T$12,0),$AO81&gt;=T$12),IF(AND(INDEX('Roadmap Calc (Don’t Touch)'!$AA$2:$AX$151,$AI81,COLUMN()-COLUMN($J$16)+1)&gt;0,OR($D81="03. UX Discovery",$D81="04. UX Design")),IF(AND($H81&lt;&gt;"",$H81&lt;=EOMONTH(T$12,0),$I81&gt;=T$12),"ALL","PD+UX"),IF(AND($H81&lt;&gt;"",$H81&lt;=EOMONTH(T$12,0),$I81&gt;=T$12),"PD+DEV","PD")),IF(AND(INDEX('Roadmap Calc (Don’t Touch)'!$AA$2:$AX$151,$AI81,COLUMN()-COLUMN($J$16)+1)&gt;0,OR($D81="03. UX Discovery",$D81="04. UX Design")),IF(AND($H81&lt;&gt;"",$H81&lt;=EOMONTH(T$12,0),$I81&gt;=T$12),"UX+DEV","UX"),IF(AND($H81&lt;&gt;"",$H81&lt;=EOMONTH(T$12,0),$I81&gt;=T$12),"DEV",""))))</f>
      </c>
      <c r="U81" s="158" t="str">
        <f>IF($AI81="","",IF(AND($AN81&lt;&gt;"",$AN81&lt;=EOMONTH(U$12,0),$AO81&gt;=U$12),IF(AND(INDEX('Roadmap Calc (Don’t Touch)'!$AA$2:$AX$151,$AI81,COLUMN()-COLUMN($J$16)+1)&gt;0,OR($D81="03. UX Discovery",$D81="04. UX Design")),IF(AND($H81&lt;&gt;"",$H81&lt;=EOMONTH(U$12,0),$I81&gt;=U$12),"ALL","PD+UX"),IF(AND($H81&lt;&gt;"",$H81&lt;=EOMONTH(U$12,0),$I81&gt;=U$12),"PD+DEV","PD")),IF(AND(INDEX('Roadmap Calc (Don’t Touch)'!$AA$2:$AX$151,$AI81,COLUMN()-COLUMN($J$16)+1)&gt;0,OR($D81="03. UX Discovery",$D81="04. UX Design")),IF(AND($H81&lt;&gt;"",$H81&lt;=EOMONTH(U$12,0),$I81&gt;=U$12),"UX+DEV","UX"),IF(AND($H81&lt;&gt;"",$H81&lt;=EOMONTH(U$12,0),$I81&gt;=U$12),"DEV",""))))</f>
      </c>
      <c r="V81" s="158" t="str">
        <f>IF($AI81="","",IF(AND($AN81&lt;&gt;"",$AN81&lt;=EOMONTH(V$12,0),$AO81&gt;=V$12),IF(AND(INDEX('Roadmap Calc (Don’t Touch)'!$AA$2:$AX$151,$AI81,COLUMN()-COLUMN($J$16)+1)&gt;0,OR($D81="03. UX Discovery",$D81="04. UX Design")),IF(AND($H81&lt;&gt;"",$H81&lt;=EOMONTH(V$12,0),$I81&gt;=V$12),"ALL","PD+UX"),IF(AND($H81&lt;&gt;"",$H81&lt;=EOMONTH(V$12,0),$I81&gt;=V$12),"PD+DEV","PD")),IF(AND(INDEX('Roadmap Calc (Don’t Touch)'!$AA$2:$AX$151,$AI81,COLUMN()-COLUMN($J$16)+1)&gt;0,OR($D81="03. UX Discovery",$D81="04. UX Design")),IF(AND($H81&lt;&gt;"",$H81&lt;=EOMONTH(V$12,0),$I81&gt;=V$12),"UX+DEV","UX"),IF(AND($H81&lt;&gt;"",$H81&lt;=EOMONTH(V$12,0),$I81&gt;=V$12),"DEV",""))))</f>
      </c>
      <c r="W81" s="158" t="str">
        <f>IF($AI81="","",IF(AND($AN81&lt;&gt;"",$AN81&lt;=EOMONTH(W$12,0),$AO81&gt;=W$12),IF(AND(INDEX('Roadmap Calc (Don’t Touch)'!$AA$2:$AX$151,$AI81,COLUMN()-COLUMN($J$16)+1)&gt;0,OR($D81="03. UX Discovery",$D81="04. UX Design")),IF(AND($H81&lt;&gt;"",$H81&lt;=EOMONTH(W$12,0),$I81&gt;=W$12),"ALL","PD+UX"),IF(AND($H81&lt;&gt;"",$H81&lt;=EOMONTH(W$12,0),$I81&gt;=W$12),"PD+DEV","PD")),IF(AND(INDEX('Roadmap Calc (Don’t Touch)'!$AA$2:$AX$151,$AI81,COLUMN()-COLUMN($J$16)+1)&gt;0,OR($D81="03. UX Discovery",$D81="04. UX Design")),IF(AND($H81&lt;&gt;"",$H81&lt;=EOMONTH(W$12,0),$I81&gt;=W$12),"UX+DEV","UX"),IF(AND($H81&lt;&gt;"",$H81&lt;=EOMONTH(W$12,0),$I81&gt;=W$12),"DEV",""))))</f>
      </c>
      <c r="X81" s="158" t="str">
        <f>IF($AI81="","",IF(AND($AN81&lt;&gt;"",$AN81&lt;=EOMONTH(X$12,0),$AO81&gt;=X$12),IF(AND(INDEX('Roadmap Calc (Don’t Touch)'!$AA$2:$AX$151,$AI81,COLUMN()-COLUMN($J$16)+1)&gt;0,OR($D81="03. UX Discovery",$D81="04. UX Design")),IF(AND($H81&lt;&gt;"",$H81&lt;=EOMONTH(X$12,0),$I81&gt;=X$12),"ALL","PD+UX"),IF(AND($H81&lt;&gt;"",$H81&lt;=EOMONTH(X$12,0),$I81&gt;=X$12),"PD+DEV","PD")),IF(AND(INDEX('Roadmap Calc (Don’t Touch)'!$AA$2:$AX$151,$AI81,COLUMN()-COLUMN($J$16)+1)&gt;0,OR($D81="03. UX Discovery",$D81="04. UX Design")),IF(AND($H81&lt;&gt;"",$H81&lt;=EOMONTH(X$12,0),$I81&gt;=X$12),"UX+DEV","UX"),IF(AND($H81&lt;&gt;"",$H81&lt;=EOMONTH(X$12,0),$I81&gt;=X$12),"DEV",""))))</f>
      </c>
      <c r="Y81" s="158" t="str">
        <f>IF($AI81="","",IF(AND($AN81&lt;&gt;"",$AN81&lt;=EOMONTH(Y$12,0),$AO81&gt;=Y$12),IF(AND(INDEX('Roadmap Calc (Don’t Touch)'!$AA$2:$AX$151,$AI81,COLUMN()-COLUMN($J$16)+1)&gt;0,OR($D81="03. UX Discovery",$D81="04. UX Design")),IF(AND($H81&lt;&gt;"",$H81&lt;=EOMONTH(Y$12,0),$I81&gt;=Y$12),"ALL","PD+UX"),IF(AND($H81&lt;&gt;"",$H81&lt;=EOMONTH(Y$12,0),$I81&gt;=Y$12),"PD+DEV","PD")),IF(AND(INDEX('Roadmap Calc (Don’t Touch)'!$AA$2:$AX$151,$AI81,COLUMN()-COLUMN($J$16)+1)&gt;0,OR($D81="03. UX Discovery",$D81="04. UX Design")),IF(AND($H81&lt;&gt;"",$H81&lt;=EOMONTH(Y$12,0),$I81&gt;=Y$12),"UX+DEV","UX"),IF(AND($H81&lt;&gt;"",$H81&lt;=EOMONTH(Y$12,0),$I81&gt;=Y$12),"DEV",""))))</f>
      </c>
      <c r="Z81" s="158" t="str">
        <f>IF($AI81="","",IF(AND($AN81&lt;&gt;"",$AN81&lt;=EOMONTH(Z$12,0),$AO81&gt;=Z$12),IF(AND(INDEX('Roadmap Calc (Don’t Touch)'!$AA$2:$AX$151,$AI81,COLUMN()-COLUMN($J$16)+1)&gt;0,OR($D81="03. UX Discovery",$D81="04. UX Design")),IF(AND($H81&lt;&gt;"",$H81&lt;=EOMONTH(Z$12,0),$I81&gt;=Z$12),"ALL","PD+UX"),IF(AND($H81&lt;&gt;"",$H81&lt;=EOMONTH(Z$12,0),$I81&gt;=Z$12),"PD+DEV","PD")),IF(AND(INDEX('Roadmap Calc (Don’t Touch)'!$AA$2:$AX$151,$AI81,COLUMN()-COLUMN($J$16)+1)&gt;0,OR($D81="03. UX Discovery",$D81="04. UX Design")),IF(AND($H81&lt;&gt;"",$H81&lt;=EOMONTH(Z$12,0),$I81&gt;=Z$12),"UX+DEV","UX"),IF(AND($H81&lt;&gt;"",$H81&lt;=EOMONTH(Z$12,0),$I81&gt;=Z$12),"DEV",""))))</f>
      </c>
      <c r="AA81" s="158" t="str">
        <f>IF($AI81="","",IF(AND($AN81&lt;&gt;"",$AN81&lt;=EOMONTH(AA$12,0),$AO81&gt;=AA$12),IF(AND(INDEX('Roadmap Calc (Don’t Touch)'!$AA$2:$AX$151,$AI81,COLUMN()-COLUMN($J$16)+1)&gt;0,OR($D81="03. UX Discovery",$D81="04. UX Design")),IF(AND($H81&lt;&gt;"",$H81&lt;=EOMONTH(AA$12,0),$I81&gt;=AA$12),"ALL","PD+UX"),IF(AND($H81&lt;&gt;"",$H81&lt;=EOMONTH(AA$12,0),$I81&gt;=AA$12),"PD+DEV","PD")),IF(AND(INDEX('Roadmap Calc (Don’t Touch)'!$AA$2:$AX$151,$AI81,COLUMN()-COLUMN($J$16)+1)&gt;0,OR($D81="03. UX Discovery",$D81="04. UX Design")),IF(AND($H81&lt;&gt;"",$H81&lt;=EOMONTH(AA$12,0),$I81&gt;=AA$12),"UX+DEV","UX"),IF(AND($H81&lt;&gt;"",$H81&lt;=EOMONTH(AA$12,0),$I81&gt;=AA$12),"DEV",""))))</f>
      </c>
      <c r="AB81" s="158" t="str">
        <f>IF($AI81="","",IF(AND($AN81&lt;&gt;"",$AN81&lt;=EOMONTH(AB$12,0),$AO81&gt;=AB$12),IF(AND(INDEX('Roadmap Calc (Don’t Touch)'!$AA$2:$AX$151,$AI81,COLUMN()-COLUMN($J$16)+1)&gt;0,OR($D81="03. UX Discovery",$D81="04. UX Design")),IF(AND($H81&lt;&gt;"",$H81&lt;=EOMONTH(AB$12,0),$I81&gt;=AB$12),"ALL","PD+UX"),IF(AND($H81&lt;&gt;"",$H81&lt;=EOMONTH(AB$12,0),$I81&gt;=AB$12),"PD+DEV","PD")),IF(AND(INDEX('Roadmap Calc (Don’t Touch)'!$AA$2:$AX$151,$AI81,COLUMN()-COLUMN($J$16)+1)&gt;0,OR($D81="03. UX Discovery",$D81="04. UX Design")),IF(AND($H81&lt;&gt;"",$H81&lt;=EOMONTH(AB$12,0),$I81&gt;=AB$12),"UX+DEV","UX"),IF(AND($H81&lt;&gt;"",$H81&lt;=EOMONTH(AB$12,0),$I81&gt;=AB$12),"DEV",""))))</f>
      </c>
      <c r="AC81" s="158" t="str">
        <f>IF($AI81="","",IF(AND($AN81&lt;&gt;"",$AN81&lt;=EOMONTH(AC$12,0),$AO81&gt;=AC$12),IF(AND(INDEX('Roadmap Calc (Don’t Touch)'!$AA$2:$AX$151,$AI81,COLUMN()-COLUMN($J$16)+1)&gt;0,OR($D81="03. UX Discovery",$D81="04. UX Design")),IF(AND($H81&lt;&gt;"",$H81&lt;=EOMONTH(AC$12,0),$I81&gt;=AC$12),"ALL","PD+UX"),IF(AND($H81&lt;&gt;"",$H81&lt;=EOMONTH(AC$12,0),$I81&gt;=AC$12),"PD+DEV","PD")),IF(AND(INDEX('Roadmap Calc (Don’t Touch)'!$AA$2:$AX$151,$AI81,COLUMN()-COLUMN($J$16)+1)&gt;0,OR($D81="03. UX Discovery",$D81="04. UX Design")),IF(AND($H81&lt;&gt;"",$H81&lt;=EOMONTH(AC$12,0),$I81&gt;=AC$12),"UX+DEV","UX"),IF(AND($H81&lt;&gt;"",$H81&lt;=EOMONTH(AC$12,0),$I81&gt;=AC$12),"DEV",""))))</f>
      </c>
      <c r="AD81" s="158" t="str">
        <f>IF($AI81="","",IF(AND($AN81&lt;&gt;"",$AN81&lt;=EOMONTH(AD$12,0),$AO81&gt;=AD$12),IF(AND(INDEX('Roadmap Calc (Don’t Touch)'!$AA$2:$AX$151,$AI81,COLUMN()-COLUMN($J$16)+1)&gt;0,OR($D81="03. UX Discovery",$D81="04. UX Design")),IF(AND($H81&lt;&gt;"",$H81&lt;=EOMONTH(AD$12,0),$I81&gt;=AD$12),"ALL","PD+UX"),IF(AND($H81&lt;&gt;"",$H81&lt;=EOMONTH(AD$12,0),$I81&gt;=AD$12),"PD+DEV","PD")),IF(AND(INDEX('Roadmap Calc (Don’t Touch)'!$AA$2:$AX$151,$AI81,COLUMN()-COLUMN($J$16)+1)&gt;0,OR($D81="03. UX Discovery",$D81="04. UX Design")),IF(AND($H81&lt;&gt;"",$H81&lt;=EOMONTH(AD$12,0),$I81&gt;=AD$12),"UX+DEV","UX"),IF(AND($H81&lt;&gt;"",$H81&lt;=EOMONTH(AD$12,0),$I81&gt;=AD$12),"DEV",""))))</f>
      </c>
      <c r="AE81" s="158" t="str">
        <f>IF($AI81="","",IF(AND($AN81&lt;&gt;"",$AN81&lt;=EOMONTH(AE$12,0),$AO81&gt;=AE$12),IF(AND(INDEX('Roadmap Calc (Don’t Touch)'!$AA$2:$AX$151,$AI81,COLUMN()-COLUMN($J$16)+1)&gt;0,OR($D81="03. UX Discovery",$D81="04. UX Design")),IF(AND($H81&lt;&gt;"",$H81&lt;=EOMONTH(AE$12,0),$I81&gt;=AE$12),"ALL","PD+UX"),IF(AND($H81&lt;&gt;"",$H81&lt;=EOMONTH(AE$12,0),$I81&gt;=AE$12),"PD+DEV","PD")),IF(AND(INDEX('Roadmap Calc (Don’t Touch)'!$AA$2:$AX$151,$AI81,COLUMN()-COLUMN($J$16)+1)&gt;0,OR($D81="03. UX Discovery",$D81="04. UX Design")),IF(AND($H81&lt;&gt;"",$H81&lt;=EOMONTH(AE$12,0),$I81&gt;=AE$12),"UX+DEV","UX"),IF(AND($H81&lt;&gt;"",$H81&lt;=EOMONTH(AE$12,0),$I81&gt;=AE$12),"DEV",""))))</f>
      </c>
      <c r="AF81" s="158" t="str">
        <f>IF($AI81="","",IF(AND($AN81&lt;&gt;"",$AN81&lt;=EOMONTH(AF$12,0),$AO81&gt;=AF$12),IF(AND(INDEX('Roadmap Calc (Don’t Touch)'!$AA$2:$AX$151,$AI81,COLUMN()-COLUMN($J$16)+1)&gt;0,OR($D81="03. UX Discovery",$D81="04. UX Design")),IF(AND($H81&lt;&gt;"",$H81&lt;=EOMONTH(AF$12,0),$I81&gt;=AF$12),"ALL","PD+UX"),IF(AND($H81&lt;&gt;"",$H81&lt;=EOMONTH(AF$12,0),$I81&gt;=AF$12),"PD+DEV","PD")),IF(AND(INDEX('Roadmap Calc (Don’t Touch)'!$AA$2:$AX$151,$AI81,COLUMN()-COLUMN($J$16)+1)&gt;0,OR($D81="03. UX Discovery",$D81="04. UX Design")),IF(AND($H81&lt;&gt;"",$H81&lt;=EOMONTH(AF$12,0),$I81&gt;=AF$12),"UX+DEV","UX"),IF(AND($H81&lt;&gt;"",$H81&lt;=EOMONTH(AF$12,0),$I81&gt;=AF$12),"DEV",""))))</f>
      </c>
      <c r="AG81" s="158" t="str">
        <f>IF($AI81="","",IF(AND($AN81&lt;&gt;"",$AN81&lt;=EOMONTH(AG$12,0),$AO81&gt;=AG$12),IF(AND(INDEX('Roadmap Calc (Don’t Touch)'!$AA$2:$AX$151,$AI81,COLUMN()-COLUMN($J$16)+1)&gt;0,OR($D81="03. UX Discovery",$D81="04. UX Design")),IF(AND($H81&lt;&gt;"",$H81&lt;=EOMONTH(AG$12,0),$I81&gt;=AG$12),"ALL","PD+UX"),IF(AND($H81&lt;&gt;"",$H81&lt;=EOMONTH(AG$12,0),$I81&gt;=AG$12),"PD+DEV","PD")),IF(AND(INDEX('Roadmap Calc (Don’t Touch)'!$AA$2:$AX$151,$AI81,COLUMN()-COLUMN($J$16)+1)&gt;0,OR($D81="03. UX Discovery",$D81="04. UX Design")),IF(AND($H81&lt;&gt;"",$H81&lt;=EOMONTH(AG$12,0),$I81&gt;=AG$12),"UX+DEV","UX"),IF(AND($H81&lt;&gt;"",$H81&lt;=EOMONTH(AG$12,0),$I81&gt;=AG$12),"DEV",""))))</f>
      </c>
      <c r="AH81" s="145" t="str">
        <f>IF($AI81="","",INDEX('Roadmap Calc (Don’t Touch)'!$D$2:$D$151,$AI81))</f>
        <v/>
      </c>
      <c r="AI81" s="145" t="str">
        <f>IFERROR(MATCH(66,'Roadmap Calc (Don’t Touch)'!$O$2:$O$151,0),"")</f>
        <v/>
      </c>
      <c r="AJ81" s="145"/>
      <c r="AK81" s="145"/>
      <c r="AL81" s="145"/>
      <c r="AM81" s="145"/>
      <c r="AN81">
        <f>IF($AI81="","",IF(ISNUMBER(INDEX('Roadmap Calc (Don’t Touch)'!$BB$2:$BB$151,$AI81)),INDEX('Roadmap Calc (Don’t Touch)'!$BB$2:$BB$151,$AI81),""))</f>
      </c>
      <c r="AO81">
        <f>IF($AI81="","",IF(ISNUMBER(INDEX('Roadmap Calc (Don’t Touch)'!$BC$2:$BC$151,$AI81)),INDEX('Roadmap Calc (Don’t Touch)'!$BC$2:$BC$151,$AI81),""))</f>
      </c>
    </row>
    <row r="82" spans="1:41" ht="17" customHeight="1" x14ac:dyDescent="0.25">
      <c r="A82" s="152" t="str">
        <f>IF($AI82="","",IF($AH82=$AH81,"",IF(INDEX('Roadmap Calc (Don’t Touch)'!$U$2:$U$151,$AI82)=0,$AH82,HYPERLINK("#'Control (Don’t Touch)'!E"&amp;INDEX('Roadmap Calc (Don’t Touch)'!$U$2:$U$151,$AI82),$AH82))))</f>
        <v/>
      </c>
      <c r="B82" s="153" t="str">
        <f>IF($AI82="","",IF(INDEX('Roadmap Calc (Don’t Touch)'!$K$2:$K$151,$AI82)="",INDEX('Roadmap Calc (Don’t Touch)'!$B$2:$B$151,$AI82),HYPERLINK("https://jira.bnh.com/browse/"&amp;INDEX('Roadmap Calc (Don’t Touch)'!$K$2:$K$151,$AI82),INDEX('Roadmap Calc (Don’t Touch)'!$B$2:$B$151,$AI82))))</f>
        <v/>
      </c>
      <c r="C82" s="153" t="str">
        <f>IF($AI82="","",IF(INDEX('Roadmap Calc (Don’t Touch)'!$E$2:$E$151,$AI82)="","",HYPERLINK("https://jira.bnh.com/browse/"&amp;INDEX('Roadmap Calc (Don’t Touch)'!$E$2:$E$151,$AI82),INDEX('Roadmap Calc (Don’t Touch)'!$E$2:$E$151,$AI82))))</f>
        <v/>
      </c>
      <c r="D82" s="154" t="str">
        <f>IF($AI82="","",INDEX('Roadmap Calc (Don’t Touch)'!$F$2:$F$151,$AI82))</f>
        <v/>
      </c>
      <c r="E82" s="155" t="str">
        <f>IF($AI82="","",IF(ISNUMBER(INDEX('Roadmap Calc (Don’t Touch)'!$G$2:$G$151,$AI82)),INDEX('Roadmap Calc (Don’t Touch)'!$G$2:$G$151,$AI82),""))</f>
        <v/>
      </c>
      <c r="F82" s="155" t="str">
        <f>IF($AI82="","",IF(ISNUMBER(INDEX('Roadmap Calc (Don’t Touch)'!$H$2:$H$151,$AI82)),INDEX('Roadmap Calc (Don’t Touch)'!$H$2:$H$151,$AI82),""))</f>
        <v/>
      </c>
      <c r="G82" s="156" t="str">
        <f>IF($AI82="","",INDEX('Roadmap Calc (Don’t Touch)'!$T$2:$T$151,$AI82))</f>
        <v/>
      </c>
      <c r="H82" s="157" t="str">
        <f>IF($AI82="","",IF(ISNUMBER(INDEX('Roadmap Calc (Don’t Touch)'!$I$2:$I$151,$AI82)),INDEX('Roadmap Calc (Don’t Touch)'!$I$2:$I$151,$AI82),""))</f>
        <v/>
      </c>
      <c r="I82" s="157" t="str">
        <f>IF($AI82="","",IF(ISNUMBER(INDEX('Roadmap Calc (Don’t Touch)'!$J$2:$J$151,$AI82)),INDEX('Roadmap Calc (Don’t Touch)'!$J$2:$J$151,$AI82),""))</f>
        <v/>
      </c>
      <c r="J82" s="158" t="str">
        <f>IF($AI82="","",IF(AND($AN82&lt;&gt;"",$AN82&lt;=EOMONTH(J$12,0),$AO82&gt;=J$12),IF(AND(INDEX('Roadmap Calc (Don’t Touch)'!$AA$2:$AX$151,$AI82,COLUMN()-COLUMN($J$16)+1)&gt;0,OR($D82="03. UX Discovery",$D82="04. UX Design")),IF(AND($H82&lt;&gt;"",$H82&lt;=EOMONTH(J$12,0),$I82&gt;=J$12),"ALL","PD+UX"),IF(AND($H82&lt;&gt;"",$H82&lt;=EOMONTH(J$12,0),$I82&gt;=J$12),"PD+DEV","PD")),IF(AND(INDEX('Roadmap Calc (Don’t Touch)'!$AA$2:$AX$151,$AI82,COLUMN()-COLUMN($J$16)+1)&gt;0,OR($D82="03. UX Discovery",$D82="04. UX Design")),IF(AND($H82&lt;&gt;"",$H82&lt;=EOMONTH(J$12,0),$I82&gt;=J$12),"UX+DEV","UX"),IF(AND($H82&lt;&gt;"",$H82&lt;=EOMONTH(J$12,0),$I82&gt;=J$12),"DEV",""))))</f>
      </c>
      <c r="K82" s="158" t="str">
        <f>IF($AI82="","",IF(AND($AN82&lt;&gt;"",$AN82&lt;=EOMONTH(K$12,0),$AO82&gt;=K$12),IF(AND(INDEX('Roadmap Calc (Don’t Touch)'!$AA$2:$AX$151,$AI82,COLUMN()-COLUMN($J$16)+1)&gt;0,OR($D82="03. UX Discovery",$D82="04. UX Design")),IF(AND($H82&lt;&gt;"",$H82&lt;=EOMONTH(K$12,0),$I82&gt;=K$12),"ALL","PD+UX"),IF(AND($H82&lt;&gt;"",$H82&lt;=EOMONTH(K$12,0),$I82&gt;=K$12),"PD+DEV","PD")),IF(AND(INDEX('Roadmap Calc (Don’t Touch)'!$AA$2:$AX$151,$AI82,COLUMN()-COLUMN($J$16)+1)&gt;0,OR($D82="03. UX Discovery",$D82="04. UX Design")),IF(AND($H82&lt;&gt;"",$H82&lt;=EOMONTH(K$12,0),$I82&gt;=K$12),"UX+DEV","UX"),IF(AND($H82&lt;&gt;"",$H82&lt;=EOMONTH(K$12,0),$I82&gt;=K$12),"DEV",""))))</f>
      </c>
      <c r="L82" s="158" t="str">
        <f>IF($AI82="","",IF(AND($AN82&lt;&gt;"",$AN82&lt;=EOMONTH(L$12,0),$AO82&gt;=L$12),IF(AND(INDEX('Roadmap Calc (Don’t Touch)'!$AA$2:$AX$151,$AI82,COLUMN()-COLUMN($J$16)+1)&gt;0,OR($D82="03. UX Discovery",$D82="04. UX Design")),IF(AND($H82&lt;&gt;"",$H82&lt;=EOMONTH(L$12,0),$I82&gt;=L$12),"ALL","PD+UX"),IF(AND($H82&lt;&gt;"",$H82&lt;=EOMONTH(L$12,0),$I82&gt;=L$12),"PD+DEV","PD")),IF(AND(INDEX('Roadmap Calc (Don’t Touch)'!$AA$2:$AX$151,$AI82,COLUMN()-COLUMN($J$16)+1)&gt;0,OR($D82="03. UX Discovery",$D82="04. UX Design")),IF(AND($H82&lt;&gt;"",$H82&lt;=EOMONTH(L$12,0),$I82&gt;=L$12),"UX+DEV","UX"),IF(AND($H82&lt;&gt;"",$H82&lt;=EOMONTH(L$12,0),$I82&gt;=L$12),"DEV",""))))</f>
      </c>
      <c r="M82" s="158" t="str">
        <f>IF($AI82="","",IF(AND($AN82&lt;&gt;"",$AN82&lt;=EOMONTH(M$12,0),$AO82&gt;=M$12),IF(AND(INDEX('Roadmap Calc (Don’t Touch)'!$AA$2:$AX$151,$AI82,COLUMN()-COLUMN($J$16)+1)&gt;0,OR($D82="03. UX Discovery",$D82="04. UX Design")),IF(AND($H82&lt;&gt;"",$H82&lt;=EOMONTH(M$12,0),$I82&gt;=M$12),"ALL","PD+UX"),IF(AND($H82&lt;&gt;"",$H82&lt;=EOMONTH(M$12,0),$I82&gt;=M$12),"PD+DEV","PD")),IF(AND(INDEX('Roadmap Calc (Don’t Touch)'!$AA$2:$AX$151,$AI82,COLUMN()-COLUMN($J$16)+1)&gt;0,OR($D82="03. UX Discovery",$D82="04. UX Design")),IF(AND($H82&lt;&gt;"",$H82&lt;=EOMONTH(M$12,0),$I82&gt;=M$12),"UX+DEV","UX"),IF(AND($H82&lt;&gt;"",$H82&lt;=EOMONTH(M$12,0),$I82&gt;=M$12),"DEV",""))))</f>
      </c>
      <c r="N82" s="158" t="str">
        <f>IF($AI82="","",IF(AND($AN82&lt;&gt;"",$AN82&lt;=EOMONTH(N$12,0),$AO82&gt;=N$12),IF(AND(INDEX('Roadmap Calc (Don’t Touch)'!$AA$2:$AX$151,$AI82,COLUMN()-COLUMN($J$16)+1)&gt;0,OR($D82="03. UX Discovery",$D82="04. UX Design")),IF(AND($H82&lt;&gt;"",$H82&lt;=EOMONTH(N$12,0),$I82&gt;=N$12),"ALL","PD+UX"),IF(AND($H82&lt;&gt;"",$H82&lt;=EOMONTH(N$12,0),$I82&gt;=N$12),"PD+DEV","PD")),IF(AND(INDEX('Roadmap Calc (Don’t Touch)'!$AA$2:$AX$151,$AI82,COLUMN()-COLUMN($J$16)+1)&gt;0,OR($D82="03. UX Discovery",$D82="04. UX Design")),IF(AND($H82&lt;&gt;"",$H82&lt;=EOMONTH(N$12,0),$I82&gt;=N$12),"UX+DEV","UX"),IF(AND($H82&lt;&gt;"",$H82&lt;=EOMONTH(N$12,0),$I82&gt;=N$12),"DEV",""))))</f>
      </c>
      <c r="O82" s="158" t="str">
        <f>IF($AI82="","",IF(AND($AN82&lt;&gt;"",$AN82&lt;=EOMONTH(O$12,0),$AO82&gt;=O$12),IF(AND(INDEX('Roadmap Calc (Don’t Touch)'!$AA$2:$AX$151,$AI82,COLUMN()-COLUMN($J$16)+1)&gt;0,OR($D82="03. UX Discovery",$D82="04. UX Design")),IF(AND($H82&lt;&gt;"",$H82&lt;=EOMONTH(O$12,0),$I82&gt;=O$12),"ALL","PD+UX"),IF(AND($H82&lt;&gt;"",$H82&lt;=EOMONTH(O$12,0),$I82&gt;=O$12),"PD+DEV","PD")),IF(AND(INDEX('Roadmap Calc (Don’t Touch)'!$AA$2:$AX$151,$AI82,COLUMN()-COLUMN($J$16)+1)&gt;0,OR($D82="03. UX Discovery",$D82="04. UX Design")),IF(AND($H82&lt;&gt;"",$H82&lt;=EOMONTH(O$12,0),$I82&gt;=O$12),"UX+DEV","UX"),IF(AND($H82&lt;&gt;"",$H82&lt;=EOMONTH(O$12,0),$I82&gt;=O$12),"DEV",""))))</f>
      </c>
      <c r="P82" s="158" t="str">
        <f>IF($AI82="","",IF(AND($AN82&lt;&gt;"",$AN82&lt;=EOMONTH(P$12,0),$AO82&gt;=P$12),IF(AND(INDEX('Roadmap Calc (Don’t Touch)'!$AA$2:$AX$151,$AI82,COLUMN()-COLUMN($J$16)+1)&gt;0,OR($D82="03. UX Discovery",$D82="04. UX Design")),IF(AND($H82&lt;&gt;"",$H82&lt;=EOMONTH(P$12,0),$I82&gt;=P$12),"ALL","PD+UX"),IF(AND($H82&lt;&gt;"",$H82&lt;=EOMONTH(P$12,0),$I82&gt;=P$12),"PD+DEV","PD")),IF(AND(INDEX('Roadmap Calc (Don’t Touch)'!$AA$2:$AX$151,$AI82,COLUMN()-COLUMN($J$16)+1)&gt;0,OR($D82="03. UX Discovery",$D82="04. UX Design")),IF(AND($H82&lt;&gt;"",$H82&lt;=EOMONTH(P$12,0),$I82&gt;=P$12),"UX+DEV","UX"),IF(AND($H82&lt;&gt;"",$H82&lt;=EOMONTH(P$12,0),$I82&gt;=P$12),"DEV",""))))</f>
      </c>
      <c r="Q82" s="158" t="str">
        <f>IF($AI82="","",IF(AND($AN82&lt;&gt;"",$AN82&lt;=EOMONTH(Q$12,0),$AO82&gt;=Q$12),IF(AND(INDEX('Roadmap Calc (Don’t Touch)'!$AA$2:$AX$151,$AI82,COLUMN()-COLUMN($J$16)+1)&gt;0,OR($D82="03. UX Discovery",$D82="04. UX Design")),IF(AND($H82&lt;&gt;"",$H82&lt;=EOMONTH(Q$12,0),$I82&gt;=Q$12),"ALL","PD+UX"),IF(AND($H82&lt;&gt;"",$H82&lt;=EOMONTH(Q$12,0),$I82&gt;=Q$12),"PD+DEV","PD")),IF(AND(INDEX('Roadmap Calc (Don’t Touch)'!$AA$2:$AX$151,$AI82,COLUMN()-COLUMN($J$16)+1)&gt;0,OR($D82="03. UX Discovery",$D82="04. UX Design")),IF(AND($H82&lt;&gt;"",$H82&lt;=EOMONTH(Q$12,0),$I82&gt;=Q$12),"UX+DEV","UX"),IF(AND($H82&lt;&gt;"",$H82&lt;=EOMONTH(Q$12,0),$I82&gt;=Q$12),"DEV",""))))</f>
      </c>
      <c r="R82" s="158" t="str">
        <f>IF($AI82="","",IF(AND($AN82&lt;&gt;"",$AN82&lt;=EOMONTH(R$12,0),$AO82&gt;=R$12),IF(AND(INDEX('Roadmap Calc (Don’t Touch)'!$AA$2:$AX$151,$AI82,COLUMN()-COLUMN($J$16)+1)&gt;0,OR($D82="03. UX Discovery",$D82="04. UX Design")),IF(AND($H82&lt;&gt;"",$H82&lt;=EOMONTH(R$12,0),$I82&gt;=R$12),"ALL","PD+UX"),IF(AND($H82&lt;&gt;"",$H82&lt;=EOMONTH(R$12,0),$I82&gt;=R$12),"PD+DEV","PD")),IF(AND(INDEX('Roadmap Calc (Don’t Touch)'!$AA$2:$AX$151,$AI82,COLUMN()-COLUMN($J$16)+1)&gt;0,OR($D82="03. UX Discovery",$D82="04. UX Design")),IF(AND($H82&lt;&gt;"",$H82&lt;=EOMONTH(R$12,0),$I82&gt;=R$12),"UX+DEV","UX"),IF(AND($H82&lt;&gt;"",$H82&lt;=EOMONTH(R$12,0),$I82&gt;=R$12),"DEV",""))))</f>
      </c>
      <c r="S82" s="158" t="str">
        <f>IF($AI82="","",IF(AND($AN82&lt;&gt;"",$AN82&lt;=EOMONTH(S$12,0),$AO82&gt;=S$12),IF(AND(INDEX('Roadmap Calc (Don’t Touch)'!$AA$2:$AX$151,$AI82,COLUMN()-COLUMN($J$16)+1)&gt;0,OR($D82="03. UX Discovery",$D82="04. UX Design")),IF(AND($H82&lt;&gt;"",$H82&lt;=EOMONTH(S$12,0),$I82&gt;=S$12),"ALL","PD+UX"),IF(AND($H82&lt;&gt;"",$H82&lt;=EOMONTH(S$12,0),$I82&gt;=S$12),"PD+DEV","PD")),IF(AND(INDEX('Roadmap Calc (Don’t Touch)'!$AA$2:$AX$151,$AI82,COLUMN()-COLUMN($J$16)+1)&gt;0,OR($D82="03. UX Discovery",$D82="04. UX Design")),IF(AND($H82&lt;&gt;"",$H82&lt;=EOMONTH(S$12,0),$I82&gt;=S$12),"UX+DEV","UX"),IF(AND($H82&lt;&gt;"",$H82&lt;=EOMONTH(S$12,0),$I82&gt;=S$12),"DEV",""))))</f>
      </c>
      <c r="T82" s="158" t="str">
        <f>IF($AI82="","",IF(AND($AN82&lt;&gt;"",$AN82&lt;=EOMONTH(T$12,0),$AO82&gt;=T$12),IF(AND(INDEX('Roadmap Calc (Don’t Touch)'!$AA$2:$AX$151,$AI82,COLUMN()-COLUMN($J$16)+1)&gt;0,OR($D82="03. UX Discovery",$D82="04. UX Design")),IF(AND($H82&lt;&gt;"",$H82&lt;=EOMONTH(T$12,0),$I82&gt;=T$12),"ALL","PD+UX"),IF(AND($H82&lt;&gt;"",$H82&lt;=EOMONTH(T$12,0),$I82&gt;=T$12),"PD+DEV","PD")),IF(AND(INDEX('Roadmap Calc (Don’t Touch)'!$AA$2:$AX$151,$AI82,COLUMN()-COLUMN($J$16)+1)&gt;0,OR($D82="03. UX Discovery",$D82="04. UX Design")),IF(AND($H82&lt;&gt;"",$H82&lt;=EOMONTH(T$12,0),$I82&gt;=T$12),"UX+DEV","UX"),IF(AND($H82&lt;&gt;"",$H82&lt;=EOMONTH(T$12,0),$I82&gt;=T$12),"DEV",""))))</f>
      </c>
      <c r="U82" s="158" t="str">
        <f>IF($AI82="","",IF(AND($AN82&lt;&gt;"",$AN82&lt;=EOMONTH(U$12,0),$AO82&gt;=U$12),IF(AND(INDEX('Roadmap Calc (Don’t Touch)'!$AA$2:$AX$151,$AI82,COLUMN()-COLUMN($J$16)+1)&gt;0,OR($D82="03. UX Discovery",$D82="04. UX Design")),IF(AND($H82&lt;&gt;"",$H82&lt;=EOMONTH(U$12,0),$I82&gt;=U$12),"ALL","PD+UX"),IF(AND($H82&lt;&gt;"",$H82&lt;=EOMONTH(U$12,0),$I82&gt;=U$12),"PD+DEV","PD")),IF(AND(INDEX('Roadmap Calc (Don’t Touch)'!$AA$2:$AX$151,$AI82,COLUMN()-COLUMN($J$16)+1)&gt;0,OR($D82="03. UX Discovery",$D82="04. UX Design")),IF(AND($H82&lt;&gt;"",$H82&lt;=EOMONTH(U$12,0),$I82&gt;=U$12),"UX+DEV","UX"),IF(AND($H82&lt;&gt;"",$H82&lt;=EOMONTH(U$12,0),$I82&gt;=U$12),"DEV",""))))</f>
      </c>
      <c r="V82" s="158" t="str">
        <f>IF($AI82="","",IF(AND($AN82&lt;&gt;"",$AN82&lt;=EOMONTH(V$12,0),$AO82&gt;=V$12),IF(AND(INDEX('Roadmap Calc (Don’t Touch)'!$AA$2:$AX$151,$AI82,COLUMN()-COLUMN($J$16)+1)&gt;0,OR($D82="03. UX Discovery",$D82="04. UX Design")),IF(AND($H82&lt;&gt;"",$H82&lt;=EOMONTH(V$12,0),$I82&gt;=V$12),"ALL","PD+UX"),IF(AND($H82&lt;&gt;"",$H82&lt;=EOMONTH(V$12,0),$I82&gt;=V$12),"PD+DEV","PD")),IF(AND(INDEX('Roadmap Calc (Don’t Touch)'!$AA$2:$AX$151,$AI82,COLUMN()-COLUMN($J$16)+1)&gt;0,OR($D82="03. UX Discovery",$D82="04. UX Design")),IF(AND($H82&lt;&gt;"",$H82&lt;=EOMONTH(V$12,0),$I82&gt;=V$12),"UX+DEV","UX"),IF(AND($H82&lt;&gt;"",$H82&lt;=EOMONTH(V$12,0),$I82&gt;=V$12),"DEV",""))))</f>
      </c>
      <c r="W82" s="158" t="str">
        <f>IF($AI82="","",IF(AND($AN82&lt;&gt;"",$AN82&lt;=EOMONTH(W$12,0),$AO82&gt;=W$12),IF(AND(INDEX('Roadmap Calc (Don’t Touch)'!$AA$2:$AX$151,$AI82,COLUMN()-COLUMN($J$16)+1)&gt;0,OR($D82="03. UX Discovery",$D82="04. UX Design")),IF(AND($H82&lt;&gt;"",$H82&lt;=EOMONTH(W$12,0),$I82&gt;=W$12),"ALL","PD+UX"),IF(AND($H82&lt;&gt;"",$H82&lt;=EOMONTH(W$12,0),$I82&gt;=W$12),"PD+DEV","PD")),IF(AND(INDEX('Roadmap Calc (Don’t Touch)'!$AA$2:$AX$151,$AI82,COLUMN()-COLUMN($J$16)+1)&gt;0,OR($D82="03. UX Discovery",$D82="04. UX Design")),IF(AND($H82&lt;&gt;"",$H82&lt;=EOMONTH(W$12,0),$I82&gt;=W$12),"UX+DEV","UX"),IF(AND($H82&lt;&gt;"",$H82&lt;=EOMONTH(W$12,0),$I82&gt;=W$12),"DEV",""))))</f>
      </c>
      <c r="X82" s="158" t="str">
        <f>IF($AI82="","",IF(AND($AN82&lt;&gt;"",$AN82&lt;=EOMONTH(X$12,0),$AO82&gt;=X$12),IF(AND(INDEX('Roadmap Calc (Don’t Touch)'!$AA$2:$AX$151,$AI82,COLUMN()-COLUMN($J$16)+1)&gt;0,OR($D82="03. UX Discovery",$D82="04. UX Design")),IF(AND($H82&lt;&gt;"",$H82&lt;=EOMONTH(X$12,0),$I82&gt;=X$12),"ALL","PD+UX"),IF(AND($H82&lt;&gt;"",$H82&lt;=EOMONTH(X$12,0),$I82&gt;=X$12),"PD+DEV","PD")),IF(AND(INDEX('Roadmap Calc (Don’t Touch)'!$AA$2:$AX$151,$AI82,COLUMN()-COLUMN($J$16)+1)&gt;0,OR($D82="03. UX Discovery",$D82="04. UX Design")),IF(AND($H82&lt;&gt;"",$H82&lt;=EOMONTH(X$12,0),$I82&gt;=X$12),"UX+DEV","UX"),IF(AND($H82&lt;&gt;"",$H82&lt;=EOMONTH(X$12,0),$I82&gt;=X$12),"DEV",""))))</f>
      </c>
      <c r="Y82" s="158" t="str">
        <f>IF($AI82="","",IF(AND($AN82&lt;&gt;"",$AN82&lt;=EOMONTH(Y$12,0),$AO82&gt;=Y$12),IF(AND(INDEX('Roadmap Calc (Don’t Touch)'!$AA$2:$AX$151,$AI82,COLUMN()-COLUMN($J$16)+1)&gt;0,OR($D82="03. UX Discovery",$D82="04. UX Design")),IF(AND($H82&lt;&gt;"",$H82&lt;=EOMONTH(Y$12,0),$I82&gt;=Y$12),"ALL","PD+UX"),IF(AND($H82&lt;&gt;"",$H82&lt;=EOMONTH(Y$12,0),$I82&gt;=Y$12),"PD+DEV","PD")),IF(AND(INDEX('Roadmap Calc (Don’t Touch)'!$AA$2:$AX$151,$AI82,COLUMN()-COLUMN($J$16)+1)&gt;0,OR($D82="03. UX Discovery",$D82="04. UX Design")),IF(AND($H82&lt;&gt;"",$H82&lt;=EOMONTH(Y$12,0),$I82&gt;=Y$12),"UX+DEV","UX"),IF(AND($H82&lt;&gt;"",$H82&lt;=EOMONTH(Y$12,0),$I82&gt;=Y$12),"DEV",""))))</f>
      </c>
      <c r="Z82" s="158" t="str">
        <f>IF($AI82="","",IF(AND($AN82&lt;&gt;"",$AN82&lt;=EOMONTH(Z$12,0),$AO82&gt;=Z$12),IF(AND(INDEX('Roadmap Calc (Don’t Touch)'!$AA$2:$AX$151,$AI82,COLUMN()-COLUMN($J$16)+1)&gt;0,OR($D82="03. UX Discovery",$D82="04. UX Design")),IF(AND($H82&lt;&gt;"",$H82&lt;=EOMONTH(Z$12,0),$I82&gt;=Z$12),"ALL","PD+UX"),IF(AND($H82&lt;&gt;"",$H82&lt;=EOMONTH(Z$12,0),$I82&gt;=Z$12),"PD+DEV","PD")),IF(AND(INDEX('Roadmap Calc (Don’t Touch)'!$AA$2:$AX$151,$AI82,COLUMN()-COLUMN($J$16)+1)&gt;0,OR($D82="03. UX Discovery",$D82="04. UX Design")),IF(AND($H82&lt;&gt;"",$H82&lt;=EOMONTH(Z$12,0),$I82&gt;=Z$12),"UX+DEV","UX"),IF(AND($H82&lt;&gt;"",$H82&lt;=EOMONTH(Z$12,0),$I82&gt;=Z$12),"DEV",""))))</f>
      </c>
      <c r="AA82" s="158" t="str">
        <f>IF($AI82="","",IF(AND($AN82&lt;&gt;"",$AN82&lt;=EOMONTH(AA$12,0),$AO82&gt;=AA$12),IF(AND(INDEX('Roadmap Calc (Don’t Touch)'!$AA$2:$AX$151,$AI82,COLUMN()-COLUMN($J$16)+1)&gt;0,OR($D82="03. UX Discovery",$D82="04. UX Design")),IF(AND($H82&lt;&gt;"",$H82&lt;=EOMONTH(AA$12,0),$I82&gt;=AA$12),"ALL","PD+UX"),IF(AND($H82&lt;&gt;"",$H82&lt;=EOMONTH(AA$12,0),$I82&gt;=AA$12),"PD+DEV","PD")),IF(AND(INDEX('Roadmap Calc (Don’t Touch)'!$AA$2:$AX$151,$AI82,COLUMN()-COLUMN($J$16)+1)&gt;0,OR($D82="03. UX Discovery",$D82="04. UX Design")),IF(AND($H82&lt;&gt;"",$H82&lt;=EOMONTH(AA$12,0),$I82&gt;=AA$12),"UX+DEV","UX"),IF(AND($H82&lt;&gt;"",$H82&lt;=EOMONTH(AA$12,0),$I82&gt;=AA$12),"DEV",""))))</f>
      </c>
      <c r="AB82" s="158" t="str">
        <f>IF($AI82="","",IF(AND($AN82&lt;&gt;"",$AN82&lt;=EOMONTH(AB$12,0),$AO82&gt;=AB$12),IF(AND(INDEX('Roadmap Calc (Don’t Touch)'!$AA$2:$AX$151,$AI82,COLUMN()-COLUMN($J$16)+1)&gt;0,OR($D82="03. UX Discovery",$D82="04. UX Design")),IF(AND($H82&lt;&gt;"",$H82&lt;=EOMONTH(AB$12,0),$I82&gt;=AB$12),"ALL","PD+UX"),IF(AND($H82&lt;&gt;"",$H82&lt;=EOMONTH(AB$12,0),$I82&gt;=AB$12),"PD+DEV","PD")),IF(AND(INDEX('Roadmap Calc (Don’t Touch)'!$AA$2:$AX$151,$AI82,COLUMN()-COLUMN($J$16)+1)&gt;0,OR($D82="03. UX Discovery",$D82="04. UX Design")),IF(AND($H82&lt;&gt;"",$H82&lt;=EOMONTH(AB$12,0),$I82&gt;=AB$12),"UX+DEV","UX"),IF(AND($H82&lt;&gt;"",$H82&lt;=EOMONTH(AB$12,0),$I82&gt;=AB$12),"DEV",""))))</f>
      </c>
      <c r="AC82" s="158" t="str">
        <f>IF($AI82="","",IF(AND($AN82&lt;&gt;"",$AN82&lt;=EOMONTH(AC$12,0),$AO82&gt;=AC$12),IF(AND(INDEX('Roadmap Calc (Don’t Touch)'!$AA$2:$AX$151,$AI82,COLUMN()-COLUMN($J$16)+1)&gt;0,OR($D82="03. UX Discovery",$D82="04. UX Design")),IF(AND($H82&lt;&gt;"",$H82&lt;=EOMONTH(AC$12,0),$I82&gt;=AC$12),"ALL","PD+UX"),IF(AND($H82&lt;&gt;"",$H82&lt;=EOMONTH(AC$12,0),$I82&gt;=AC$12),"PD+DEV","PD")),IF(AND(INDEX('Roadmap Calc (Don’t Touch)'!$AA$2:$AX$151,$AI82,COLUMN()-COLUMN($J$16)+1)&gt;0,OR($D82="03. UX Discovery",$D82="04. UX Design")),IF(AND($H82&lt;&gt;"",$H82&lt;=EOMONTH(AC$12,0),$I82&gt;=AC$12),"UX+DEV","UX"),IF(AND($H82&lt;&gt;"",$H82&lt;=EOMONTH(AC$12,0),$I82&gt;=AC$12),"DEV",""))))</f>
      </c>
      <c r="AD82" s="158" t="str">
        <f>IF($AI82="","",IF(AND($AN82&lt;&gt;"",$AN82&lt;=EOMONTH(AD$12,0),$AO82&gt;=AD$12),IF(AND(INDEX('Roadmap Calc (Don’t Touch)'!$AA$2:$AX$151,$AI82,COLUMN()-COLUMN($J$16)+1)&gt;0,OR($D82="03. UX Discovery",$D82="04. UX Design")),IF(AND($H82&lt;&gt;"",$H82&lt;=EOMONTH(AD$12,0),$I82&gt;=AD$12),"ALL","PD+UX"),IF(AND($H82&lt;&gt;"",$H82&lt;=EOMONTH(AD$12,0),$I82&gt;=AD$12),"PD+DEV","PD")),IF(AND(INDEX('Roadmap Calc (Don’t Touch)'!$AA$2:$AX$151,$AI82,COLUMN()-COLUMN($J$16)+1)&gt;0,OR($D82="03. UX Discovery",$D82="04. UX Design")),IF(AND($H82&lt;&gt;"",$H82&lt;=EOMONTH(AD$12,0),$I82&gt;=AD$12),"UX+DEV","UX"),IF(AND($H82&lt;&gt;"",$H82&lt;=EOMONTH(AD$12,0),$I82&gt;=AD$12),"DEV",""))))</f>
      </c>
      <c r="AE82" s="158" t="str">
        <f>IF($AI82="","",IF(AND($AN82&lt;&gt;"",$AN82&lt;=EOMONTH(AE$12,0),$AO82&gt;=AE$12),IF(AND(INDEX('Roadmap Calc (Don’t Touch)'!$AA$2:$AX$151,$AI82,COLUMN()-COLUMN($J$16)+1)&gt;0,OR($D82="03. UX Discovery",$D82="04. UX Design")),IF(AND($H82&lt;&gt;"",$H82&lt;=EOMONTH(AE$12,0),$I82&gt;=AE$12),"ALL","PD+UX"),IF(AND($H82&lt;&gt;"",$H82&lt;=EOMONTH(AE$12,0),$I82&gt;=AE$12),"PD+DEV","PD")),IF(AND(INDEX('Roadmap Calc (Don’t Touch)'!$AA$2:$AX$151,$AI82,COLUMN()-COLUMN($J$16)+1)&gt;0,OR($D82="03. UX Discovery",$D82="04. UX Design")),IF(AND($H82&lt;&gt;"",$H82&lt;=EOMONTH(AE$12,0),$I82&gt;=AE$12),"UX+DEV","UX"),IF(AND($H82&lt;&gt;"",$H82&lt;=EOMONTH(AE$12,0),$I82&gt;=AE$12),"DEV",""))))</f>
      </c>
      <c r="AF82" s="158" t="str">
        <f>IF($AI82="","",IF(AND($AN82&lt;&gt;"",$AN82&lt;=EOMONTH(AF$12,0),$AO82&gt;=AF$12),IF(AND(INDEX('Roadmap Calc (Don’t Touch)'!$AA$2:$AX$151,$AI82,COLUMN()-COLUMN($J$16)+1)&gt;0,OR($D82="03. UX Discovery",$D82="04. UX Design")),IF(AND($H82&lt;&gt;"",$H82&lt;=EOMONTH(AF$12,0),$I82&gt;=AF$12),"ALL","PD+UX"),IF(AND($H82&lt;&gt;"",$H82&lt;=EOMONTH(AF$12,0),$I82&gt;=AF$12),"PD+DEV","PD")),IF(AND(INDEX('Roadmap Calc (Don’t Touch)'!$AA$2:$AX$151,$AI82,COLUMN()-COLUMN($J$16)+1)&gt;0,OR($D82="03. UX Discovery",$D82="04. UX Design")),IF(AND($H82&lt;&gt;"",$H82&lt;=EOMONTH(AF$12,0),$I82&gt;=AF$12),"UX+DEV","UX"),IF(AND($H82&lt;&gt;"",$H82&lt;=EOMONTH(AF$12,0),$I82&gt;=AF$12),"DEV",""))))</f>
      </c>
      <c r="AG82" s="158" t="str">
        <f>IF($AI82="","",IF(AND($AN82&lt;&gt;"",$AN82&lt;=EOMONTH(AG$12,0),$AO82&gt;=AG$12),IF(AND(INDEX('Roadmap Calc (Don’t Touch)'!$AA$2:$AX$151,$AI82,COLUMN()-COLUMN($J$16)+1)&gt;0,OR($D82="03. UX Discovery",$D82="04. UX Design")),IF(AND($H82&lt;&gt;"",$H82&lt;=EOMONTH(AG$12,0),$I82&gt;=AG$12),"ALL","PD+UX"),IF(AND($H82&lt;&gt;"",$H82&lt;=EOMONTH(AG$12,0),$I82&gt;=AG$12),"PD+DEV","PD")),IF(AND(INDEX('Roadmap Calc (Don’t Touch)'!$AA$2:$AX$151,$AI82,COLUMN()-COLUMN($J$16)+1)&gt;0,OR($D82="03. UX Discovery",$D82="04. UX Design")),IF(AND($H82&lt;&gt;"",$H82&lt;=EOMONTH(AG$12,0),$I82&gt;=AG$12),"UX+DEV","UX"),IF(AND($H82&lt;&gt;"",$H82&lt;=EOMONTH(AG$12,0),$I82&gt;=AG$12),"DEV",""))))</f>
      </c>
      <c r="AH82" s="145" t="str">
        <f>IF($AI82="","",INDEX('Roadmap Calc (Don’t Touch)'!$D$2:$D$151,$AI82))</f>
        <v/>
      </c>
      <c r="AI82" s="145" t="str">
        <f>IFERROR(MATCH(67,'Roadmap Calc (Don’t Touch)'!$O$2:$O$151,0),"")</f>
        <v/>
      </c>
      <c r="AJ82" s="145"/>
      <c r="AK82" s="145"/>
      <c r="AL82" s="145"/>
      <c r="AM82" s="145"/>
      <c r="AN82">
        <f>IF($AI82="","",IF(ISNUMBER(INDEX('Roadmap Calc (Don’t Touch)'!$BB$2:$BB$151,$AI82)),INDEX('Roadmap Calc (Don’t Touch)'!$BB$2:$BB$151,$AI82),""))</f>
      </c>
      <c r="AO82">
        <f>IF($AI82="","",IF(ISNUMBER(INDEX('Roadmap Calc (Don’t Touch)'!$BC$2:$BC$151,$AI82)),INDEX('Roadmap Calc (Don’t Touch)'!$BC$2:$BC$151,$AI82),""))</f>
      </c>
    </row>
    <row r="83" spans="1:41" ht="17" customHeight="1" x14ac:dyDescent="0.25">
      <c r="A83" s="152" t="str">
        <f>IF($AI83="","",IF($AH83=$AH82,"",IF(INDEX('Roadmap Calc (Don’t Touch)'!$U$2:$U$151,$AI83)=0,$AH83,HYPERLINK("#'Control (Don’t Touch)'!E"&amp;INDEX('Roadmap Calc (Don’t Touch)'!$U$2:$U$151,$AI83),$AH83))))</f>
        <v/>
      </c>
      <c r="B83" s="153" t="str">
        <f>IF($AI83="","",IF(INDEX('Roadmap Calc (Don’t Touch)'!$K$2:$K$151,$AI83)="",INDEX('Roadmap Calc (Don’t Touch)'!$B$2:$B$151,$AI83),HYPERLINK("https://jira.bnh.com/browse/"&amp;INDEX('Roadmap Calc (Don’t Touch)'!$K$2:$K$151,$AI83),INDEX('Roadmap Calc (Don’t Touch)'!$B$2:$B$151,$AI83))))</f>
        <v/>
      </c>
      <c r="C83" s="153" t="str">
        <f>IF($AI83="","",IF(INDEX('Roadmap Calc (Don’t Touch)'!$E$2:$E$151,$AI83)="","",HYPERLINK("https://jira.bnh.com/browse/"&amp;INDEX('Roadmap Calc (Don’t Touch)'!$E$2:$E$151,$AI83),INDEX('Roadmap Calc (Don’t Touch)'!$E$2:$E$151,$AI83))))</f>
        <v/>
      </c>
      <c r="D83" s="154" t="str">
        <f>IF($AI83="","",INDEX('Roadmap Calc (Don’t Touch)'!$F$2:$F$151,$AI83))</f>
        <v/>
      </c>
      <c r="E83" s="155" t="str">
        <f>IF($AI83="","",IF(ISNUMBER(INDEX('Roadmap Calc (Don’t Touch)'!$G$2:$G$151,$AI83)),INDEX('Roadmap Calc (Don’t Touch)'!$G$2:$G$151,$AI83),""))</f>
        <v/>
      </c>
      <c r="F83" s="155" t="str">
        <f>IF($AI83="","",IF(ISNUMBER(INDEX('Roadmap Calc (Don’t Touch)'!$H$2:$H$151,$AI83)),INDEX('Roadmap Calc (Don’t Touch)'!$H$2:$H$151,$AI83),""))</f>
        <v/>
      </c>
      <c r="G83" s="156" t="str">
        <f>IF($AI83="","",INDEX('Roadmap Calc (Don’t Touch)'!$T$2:$T$151,$AI83))</f>
        <v/>
      </c>
      <c r="H83" s="157" t="str">
        <f>IF($AI83="","",IF(ISNUMBER(INDEX('Roadmap Calc (Don’t Touch)'!$I$2:$I$151,$AI83)),INDEX('Roadmap Calc (Don’t Touch)'!$I$2:$I$151,$AI83),""))</f>
        <v/>
      </c>
      <c r="I83" s="157" t="str">
        <f>IF($AI83="","",IF(ISNUMBER(INDEX('Roadmap Calc (Don’t Touch)'!$J$2:$J$151,$AI83)),INDEX('Roadmap Calc (Don’t Touch)'!$J$2:$J$151,$AI83),""))</f>
        <v/>
      </c>
      <c r="J83" s="158" t="str">
        <f>IF($AI83="","",IF(AND($AN83&lt;&gt;"",$AN83&lt;=EOMONTH(J$12,0),$AO83&gt;=J$12),IF(AND(INDEX('Roadmap Calc (Don’t Touch)'!$AA$2:$AX$151,$AI83,COLUMN()-COLUMN($J$16)+1)&gt;0,OR($D83="03. UX Discovery",$D83="04. UX Design")),IF(AND($H83&lt;&gt;"",$H83&lt;=EOMONTH(J$12,0),$I83&gt;=J$12),"ALL","PD+UX"),IF(AND($H83&lt;&gt;"",$H83&lt;=EOMONTH(J$12,0),$I83&gt;=J$12),"PD+DEV","PD")),IF(AND(INDEX('Roadmap Calc (Don’t Touch)'!$AA$2:$AX$151,$AI83,COLUMN()-COLUMN($J$16)+1)&gt;0,OR($D83="03. UX Discovery",$D83="04. UX Design")),IF(AND($H83&lt;&gt;"",$H83&lt;=EOMONTH(J$12,0),$I83&gt;=J$12),"UX+DEV","UX"),IF(AND($H83&lt;&gt;"",$H83&lt;=EOMONTH(J$12,0),$I83&gt;=J$12),"DEV",""))))</f>
      </c>
      <c r="K83" s="158" t="str">
        <f>IF($AI83="","",IF(AND($AN83&lt;&gt;"",$AN83&lt;=EOMONTH(K$12,0),$AO83&gt;=K$12),IF(AND(INDEX('Roadmap Calc (Don’t Touch)'!$AA$2:$AX$151,$AI83,COLUMN()-COLUMN($J$16)+1)&gt;0,OR($D83="03. UX Discovery",$D83="04. UX Design")),IF(AND($H83&lt;&gt;"",$H83&lt;=EOMONTH(K$12,0),$I83&gt;=K$12),"ALL","PD+UX"),IF(AND($H83&lt;&gt;"",$H83&lt;=EOMONTH(K$12,0),$I83&gt;=K$12),"PD+DEV","PD")),IF(AND(INDEX('Roadmap Calc (Don’t Touch)'!$AA$2:$AX$151,$AI83,COLUMN()-COLUMN($J$16)+1)&gt;0,OR($D83="03. UX Discovery",$D83="04. UX Design")),IF(AND($H83&lt;&gt;"",$H83&lt;=EOMONTH(K$12,0),$I83&gt;=K$12),"UX+DEV","UX"),IF(AND($H83&lt;&gt;"",$H83&lt;=EOMONTH(K$12,0),$I83&gt;=K$12),"DEV",""))))</f>
      </c>
      <c r="L83" s="158" t="str">
        <f>IF($AI83="","",IF(AND($AN83&lt;&gt;"",$AN83&lt;=EOMONTH(L$12,0),$AO83&gt;=L$12),IF(AND(INDEX('Roadmap Calc (Don’t Touch)'!$AA$2:$AX$151,$AI83,COLUMN()-COLUMN($J$16)+1)&gt;0,OR($D83="03. UX Discovery",$D83="04. UX Design")),IF(AND($H83&lt;&gt;"",$H83&lt;=EOMONTH(L$12,0),$I83&gt;=L$12),"ALL","PD+UX"),IF(AND($H83&lt;&gt;"",$H83&lt;=EOMONTH(L$12,0),$I83&gt;=L$12),"PD+DEV","PD")),IF(AND(INDEX('Roadmap Calc (Don’t Touch)'!$AA$2:$AX$151,$AI83,COLUMN()-COLUMN($J$16)+1)&gt;0,OR($D83="03. UX Discovery",$D83="04. UX Design")),IF(AND($H83&lt;&gt;"",$H83&lt;=EOMONTH(L$12,0),$I83&gt;=L$12),"UX+DEV","UX"),IF(AND($H83&lt;&gt;"",$H83&lt;=EOMONTH(L$12,0),$I83&gt;=L$12),"DEV",""))))</f>
      </c>
      <c r="M83" s="158" t="str">
        <f>IF($AI83="","",IF(AND($AN83&lt;&gt;"",$AN83&lt;=EOMONTH(M$12,0),$AO83&gt;=M$12),IF(AND(INDEX('Roadmap Calc (Don’t Touch)'!$AA$2:$AX$151,$AI83,COLUMN()-COLUMN($J$16)+1)&gt;0,OR($D83="03. UX Discovery",$D83="04. UX Design")),IF(AND($H83&lt;&gt;"",$H83&lt;=EOMONTH(M$12,0),$I83&gt;=M$12),"ALL","PD+UX"),IF(AND($H83&lt;&gt;"",$H83&lt;=EOMONTH(M$12,0),$I83&gt;=M$12),"PD+DEV","PD")),IF(AND(INDEX('Roadmap Calc (Don’t Touch)'!$AA$2:$AX$151,$AI83,COLUMN()-COLUMN($J$16)+1)&gt;0,OR($D83="03. UX Discovery",$D83="04. UX Design")),IF(AND($H83&lt;&gt;"",$H83&lt;=EOMONTH(M$12,0),$I83&gt;=M$12),"UX+DEV","UX"),IF(AND($H83&lt;&gt;"",$H83&lt;=EOMONTH(M$12,0),$I83&gt;=M$12),"DEV",""))))</f>
      </c>
      <c r="N83" s="158" t="str">
        <f>IF($AI83="","",IF(AND($AN83&lt;&gt;"",$AN83&lt;=EOMONTH(N$12,0),$AO83&gt;=N$12),IF(AND(INDEX('Roadmap Calc (Don’t Touch)'!$AA$2:$AX$151,$AI83,COLUMN()-COLUMN($J$16)+1)&gt;0,OR($D83="03. UX Discovery",$D83="04. UX Design")),IF(AND($H83&lt;&gt;"",$H83&lt;=EOMONTH(N$12,0),$I83&gt;=N$12),"ALL","PD+UX"),IF(AND($H83&lt;&gt;"",$H83&lt;=EOMONTH(N$12,0),$I83&gt;=N$12),"PD+DEV","PD")),IF(AND(INDEX('Roadmap Calc (Don’t Touch)'!$AA$2:$AX$151,$AI83,COLUMN()-COLUMN($J$16)+1)&gt;0,OR($D83="03. UX Discovery",$D83="04. UX Design")),IF(AND($H83&lt;&gt;"",$H83&lt;=EOMONTH(N$12,0),$I83&gt;=N$12),"UX+DEV","UX"),IF(AND($H83&lt;&gt;"",$H83&lt;=EOMONTH(N$12,0),$I83&gt;=N$12),"DEV",""))))</f>
      </c>
      <c r="O83" s="158" t="str">
        <f>IF($AI83="","",IF(AND($AN83&lt;&gt;"",$AN83&lt;=EOMONTH(O$12,0),$AO83&gt;=O$12),IF(AND(INDEX('Roadmap Calc (Don’t Touch)'!$AA$2:$AX$151,$AI83,COLUMN()-COLUMN($J$16)+1)&gt;0,OR($D83="03. UX Discovery",$D83="04. UX Design")),IF(AND($H83&lt;&gt;"",$H83&lt;=EOMONTH(O$12,0),$I83&gt;=O$12),"ALL","PD+UX"),IF(AND($H83&lt;&gt;"",$H83&lt;=EOMONTH(O$12,0),$I83&gt;=O$12),"PD+DEV","PD")),IF(AND(INDEX('Roadmap Calc (Don’t Touch)'!$AA$2:$AX$151,$AI83,COLUMN()-COLUMN($J$16)+1)&gt;0,OR($D83="03. UX Discovery",$D83="04. UX Design")),IF(AND($H83&lt;&gt;"",$H83&lt;=EOMONTH(O$12,0),$I83&gt;=O$12),"UX+DEV","UX"),IF(AND($H83&lt;&gt;"",$H83&lt;=EOMONTH(O$12,0),$I83&gt;=O$12),"DEV",""))))</f>
      </c>
      <c r="P83" s="158" t="str">
        <f>IF($AI83="","",IF(AND($AN83&lt;&gt;"",$AN83&lt;=EOMONTH(P$12,0),$AO83&gt;=P$12),IF(AND(INDEX('Roadmap Calc (Don’t Touch)'!$AA$2:$AX$151,$AI83,COLUMN()-COLUMN($J$16)+1)&gt;0,OR($D83="03. UX Discovery",$D83="04. UX Design")),IF(AND($H83&lt;&gt;"",$H83&lt;=EOMONTH(P$12,0),$I83&gt;=P$12),"ALL","PD+UX"),IF(AND($H83&lt;&gt;"",$H83&lt;=EOMONTH(P$12,0),$I83&gt;=P$12),"PD+DEV","PD")),IF(AND(INDEX('Roadmap Calc (Don’t Touch)'!$AA$2:$AX$151,$AI83,COLUMN()-COLUMN($J$16)+1)&gt;0,OR($D83="03. UX Discovery",$D83="04. UX Design")),IF(AND($H83&lt;&gt;"",$H83&lt;=EOMONTH(P$12,0),$I83&gt;=P$12),"UX+DEV","UX"),IF(AND($H83&lt;&gt;"",$H83&lt;=EOMONTH(P$12,0),$I83&gt;=P$12),"DEV",""))))</f>
      </c>
      <c r="Q83" s="158" t="str">
        <f>IF($AI83="","",IF(AND($AN83&lt;&gt;"",$AN83&lt;=EOMONTH(Q$12,0),$AO83&gt;=Q$12),IF(AND(INDEX('Roadmap Calc (Don’t Touch)'!$AA$2:$AX$151,$AI83,COLUMN()-COLUMN($J$16)+1)&gt;0,OR($D83="03. UX Discovery",$D83="04. UX Design")),IF(AND($H83&lt;&gt;"",$H83&lt;=EOMONTH(Q$12,0),$I83&gt;=Q$12),"ALL","PD+UX"),IF(AND($H83&lt;&gt;"",$H83&lt;=EOMONTH(Q$12,0),$I83&gt;=Q$12),"PD+DEV","PD")),IF(AND(INDEX('Roadmap Calc (Don’t Touch)'!$AA$2:$AX$151,$AI83,COLUMN()-COLUMN($J$16)+1)&gt;0,OR($D83="03. UX Discovery",$D83="04. UX Design")),IF(AND($H83&lt;&gt;"",$H83&lt;=EOMONTH(Q$12,0),$I83&gt;=Q$12),"UX+DEV","UX"),IF(AND($H83&lt;&gt;"",$H83&lt;=EOMONTH(Q$12,0),$I83&gt;=Q$12),"DEV",""))))</f>
      </c>
      <c r="R83" s="158" t="str">
        <f>IF($AI83="","",IF(AND($AN83&lt;&gt;"",$AN83&lt;=EOMONTH(R$12,0),$AO83&gt;=R$12),IF(AND(INDEX('Roadmap Calc (Don’t Touch)'!$AA$2:$AX$151,$AI83,COLUMN()-COLUMN($J$16)+1)&gt;0,OR($D83="03. UX Discovery",$D83="04. UX Design")),IF(AND($H83&lt;&gt;"",$H83&lt;=EOMONTH(R$12,0),$I83&gt;=R$12),"ALL","PD+UX"),IF(AND($H83&lt;&gt;"",$H83&lt;=EOMONTH(R$12,0),$I83&gt;=R$12),"PD+DEV","PD")),IF(AND(INDEX('Roadmap Calc (Don’t Touch)'!$AA$2:$AX$151,$AI83,COLUMN()-COLUMN($J$16)+1)&gt;0,OR($D83="03. UX Discovery",$D83="04. UX Design")),IF(AND($H83&lt;&gt;"",$H83&lt;=EOMONTH(R$12,0),$I83&gt;=R$12),"UX+DEV","UX"),IF(AND($H83&lt;&gt;"",$H83&lt;=EOMONTH(R$12,0),$I83&gt;=R$12),"DEV",""))))</f>
      </c>
      <c r="S83" s="158" t="str">
        <f>IF($AI83="","",IF(AND($AN83&lt;&gt;"",$AN83&lt;=EOMONTH(S$12,0),$AO83&gt;=S$12),IF(AND(INDEX('Roadmap Calc (Don’t Touch)'!$AA$2:$AX$151,$AI83,COLUMN()-COLUMN($J$16)+1)&gt;0,OR($D83="03. UX Discovery",$D83="04. UX Design")),IF(AND($H83&lt;&gt;"",$H83&lt;=EOMONTH(S$12,0),$I83&gt;=S$12),"ALL","PD+UX"),IF(AND($H83&lt;&gt;"",$H83&lt;=EOMONTH(S$12,0),$I83&gt;=S$12),"PD+DEV","PD")),IF(AND(INDEX('Roadmap Calc (Don’t Touch)'!$AA$2:$AX$151,$AI83,COLUMN()-COLUMN($J$16)+1)&gt;0,OR($D83="03. UX Discovery",$D83="04. UX Design")),IF(AND($H83&lt;&gt;"",$H83&lt;=EOMONTH(S$12,0),$I83&gt;=S$12),"UX+DEV","UX"),IF(AND($H83&lt;&gt;"",$H83&lt;=EOMONTH(S$12,0),$I83&gt;=S$12),"DEV",""))))</f>
      </c>
      <c r="T83" s="158" t="str">
        <f>IF($AI83="","",IF(AND($AN83&lt;&gt;"",$AN83&lt;=EOMONTH(T$12,0),$AO83&gt;=T$12),IF(AND(INDEX('Roadmap Calc (Don’t Touch)'!$AA$2:$AX$151,$AI83,COLUMN()-COLUMN($J$16)+1)&gt;0,OR($D83="03. UX Discovery",$D83="04. UX Design")),IF(AND($H83&lt;&gt;"",$H83&lt;=EOMONTH(T$12,0),$I83&gt;=T$12),"ALL","PD+UX"),IF(AND($H83&lt;&gt;"",$H83&lt;=EOMONTH(T$12,0),$I83&gt;=T$12),"PD+DEV","PD")),IF(AND(INDEX('Roadmap Calc (Don’t Touch)'!$AA$2:$AX$151,$AI83,COLUMN()-COLUMN($J$16)+1)&gt;0,OR($D83="03. UX Discovery",$D83="04. UX Design")),IF(AND($H83&lt;&gt;"",$H83&lt;=EOMONTH(T$12,0),$I83&gt;=T$12),"UX+DEV","UX"),IF(AND($H83&lt;&gt;"",$H83&lt;=EOMONTH(T$12,0),$I83&gt;=T$12),"DEV",""))))</f>
      </c>
      <c r="U83" s="158" t="str">
        <f>IF($AI83="","",IF(AND($AN83&lt;&gt;"",$AN83&lt;=EOMONTH(U$12,0),$AO83&gt;=U$12),IF(AND(INDEX('Roadmap Calc (Don’t Touch)'!$AA$2:$AX$151,$AI83,COLUMN()-COLUMN($J$16)+1)&gt;0,OR($D83="03. UX Discovery",$D83="04. UX Design")),IF(AND($H83&lt;&gt;"",$H83&lt;=EOMONTH(U$12,0),$I83&gt;=U$12),"ALL","PD+UX"),IF(AND($H83&lt;&gt;"",$H83&lt;=EOMONTH(U$12,0),$I83&gt;=U$12),"PD+DEV","PD")),IF(AND(INDEX('Roadmap Calc (Don’t Touch)'!$AA$2:$AX$151,$AI83,COLUMN()-COLUMN($J$16)+1)&gt;0,OR($D83="03. UX Discovery",$D83="04. UX Design")),IF(AND($H83&lt;&gt;"",$H83&lt;=EOMONTH(U$12,0),$I83&gt;=U$12),"UX+DEV","UX"),IF(AND($H83&lt;&gt;"",$H83&lt;=EOMONTH(U$12,0),$I83&gt;=U$12),"DEV",""))))</f>
      </c>
      <c r="V83" s="158" t="str">
        <f>IF($AI83="","",IF(AND($AN83&lt;&gt;"",$AN83&lt;=EOMONTH(V$12,0),$AO83&gt;=V$12),IF(AND(INDEX('Roadmap Calc (Don’t Touch)'!$AA$2:$AX$151,$AI83,COLUMN()-COLUMN($J$16)+1)&gt;0,OR($D83="03. UX Discovery",$D83="04. UX Design")),IF(AND($H83&lt;&gt;"",$H83&lt;=EOMONTH(V$12,0),$I83&gt;=V$12),"ALL","PD+UX"),IF(AND($H83&lt;&gt;"",$H83&lt;=EOMONTH(V$12,0),$I83&gt;=V$12),"PD+DEV","PD")),IF(AND(INDEX('Roadmap Calc (Don’t Touch)'!$AA$2:$AX$151,$AI83,COLUMN()-COLUMN($J$16)+1)&gt;0,OR($D83="03. UX Discovery",$D83="04. UX Design")),IF(AND($H83&lt;&gt;"",$H83&lt;=EOMONTH(V$12,0),$I83&gt;=V$12),"UX+DEV","UX"),IF(AND($H83&lt;&gt;"",$H83&lt;=EOMONTH(V$12,0),$I83&gt;=V$12),"DEV",""))))</f>
      </c>
      <c r="W83" s="158" t="str">
        <f>IF($AI83="","",IF(AND($AN83&lt;&gt;"",$AN83&lt;=EOMONTH(W$12,0),$AO83&gt;=W$12),IF(AND(INDEX('Roadmap Calc (Don’t Touch)'!$AA$2:$AX$151,$AI83,COLUMN()-COLUMN($J$16)+1)&gt;0,OR($D83="03. UX Discovery",$D83="04. UX Design")),IF(AND($H83&lt;&gt;"",$H83&lt;=EOMONTH(W$12,0),$I83&gt;=W$12),"ALL","PD+UX"),IF(AND($H83&lt;&gt;"",$H83&lt;=EOMONTH(W$12,0),$I83&gt;=W$12),"PD+DEV","PD")),IF(AND(INDEX('Roadmap Calc (Don’t Touch)'!$AA$2:$AX$151,$AI83,COLUMN()-COLUMN($J$16)+1)&gt;0,OR($D83="03. UX Discovery",$D83="04. UX Design")),IF(AND($H83&lt;&gt;"",$H83&lt;=EOMONTH(W$12,0),$I83&gt;=W$12),"UX+DEV","UX"),IF(AND($H83&lt;&gt;"",$H83&lt;=EOMONTH(W$12,0),$I83&gt;=W$12),"DEV",""))))</f>
      </c>
      <c r="X83" s="158" t="str">
        <f>IF($AI83="","",IF(AND($AN83&lt;&gt;"",$AN83&lt;=EOMONTH(X$12,0),$AO83&gt;=X$12),IF(AND(INDEX('Roadmap Calc (Don’t Touch)'!$AA$2:$AX$151,$AI83,COLUMN()-COLUMN($J$16)+1)&gt;0,OR($D83="03. UX Discovery",$D83="04. UX Design")),IF(AND($H83&lt;&gt;"",$H83&lt;=EOMONTH(X$12,0),$I83&gt;=X$12),"ALL","PD+UX"),IF(AND($H83&lt;&gt;"",$H83&lt;=EOMONTH(X$12,0),$I83&gt;=X$12),"PD+DEV","PD")),IF(AND(INDEX('Roadmap Calc (Don’t Touch)'!$AA$2:$AX$151,$AI83,COLUMN()-COLUMN($J$16)+1)&gt;0,OR($D83="03. UX Discovery",$D83="04. UX Design")),IF(AND($H83&lt;&gt;"",$H83&lt;=EOMONTH(X$12,0),$I83&gt;=X$12),"UX+DEV","UX"),IF(AND($H83&lt;&gt;"",$H83&lt;=EOMONTH(X$12,0),$I83&gt;=X$12),"DEV",""))))</f>
      </c>
      <c r="Y83" s="158" t="str">
        <f>IF($AI83="","",IF(AND($AN83&lt;&gt;"",$AN83&lt;=EOMONTH(Y$12,0),$AO83&gt;=Y$12),IF(AND(INDEX('Roadmap Calc (Don’t Touch)'!$AA$2:$AX$151,$AI83,COLUMN()-COLUMN($J$16)+1)&gt;0,OR($D83="03. UX Discovery",$D83="04. UX Design")),IF(AND($H83&lt;&gt;"",$H83&lt;=EOMONTH(Y$12,0),$I83&gt;=Y$12),"ALL","PD+UX"),IF(AND($H83&lt;&gt;"",$H83&lt;=EOMONTH(Y$12,0),$I83&gt;=Y$12),"PD+DEV","PD")),IF(AND(INDEX('Roadmap Calc (Don’t Touch)'!$AA$2:$AX$151,$AI83,COLUMN()-COLUMN($J$16)+1)&gt;0,OR($D83="03. UX Discovery",$D83="04. UX Design")),IF(AND($H83&lt;&gt;"",$H83&lt;=EOMONTH(Y$12,0),$I83&gt;=Y$12),"UX+DEV","UX"),IF(AND($H83&lt;&gt;"",$H83&lt;=EOMONTH(Y$12,0),$I83&gt;=Y$12),"DEV",""))))</f>
      </c>
      <c r="Z83" s="158" t="str">
        <f>IF($AI83="","",IF(AND($AN83&lt;&gt;"",$AN83&lt;=EOMONTH(Z$12,0),$AO83&gt;=Z$12),IF(AND(INDEX('Roadmap Calc (Don’t Touch)'!$AA$2:$AX$151,$AI83,COLUMN()-COLUMN($J$16)+1)&gt;0,OR($D83="03. UX Discovery",$D83="04. UX Design")),IF(AND($H83&lt;&gt;"",$H83&lt;=EOMONTH(Z$12,0),$I83&gt;=Z$12),"ALL","PD+UX"),IF(AND($H83&lt;&gt;"",$H83&lt;=EOMONTH(Z$12,0),$I83&gt;=Z$12),"PD+DEV","PD")),IF(AND(INDEX('Roadmap Calc (Don’t Touch)'!$AA$2:$AX$151,$AI83,COLUMN()-COLUMN($J$16)+1)&gt;0,OR($D83="03. UX Discovery",$D83="04. UX Design")),IF(AND($H83&lt;&gt;"",$H83&lt;=EOMONTH(Z$12,0),$I83&gt;=Z$12),"UX+DEV","UX"),IF(AND($H83&lt;&gt;"",$H83&lt;=EOMONTH(Z$12,0),$I83&gt;=Z$12),"DEV",""))))</f>
      </c>
      <c r="AA83" s="158" t="str">
        <f>IF($AI83="","",IF(AND($AN83&lt;&gt;"",$AN83&lt;=EOMONTH(AA$12,0),$AO83&gt;=AA$12),IF(AND(INDEX('Roadmap Calc (Don’t Touch)'!$AA$2:$AX$151,$AI83,COLUMN()-COLUMN($J$16)+1)&gt;0,OR($D83="03. UX Discovery",$D83="04. UX Design")),IF(AND($H83&lt;&gt;"",$H83&lt;=EOMONTH(AA$12,0),$I83&gt;=AA$12),"ALL","PD+UX"),IF(AND($H83&lt;&gt;"",$H83&lt;=EOMONTH(AA$12,0),$I83&gt;=AA$12),"PD+DEV","PD")),IF(AND(INDEX('Roadmap Calc (Don’t Touch)'!$AA$2:$AX$151,$AI83,COLUMN()-COLUMN($J$16)+1)&gt;0,OR($D83="03. UX Discovery",$D83="04. UX Design")),IF(AND($H83&lt;&gt;"",$H83&lt;=EOMONTH(AA$12,0),$I83&gt;=AA$12),"UX+DEV","UX"),IF(AND($H83&lt;&gt;"",$H83&lt;=EOMONTH(AA$12,0),$I83&gt;=AA$12),"DEV",""))))</f>
      </c>
      <c r="AB83" s="158" t="str">
        <f>IF($AI83="","",IF(AND($AN83&lt;&gt;"",$AN83&lt;=EOMONTH(AB$12,0),$AO83&gt;=AB$12),IF(AND(INDEX('Roadmap Calc (Don’t Touch)'!$AA$2:$AX$151,$AI83,COLUMN()-COLUMN($J$16)+1)&gt;0,OR($D83="03. UX Discovery",$D83="04. UX Design")),IF(AND($H83&lt;&gt;"",$H83&lt;=EOMONTH(AB$12,0),$I83&gt;=AB$12),"ALL","PD+UX"),IF(AND($H83&lt;&gt;"",$H83&lt;=EOMONTH(AB$12,0),$I83&gt;=AB$12),"PD+DEV","PD")),IF(AND(INDEX('Roadmap Calc (Don’t Touch)'!$AA$2:$AX$151,$AI83,COLUMN()-COLUMN($J$16)+1)&gt;0,OR($D83="03. UX Discovery",$D83="04. UX Design")),IF(AND($H83&lt;&gt;"",$H83&lt;=EOMONTH(AB$12,0),$I83&gt;=AB$12),"UX+DEV","UX"),IF(AND($H83&lt;&gt;"",$H83&lt;=EOMONTH(AB$12,0),$I83&gt;=AB$12),"DEV",""))))</f>
      </c>
      <c r="AC83" s="158" t="str">
        <f>IF($AI83="","",IF(AND($AN83&lt;&gt;"",$AN83&lt;=EOMONTH(AC$12,0),$AO83&gt;=AC$12),IF(AND(INDEX('Roadmap Calc (Don’t Touch)'!$AA$2:$AX$151,$AI83,COLUMN()-COLUMN($J$16)+1)&gt;0,OR($D83="03. UX Discovery",$D83="04. UX Design")),IF(AND($H83&lt;&gt;"",$H83&lt;=EOMONTH(AC$12,0),$I83&gt;=AC$12),"ALL","PD+UX"),IF(AND($H83&lt;&gt;"",$H83&lt;=EOMONTH(AC$12,0),$I83&gt;=AC$12),"PD+DEV","PD")),IF(AND(INDEX('Roadmap Calc (Don’t Touch)'!$AA$2:$AX$151,$AI83,COLUMN()-COLUMN($J$16)+1)&gt;0,OR($D83="03. UX Discovery",$D83="04. UX Design")),IF(AND($H83&lt;&gt;"",$H83&lt;=EOMONTH(AC$12,0),$I83&gt;=AC$12),"UX+DEV","UX"),IF(AND($H83&lt;&gt;"",$H83&lt;=EOMONTH(AC$12,0),$I83&gt;=AC$12),"DEV",""))))</f>
      </c>
      <c r="AD83" s="158" t="str">
        <f>IF($AI83="","",IF(AND($AN83&lt;&gt;"",$AN83&lt;=EOMONTH(AD$12,0),$AO83&gt;=AD$12),IF(AND(INDEX('Roadmap Calc (Don’t Touch)'!$AA$2:$AX$151,$AI83,COLUMN()-COLUMN($J$16)+1)&gt;0,OR($D83="03. UX Discovery",$D83="04. UX Design")),IF(AND($H83&lt;&gt;"",$H83&lt;=EOMONTH(AD$12,0),$I83&gt;=AD$12),"ALL","PD+UX"),IF(AND($H83&lt;&gt;"",$H83&lt;=EOMONTH(AD$12,0),$I83&gt;=AD$12),"PD+DEV","PD")),IF(AND(INDEX('Roadmap Calc (Don’t Touch)'!$AA$2:$AX$151,$AI83,COLUMN()-COLUMN($J$16)+1)&gt;0,OR($D83="03. UX Discovery",$D83="04. UX Design")),IF(AND($H83&lt;&gt;"",$H83&lt;=EOMONTH(AD$12,0),$I83&gt;=AD$12),"UX+DEV","UX"),IF(AND($H83&lt;&gt;"",$H83&lt;=EOMONTH(AD$12,0),$I83&gt;=AD$12),"DEV",""))))</f>
      </c>
      <c r="AE83" s="158" t="str">
        <f>IF($AI83="","",IF(AND($AN83&lt;&gt;"",$AN83&lt;=EOMONTH(AE$12,0),$AO83&gt;=AE$12),IF(AND(INDEX('Roadmap Calc (Don’t Touch)'!$AA$2:$AX$151,$AI83,COLUMN()-COLUMN($J$16)+1)&gt;0,OR($D83="03. UX Discovery",$D83="04. UX Design")),IF(AND($H83&lt;&gt;"",$H83&lt;=EOMONTH(AE$12,0),$I83&gt;=AE$12),"ALL","PD+UX"),IF(AND($H83&lt;&gt;"",$H83&lt;=EOMONTH(AE$12,0),$I83&gt;=AE$12),"PD+DEV","PD")),IF(AND(INDEX('Roadmap Calc (Don’t Touch)'!$AA$2:$AX$151,$AI83,COLUMN()-COLUMN($J$16)+1)&gt;0,OR($D83="03. UX Discovery",$D83="04. UX Design")),IF(AND($H83&lt;&gt;"",$H83&lt;=EOMONTH(AE$12,0),$I83&gt;=AE$12),"UX+DEV","UX"),IF(AND($H83&lt;&gt;"",$H83&lt;=EOMONTH(AE$12,0),$I83&gt;=AE$12),"DEV",""))))</f>
      </c>
      <c r="AF83" s="158" t="str">
        <f>IF($AI83="","",IF(AND($AN83&lt;&gt;"",$AN83&lt;=EOMONTH(AF$12,0),$AO83&gt;=AF$12),IF(AND(INDEX('Roadmap Calc (Don’t Touch)'!$AA$2:$AX$151,$AI83,COLUMN()-COLUMN($J$16)+1)&gt;0,OR($D83="03. UX Discovery",$D83="04. UX Design")),IF(AND($H83&lt;&gt;"",$H83&lt;=EOMONTH(AF$12,0),$I83&gt;=AF$12),"ALL","PD+UX"),IF(AND($H83&lt;&gt;"",$H83&lt;=EOMONTH(AF$12,0),$I83&gt;=AF$12),"PD+DEV","PD")),IF(AND(INDEX('Roadmap Calc (Don’t Touch)'!$AA$2:$AX$151,$AI83,COLUMN()-COLUMN($J$16)+1)&gt;0,OR($D83="03. UX Discovery",$D83="04. UX Design")),IF(AND($H83&lt;&gt;"",$H83&lt;=EOMONTH(AF$12,0),$I83&gt;=AF$12),"UX+DEV","UX"),IF(AND($H83&lt;&gt;"",$H83&lt;=EOMONTH(AF$12,0),$I83&gt;=AF$12),"DEV",""))))</f>
      </c>
      <c r="AG83" s="158" t="str">
        <f>IF($AI83="","",IF(AND($AN83&lt;&gt;"",$AN83&lt;=EOMONTH(AG$12,0),$AO83&gt;=AG$12),IF(AND(INDEX('Roadmap Calc (Don’t Touch)'!$AA$2:$AX$151,$AI83,COLUMN()-COLUMN($J$16)+1)&gt;0,OR($D83="03. UX Discovery",$D83="04. UX Design")),IF(AND($H83&lt;&gt;"",$H83&lt;=EOMONTH(AG$12,0),$I83&gt;=AG$12),"ALL","PD+UX"),IF(AND($H83&lt;&gt;"",$H83&lt;=EOMONTH(AG$12,0),$I83&gt;=AG$12),"PD+DEV","PD")),IF(AND(INDEX('Roadmap Calc (Don’t Touch)'!$AA$2:$AX$151,$AI83,COLUMN()-COLUMN($J$16)+1)&gt;0,OR($D83="03. UX Discovery",$D83="04. UX Design")),IF(AND($H83&lt;&gt;"",$H83&lt;=EOMONTH(AG$12,0),$I83&gt;=AG$12),"UX+DEV","UX"),IF(AND($H83&lt;&gt;"",$H83&lt;=EOMONTH(AG$12,0),$I83&gt;=AG$12),"DEV",""))))</f>
      </c>
      <c r="AH83" s="145" t="str">
        <f>IF($AI83="","",INDEX('Roadmap Calc (Don’t Touch)'!$D$2:$D$151,$AI83))</f>
        <v/>
      </c>
      <c r="AI83" s="145" t="str">
        <f>IFERROR(MATCH(68,'Roadmap Calc (Don’t Touch)'!$O$2:$O$151,0),"")</f>
        <v/>
      </c>
      <c r="AJ83" s="145"/>
      <c r="AK83" s="145"/>
      <c r="AL83" s="145"/>
      <c r="AM83" s="145"/>
      <c r="AN83">
        <f>IF($AI83="","",IF(ISNUMBER(INDEX('Roadmap Calc (Don’t Touch)'!$BB$2:$BB$151,$AI83)),INDEX('Roadmap Calc (Don’t Touch)'!$BB$2:$BB$151,$AI83),""))</f>
      </c>
      <c r="AO83">
        <f>IF($AI83="","",IF(ISNUMBER(INDEX('Roadmap Calc (Don’t Touch)'!$BC$2:$BC$151,$AI83)),INDEX('Roadmap Calc (Don’t Touch)'!$BC$2:$BC$151,$AI83),""))</f>
      </c>
    </row>
    <row r="84" spans="1:41" ht="17" customHeight="1" x14ac:dyDescent="0.25">
      <c r="A84" s="152" t="str">
        <f>IF($AI84="","",IF($AH84=$AH83,"",IF(INDEX('Roadmap Calc (Don’t Touch)'!$U$2:$U$151,$AI84)=0,$AH84,HYPERLINK("#'Control (Don’t Touch)'!E"&amp;INDEX('Roadmap Calc (Don’t Touch)'!$U$2:$U$151,$AI84),$AH84))))</f>
        <v/>
      </c>
      <c r="B84" s="153" t="str">
        <f>IF($AI84="","",IF(INDEX('Roadmap Calc (Don’t Touch)'!$K$2:$K$151,$AI84)="",INDEX('Roadmap Calc (Don’t Touch)'!$B$2:$B$151,$AI84),HYPERLINK("https://jira.bnh.com/browse/"&amp;INDEX('Roadmap Calc (Don’t Touch)'!$K$2:$K$151,$AI84),INDEX('Roadmap Calc (Don’t Touch)'!$B$2:$B$151,$AI84))))</f>
        <v/>
      </c>
      <c r="C84" s="153" t="str">
        <f>IF($AI84="","",IF(INDEX('Roadmap Calc (Don’t Touch)'!$E$2:$E$151,$AI84)="","",HYPERLINK("https://jira.bnh.com/browse/"&amp;INDEX('Roadmap Calc (Don’t Touch)'!$E$2:$E$151,$AI84),INDEX('Roadmap Calc (Don’t Touch)'!$E$2:$E$151,$AI84))))</f>
        <v/>
      </c>
      <c r="D84" s="154" t="str">
        <f>IF($AI84="","",INDEX('Roadmap Calc (Don’t Touch)'!$F$2:$F$151,$AI84))</f>
        <v/>
      </c>
      <c r="E84" s="155" t="str">
        <f>IF($AI84="","",IF(ISNUMBER(INDEX('Roadmap Calc (Don’t Touch)'!$G$2:$G$151,$AI84)),INDEX('Roadmap Calc (Don’t Touch)'!$G$2:$G$151,$AI84),""))</f>
        <v/>
      </c>
      <c r="F84" s="155" t="str">
        <f>IF($AI84="","",IF(ISNUMBER(INDEX('Roadmap Calc (Don’t Touch)'!$H$2:$H$151,$AI84)),INDEX('Roadmap Calc (Don’t Touch)'!$H$2:$H$151,$AI84),""))</f>
        <v/>
      </c>
      <c r="G84" s="156" t="str">
        <f>IF($AI84="","",INDEX('Roadmap Calc (Don’t Touch)'!$T$2:$T$151,$AI84))</f>
        <v/>
      </c>
      <c r="H84" s="157" t="str">
        <f>IF($AI84="","",IF(ISNUMBER(INDEX('Roadmap Calc (Don’t Touch)'!$I$2:$I$151,$AI84)),INDEX('Roadmap Calc (Don’t Touch)'!$I$2:$I$151,$AI84),""))</f>
        <v/>
      </c>
      <c r="I84" s="157" t="str">
        <f>IF($AI84="","",IF(ISNUMBER(INDEX('Roadmap Calc (Don’t Touch)'!$J$2:$J$151,$AI84)),INDEX('Roadmap Calc (Don’t Touch)'!$J$2:$J$151,$AI84),""))</f>
        <v/>
      </c>
      <c r="J84" s="158" t="str">
        <f>IF($AI84="","",IF(AND($AN84&lt;&gt;"",$AN84&lt;=EOMONTH(J$12,0),$AO84&gt;=J$12),IF(AND(INDEX('Roadmap Calc (Don’t Touch)'!$AA$2:$AX$151,$AI84,COLUMN()-COLUMN($J$16)+1)&gt;0,OR($D84="03. UX Discovery",$D84="04. UX Design")),IF(AND($H84&lt;&gt;"",$H84&lt;=EOMONTH(J$12,0),$I84&gt;=J$12),"ALL","PD+UX"),IF(AND($H84&lt;&gt;"",$H84&lt;=EOMONTH(J$12,0),$I84&gt;=J$12),"PD+DEV","PD")),IF(AND(INDEX('Roadmap Calc (Don’t Touch)'!$AA$2:$AX$151,$AI84,COLUMN()-COLUMN($J$16)+1)&gt;0,OR($D84="03. UX Discovery",$D84="04. UX Design")),IF(AND($H84&lt;&gt;"",$H84&lt;=EOMONTH(J$12,0),$I84&gt;=J$12),"UX+DEV","UX"),IF(AND($H84&lt;&gt;"",$H84&lt;=EOMONTH(J$12,0),$I84&gt;=J$12),"DEV",""))))</f>
      </c>
      <c r="K84" s="158" t="str">
        <f>IF($AI84="","",IF(AND($AN84&lt;&gt;"",$AN84&lt;=EOMONTH(K$12,0),$AO84&gt;=K$12),IF(AND(INDEX('Roadmap Calc (Don’t Touch)'!$AA$2:$AX$151,$AI84,COLUMN()-COLUMN($J$16)+1)&gt;0,OR($D84="03. UX Discovery",$D84="04. UX Design")),IF(AND($H84&lt;&gt;"",$H84&lt;=EOMONTH(K$12,0),$I84&gt;=K$12),"ALL","PD+UX"),IF(AND($H84&lt;&gt;"",$H84&lt;=EOMONTH(K$12,0),$I84&gt;=K$12),"PD+DEV","PD")),IF(AND(INDEX('Roadmap Calc (Don’t Touch)'!$AA$2:$AX$151,$AI84,COLUMN()-COLUMN($J$16)+1)&gt;0,OR($D84="03. UX Discovery",$D84="04. UX Design")),IF(AND($H84&lt;&gt;"",$H84&lt;=EOMONTH(K$12,0),$I84&gt;=K$12),"UX+DEV","UX"),IF(AND($H84&lt;&gt;"",$H84&lt;=EOMONTH(K$12,0),$I84&gt;=K$12),"DEV",""))))</f>
      </c>
      <c r="L84" s="158" t="str">
        <f>IF($AI84="","",IF(AND($AN84&lt;&gt;"",$AN84&lt;=EOMONTH(L$12,0),$AO84&gt;=L$12),IF(AND(INDEX('Roadmap Calc (Don’t Touch)'!$AA$2:$AX$151,$AI84,COLUMN()-COLUMN($J$16)+1)&gt;0,OR($D84="03. UX Discovery",$D84="04. UX Design")),IF(AND($H84&lt;&gt;"",$H84&lt;=EOMONTH(L$12,0),$I84&gt;=L$12),"ALL","PD+UX"),IF(AND($H84&lt;&gt;"",$H84&lt;=EOMONTH(L$12,0),$I84&gt;=L$12),"PD+DEV","PD")),IF(AND(INDEX('Roadmap Calc (Don’t Touch)'!$AA$2:$AX$151,$AI84,COLUMN()-COLUMN($J$16)+1)&gt;0,OR($D84="03. UX Discovery",$D84="04. UX Design")),IF(AND($H84&lt;&gt;"",$H84&lt;=EOMONTH(L$12,0),$I84&gt;=L$12),"UX+DEV","UX"),IF(AND($H84&lt;&gt;"",$H84&lt;=EOMONTH(L$12,0),$I84&gt;=L$12),"DEV",""))))</f>
      </c>
      <c r="M84" s="158" t="str">
        <f>IF($AI84="","",IF(AND($AN84&lt;&gt;"",$AN84&lt;=EOMONTH(M$12,0),$AO84&gt;=M$12),IF(AND(INDEX('Roadmap Calc (Don’t Touch)'!$AA$2:$AX$151,$AI84,COLUMN()-COLUMN($J$16)+1)&gt;0,OR($D84="03. UX Discovery",$D84="04. UX Design")),IF(AND($H84&lt;&gt;"",$H84&lt;=EOMONTH(M$12,0),$I84&gt;=M$12),"ALL","PD+UX"),IF(AND($H84&lt;&gt;"",$H84&lt;=EOMONTH(M$12,0),$I84&gt;=M$12),"PD+DEV","PD")),IF(AND(INDEX('Roadmap Calc (Don’t Touch)'!$AA$2:$AX$151,$AI84,COLUMN()-COLUMN($J$16)+1)&gt;0,OR($D84="03. UX Discovery",$D84="04. UX Design")),IF(AND($H84&lt;&gt;"",$H84&lt;=EOMONTH(M$12,0),$I84&gt;=M$12),"UX+DEV","UX"),IF(AND($H84&lt;&gt;"",$H84&lt;=EOMONTH(M$12,0),$I84&gt;=M$12),"DEV",""))))</f>
      </c>
      <c r="N84" s="158" t="str">
        <f>IF($AI84="","",IF(AND($AN84&lt;&gt;"",$AN84&lt;=EOMONTH(N$12,0),$AO84&gt;=N$12),IF(AND(INDEX('Roadmap Calc (Don’t Touch)'!$AA$2:$AX$151,$AI84,COLUMN()-COLUMN($J$16)+1)&gt;0,OR($D84="03. UX Discovery",$D84="04. UX Design")),IF(AND($H84&lt;&gt;"",$H84&lt;=EOMONTH(N$12,0),$I84&gt;=N$12),"ALL","PD+UX"),IF(AND($H84&lt;&gt;"",$H84&lt;=EOMONTH(N$12,0),$I84&gt;=N$12),"PD+DEV","PD")),IF(AND(INDEX('Roadmap Calc (Don’t Touch)'!$AA$2:$AX$151,$AI84,COLUMN()-COLUMN($J$16)+1)&gt;0,OR($D84="03. UX Discovery",$D84="04. UX Design")),IF(AND($H84&lt;&gt;"",$H84&lt;=EOMONTH(N$12,0),$I84&gt;=N$12),"UX+DEV","UX"),IF(AND($H84&lt;&gt;"",$H84&lt;=EOMONTH(N$12,0),$I84&gt;=N$12),"DEV",""))))</f>
      </c>
      <c r="O84" s="158" t="str">
        <f>IF($AI84="","",IF(AND($AN84&lt;&gt;"",$AN84&lt;=EOMONTH(O$12,0),$AO84&gt;=O$12),IF(AND(INDEX('Roadmap Calc (Don’t Touch)'!$AA$2:$AX$151,$AI84,COLUMN()-COLUMN($J$16)+1)&gt;0,OR($D84="03. UX Discovery",$D84="04. UX Design")),IF(AND($H84&lt;&gt;"",$H84&lt;=EOMONTH(O$12,0),$I84&gt;=O$12),"ALL","PD+UX"),IF(AND($H84&lt;&gt;"",$H84&lt;=EOMONTH(O$12,0),$I84&gt;=O$12),"PD+DEV","PD")),IF(AND(INDEX('Roadmap Calc (Don’t Touch)'!$AA$2:$AX$151,$AI84,COLUMN()-COLUMN($J$16)+1)&gt;0,OR($D84="03. UX Discovery",$D84="04. UX Design")),IF(AND($H84&lt;&gt;"",$H84&lt;=EOMONTH(O$12,0),$I84&gt;=O$12),"UX+DEV","UX"),IF(AND($H84&lt;&gt;"",$H84&lt;=EOMONTH(O$12,0),$I84&gt;=O$12),"DEV",""))))</f>
      </c>
      <c r="P84" s="158" t="str">
        <f>IF($AI84="","",IF(AND($AN84&lt;&gt;"",$AN84&lt;=EOMONTH(P$12,0),$AO84&gt;=P$12),IF(AND(INDEX('Roadmap Calc (Don’t Touch)'!$AA$2:$AX$151,$AI84,COLUMN()-COLUMN($J$16)+1)&gt;0,OR($D84="03. UX Discovery",$D84="04. UX Design")),IF(AND($H84&lt;&gt;"",$H84&lt;=EOMONTH(P$12,0),$I84&gt;=P$12),"ALL","PD+UX"),IF(AND($H84&lt;&gt;"",$H84&lt;=EOMONTH(P$12,0),$I84&gt;=P$12),"PD+DEV","PD")),IF(AND(INDEX('Roadmap Calc (Don’t Touch)'!$AA$2:$AX$151,$AI84,COLUMN()-COLUMN($J$16)+1)&gt;0,OR($D84="03. UX Discovery",$D84="04. UX Design")),IF(AND($H84&lt;&gt;"",$H84&lt;=EOMONTH(P$12,0),$I84&gt;=P$12),"UX+DEV","UX"),IF(AND($H84&lt;&gt;"",$H84&lt;=EOMONTH(P$12,0),$I84&gt;=P$12),"DEV",""))))</f>
      </c>
      <c r="Q84" s="158" t="str">
        <f>IF($AI84="","",IF(AND($AN84&lt;&gt;"",$AN84&lt;=EOMONTH(Q$12,0),$AO84&gt;=Q$12),IF(AND(INDEX('Roadmap Calc (Don’t Touch)'!$AA$2:$AX$151,$AI84,COLUMN()-COLUMN($J$16)+1)&gt;0,OR($D84="03. UX Discovery",$D84="04. UX Design")),IF(AND($H84&lt;&gt;"",$H84&lt;=EOMONTH(Q$12,0),$I84&gt;=Q$12),"ALL","PD+UX"),IF(AND($H84&lt;&gt;"",$H84&lt;=EOMONTH(Q$12,0),$I84&gt;=Q$12),"PD+DEV","PD")),IF(AND(INDEX('Roadmap Calc (Don’t Touch)'!$AA$2:$AX$151,$AI84,COLUMN()-COLUMN($J$16)+1)&gt;0,OR($D84="03. UX Discovery",$D84="04. UX Design")),IF(AND($H84&lt;&gt;"",$H84&lt;=EOMONTH(Q$12,0),$I84&gt;=Q$12),"UX+DEV","UX"),IF(AND($H84&lt;&gt;"",$H84&lt;=EOMONTH(Q$12,0),$I84&gt;=Q$12),"DEV",""))))</f>
      </c>
      <c r="R84" s="158" t="str">
        <f>IF($AI84="","",IF(AND($AN84&lt;&gt;"",$AN84&lt;=EOMONTH(R$12,0),$AO84&gt;=R$12),IF(AND(INDEX('Roadmap Calc (Don’t Touch)'!$AA$2:$AX$151,$AI84,COLUMN()-COLUMN($J$16)+1)&gt;0,OR($D84="03. UX Discovery",$D84="04. UX Design")),IF(AND($H84&lt;&gt;"",$H84&lt;=EOMONTH(R$12,0),$I84&gt;=R$12),"ALL","PD+UX"),IF(AND($H84&lt;&gt;"",$H84&lt;=EOMONTH(R$12,0),$I84&gt;=R$12),"PD+DEV","PD")),IF(AND(INDEX('Roadmap Calc (Don’t Touch)'!$AA$2:$AX$151,$AI84,COLUMN()-COLUMN($J$16)+1)&gt;0,OR($D84="03. UX Discovery",$D84="04. UX Design")),IF(AND($H84&lt;&gt;"",$H84&lt;=EOMONTH(R$12,0),$I84&gt;=R$12),"UX+DEV","UX"),IF(AND($H84&lt;&gt;"",$H84&lt;=EOMONTH(R$12,0),$I84&gt;=R$12),"DEV",""))))</f>
      </c>
      <c r="S84" s="158" t="str">
        <f>IF($AI84="","",IF(AND($AN84&lt;&gt;"",$AN84&lt;=EOMONTH(S$12,0),$AO84&gt;=S$12),IF(AND(INDEX('Roadmap Calc (Don’t Touch)'!$AA$2:$AX$151,$AI84,COLUMN()-COLUMN($J$16)+1)&gt;0,OR($D84="03. UX Discovery",$D84="04. UX Design")),IF(AND($H84&lt;&gt;"",$H84&lt;=EOMONTH(S$12,0),$I84&gt;=S$12),"ALL","PD+UX"),IF(AND($H84&lt;&gt;"",$H84&lt;=EOMONTH(S$12,0),$I84&gt;=S$12),"PD+DEV","PD")),IF(AND(INDEX('Roadmap Calc (Don’t Touch)'!$AA$2:$AX$151,$AI84,COLUMN()-COLUMN($J$16)+1)&gt;0,OR($D84="03. UX Discovery",$D84="04. UX Design")),IF(AND($H84&lt;&gt;"",$H84&lt;=EOMONTH(S$12,0),$I84&gt;=S$12),"UX+DEV","UX"),IF(AND($H84&lt;&gt;"",$H84&lt;=EOMONTH(S$12,0),$I84&gt;=S$12),"DEV",""))))</f>
      </c>
      <c r="T84" s="158" t="str">
        <f>IF($AI84="","",IF(AND($AN84&lt;&gt;"",$AN84&lt;=EOMONTH(T$12,0),$AO84&gt;=T$12),IF(AND(INDEX('Roadmap Calc (Don’t Touch)'!$AA$2:$AX$151,$AI84,COLUMN()-COLUMN($J$16)+1)&gt;0,OR($D84="03. UX Discovery",$D84="04. UX Design")),IF(AND($H84&lt;&gt;"",$H84&lt;=EOMONTH(T$12,0),$I84&gt;=T$12),"ALL","PD+UX"),IF(AND($H84&lt;&gt;"",$H84&lt;=EOMONTH(T$12,0),$I84&gt;=T$12),"PD+DEV","PD")),IF(AND(INDEX('Roadmap Calc (Don’t Touch)'!$AA$2:$AX$151,$AI84,COLUMN()-COLUMN($J$16)+1)&gt;0,OR($D84="03. UX Discovery",$D84="04. UX Design")),IF(AND($H84&lt;&gt;"",$H84&lt;=EOMONTH(T$12,0),$I84&gt;=T$12),"UX+DEV","UX"),IF(AND($H84&lt;&gt;"",$H84&lt;=EOMONTH(T$12,0),$I84&gt;=T$12),"DEV",""))))</f>
      </c>
      <c r="U84" s="158" t="str">
        <f>IF($AI84="","",IF(AND($AN84&lt;&gt;"",$AN84&lt;=EOMONTH(U$12,0),$AO84&gt;=U$12),IF(AND(INDEX('Roadmap Calc (Don’t Touch)'!$AA$2:$AX$151,$AI84,COLUMN()-COLUMN($J$16)+1)&gt;0,OR($D84="03. UX Discovery",$D84="04. UX Design")),IF(AND($H84&lt;&gt;"",$H84&lt;=EOMONTH(U$12,0),$I84&gt;=U$12),"ALL","PD+UX"),IF(AND($H84&lt;&gt;"",$H84&lt;=EOMONTH(U$12,0),$I84&gt;=U$12),"PD+DEV","PD")),IF(AND(INDEX('Roadmap Calc (Don’t Touch)'!$AA$2:$AX$151,$AI84,COLUMN()-COLUMN($J$16)+1)&gt;0,OR($D84="03. UX Discovery",$D84="04. UX Design")),IF(AND($H84&lt;&gt;"",$H84&lt;=EOMONTH(U$12,0),$I84&gt;=U$12),"UX+DEV","UX"),IF(AND($H84&lt;&gt;"",$H84&lt;=EOMONTH(U$12,0),$I84&gt;=U$12),"DEV",""))))</f>
      </c>
      <c r="V84" s="158" t="str">
        <f>IF($AI84="","",IF(AND($AN84&lt;&gt;"",$AN84&lt;=EOMONTH(V$12,0),$AO84&gt;=V$12),IF(AND(INDEX('Roadmap Calc (Don’t Touch)'!$AA$2:$AX$151,$AI84,COLUMN()-COLUMN($J$16)+1)&gt;0,OR($D84="03. UX Discovery",$D84="04. UX Design")),IF(AND($H84&lt;&gt;"",$H84&lt;=EOMONTH(V$12,0),$I84&gt;=V$12),"ALL","PD+UX"),IF(AND($H84&lt;&gt;"",$H84&lt;=EOMONTH(V$12,0),$I84&gt;=V$12),"PD+DEV","PD")),IF(AND(INDEX('Roadmap Calc (Don’t Touch)'!$AA$2:$AX$151,$AI84,COLUMN()-COLUMN($J$16)+1)&gt;0,OR($D84="03. UX Discovery",$D84="04. UX Design")),IF(AND($H84&lt;&gt;"",$H84&lt;=EOMONTH(V$12,0),$I84&gt;=V$12),"UX+DEV","UX"),IF(AND($H84&lt;&gt;"",$H84&lt;=EOMONTH(V$12,0),$I84&gt;=V$12),"DEV",""))))</f>
      </c>
      <c r="W84" s="158" t="str">
        <f>IF($AI84="","",IF(AND($AN84&lt;&gt;"",$AN84&lt;=EOMONTH(W$12,0),$AO84&gt;=W$12),IF(AND(INDEX('Roadmap Calc (Don’t Touch)'!$AA$2:$AX$151,$AI84,COLUMN()-COLUMN($J$16)+1)&gt;0,OR($D84="03. UX Discovery",$D84="04. UX Design")),IF(AND($H84&lt;&gt;"",$H84&lt;=EOMONTH(W$12,0),$I84&gt;=W$12),"ALL","PD+UX"),IF(AND($H84&lt;&gt;"",$H84&lt;=EOMONTH(W$12,0),$I84&gt;=W$12),"PD+DEV","PD")),IF(AND(INDEX('Roadmap Calc (Don’t Touch)'!$AA$2:$AX$151,$AI84,COLUMN()-COLUMN($J$16)+1)&gt;0,OR($D84="03. UX Discovery",$D84="04. UX Design")),IF(AND($H84&lt;&gt;"",$H84&lt;=EOMONTH(W$12,0),$I84&gt;=W$12),"UX+DEV","UX"),IF(AND($H84&lt;&gt;"",$H84&lt;=EOMONTH(W$12,0),$I84&gt;=W$12),"DEV",""))))</f>
      </c>
      <c r="X84" s="158" t="str">
        <f>IF($AI84="","",IF(AND($AN84&lt;&gt;"",$AN84&lt;=EOMONTH(X$12,0),$AO84&gt;=X$12),IF(AND(INDEX('Roadmap Calc (Don’t Touch)'!$AA$2:$AX$151,$AI84,COLUMN()-COLUMN($J$16)+1)&gt;0,OR($D84="03. UX Discovery",$D84="04. UX Design")),IF(AND($H84&lt;&gt;"",$H84&lt;=EOMONTH(X$12,0),$I84&gt;=X$12),"ALL","PD+UX"),IF(AND($H84&lt;&gt;"",$H84&lt;=EOMONTH(X$12,0),$I84&gt;=X$12),"PD+DEV","PD")),IF(AND(INDEX('Roadmap Calc (Don’t Touch)'!$AA$2:$AX$151,$AI84,COLUMN()-COLUMN($J$16)+1)&gt;0,OR($D84="03. UX Discovery",$D84="04. UX Design")),IF(AND($H84&lt;&gt;"",$H84&lt;=EOMONTH(X$12,0),$I84&gt;=X$12),"UX+DEV","UX"),IF(AND($H84&lt;&gt;"",$H84&lt;=EOMONTH(X$12,0),$I84&gt;=X$12),"DEV",""))))</f>
      </c>
      <c r="Y84" s="158" t="str">
        <f>IF($AI84="","",IF(AND($AN84&lt;&gt;"",$AN84&lt;=EOMONTH(Y$12,0),$AO84&gt;=Y$12),IF(AND(INDEX('Roadmap Calc (Don’t Touch)'!$AA$2:$AX$151,$AI84,COLUMN()-COLUMN($J$16)+1)&gt;0,OR($D84="03. UX Discovery",$D84="04. UX Design")),IF(AND($H84&lt;&gt;"",$H84&lt;=EOMONTH(Y$12,0),$I84&gt;=Y$12),"ALL","PD+UX"),IF(AND($H84&lt;&gt;"",$H84&lt;=EOMONTH(Y$12,0),$I84&gt;=Y$12),"PD+DEV","PD")),IF(AND(INDEX('Roadmap Calc (Don’t Touch)'!$AA$2:$AX$151,$AI84,COLUMN()-COLUMN($J$16)+1)&gt;0,OR($D84="03. UX Discovery",$D84="04. UX Design")),IF(AND($H84&lt;&gt;"",$H84&lt;=EOMONTH(Y$12,0),$I84&gt;=Y$12),"UX+DEV","UX"),IF(AND($H84&lt;&gt;"",$H84&lt;=EOMONTH(Y$12,0),$I84&gt;=Y$12),"DEV",""))))</f>
      </c>
      <c r="Z84" s="158" t="str">
        <f>IF($AI84="","",IF(AND($AN84&lt;&gt;"",$AN84&lt;=EOMONTH(Z$12,0),$AO84&gt;=Z$12),IF(AND(INDEX('Roadmap Calc (Don’t Touch)'!$AA$2:$AX$151,$AI84,COLUMN()-COLUMN($J$16)+1)&gt;0,OR($D84="03. UX Discovery",$D84="04. UX Design")),IF(AND($H84&lt;&gt;"",$H84&lt;=EOMONTH(Z$12,0),$I84&gt;=Z$12),"ALL","PD+UX"),IF(AND($H84&lt;&gt;"",$H84&lt;=EOMONTH(Z$12,0),$I84&gt;=Z$12),"PD+DEV","PD")),IF(AND(INDEX('Roadmap Calc (Don’t Touch)'!$AA$2:$AX$151,$AI84,COLUMN()-COLUMN($J$16)+1)&gt;0,OR($D84="03. UX Discovery",$D84="04. UX Design")),IF(AND($H84&lt;&gt;"",$H84&lt;=EOMONTH(Z$12,0),$I84&gt;=Z$12),"UX+DEV","UX"),IF(AND($H84&lt;&gt;"",$H84&lt;=EOMONTH(Z$12,0),$I84&gt;=Z$12),"DEV",""))))</f>
      </c>
      <c r="AA84" s="158" t="str">
        <f>IF($AI84="","",IF(AND($AN84&lt;&gt;"",$AN84&lt;=EOMONTH(AA$12,0),$AO84&gt;=AA$12),IF(AND(INDEX('Roadmap Calc (Don’t Touch)'!$AA$2:$AX$151,$AI84,COLUMN()-COLUMN($J$16)+1)&gt;0,OR($D84="03. UX Discovery",$D84="04. UX Design")),IF(AND($H84&lt;&gt;"",$H84&lt;=EOMONTH(AA$12,0),$I84&gt;=AA$12),"ALL","PD+UX"),IF(AND($H84&lt;&gt;"",$H84&lt;=EOMONTH(AA$12,0),$I84&gt;=AA$12),"PD+DEV","PD")),IF(AND(INDEX('Roadmap Calc (Don’t Touch)'!$AA$2:$AX$151,$AI84,COLUMN()-COLUMN($J$16)+1)&gt;0,OR($D84="03. UX Discovery",$D84="04. UX Design")),IF(AND($H84&lt;&gt;"",$H84&lt;=EOMONTH(AA$12,0),$I84&gt;=AA$12),"UX+DEV","UX"),IF(AND($H84&lt;&gt;"",$H84&lt;=EOMONTH(AA$12,0),$I84&gt;=AA$12),"DEV",""))))</f>
      </c>
      <c r="AB84" s="158" t="str">
        <f>IF($AI84="","",IF(AND($AN84&lt;&gt;"",$AN84&lt;=EOMONTH(AB$12,0),$AO84&gt;=AB$12),IF(AND(INDEX('Roadmap Calc (Don’t Touch)'!$AA$2:$AX$151,$AI84,COLUMN()-COLUMN($J$16)+1)&gt;0,OR($D84="03. UX Discovery",$D84="04. UX Design")),IF(AND($H84&lt;&gt;"",$H84&lt;=EOMONTH(AB$12,0),$I84&gt;=AB$12),"ALL","PD+UX"),IF(AND($H84&lt;&gt;"",$H84&lt;=EOMONTH(AB$12,0),$I84&gt;=AB$12),"PD+DEV","PD")),IF(AND(INDEX('Roadmap Calc (Don’t Touch)'!$AA$2:$AX$151,$AI84,COLUMN()-COLUMN($J$16)+1)&gt;0,OR($D84="03. UX Discovery",$D84="04. UX Design")),IF(AND($H84&lt;&gt;"",$H84&lt;=EOMONTH(AB$12,0),$I84&gt;=AB$12),"UX+DEV","UX"),IF(AND($H84&lt;&gt;"",$H84&lt;=EOMONTH(AB$12,0),$I84&gt;=AB$12),"DEV",""))))</f>
      </c>
      <c r="AC84" s="158" t="str">
        <f>IF($AI84="","",IF(AND($AN84&lt;&gt;"",$AN84&lt;=EOMONTH(AC$12,0),$AO84&gt;=AC$12),IF(AND(INDEX('Roadmap Calc (Don’t Touch)'!$AA$2:$AX$151,$AI84,COLUMN()-COLUMN($J$16)+1)&gt;0,OR($D84="03. UX Discovery",$D84="04. UX Design")),IF(AND($H84&lt;&gt;"",$H84&lt;=EOMONTH(AC$12,0),$I84&gt;=AC$12),"ALL","PD+UX"),IF(AND($H84&lt;&gt;"",$H84&lt;=EOMONTH(AC$12,0),$I84&gt;=AC$12),"PD+DEV","PD")),IF(AND(INDEX('Roadmap Calc (Don’t Touch)'!$AA$2:$AX$151,$AI84,COLUMN()-COLUMN($J$16)+1)&gt;0,OR($D84="03. UX Discovery",$D84="04. UX Design")),IF(AND($H84&lt;&gt;"",$H84&lt;=EOMONTH(AC$12,0),$I84&gt;=AC$12),"UX+DEV","UX"),IF(AND($H84&lt;&gt;"",$H84&lt;=EOMONTH(AC$12,0),$I84&gt;=AC$12),"DEV",""))))</f>
      </c>
      <c r="AD84" s="158" t="str">
        <f>IF($AI84="","",IF(AND($AN84&lt;&gt;"",$AN84&lt;=EOMONTH(AD$12,0),$AO84&gt;=AD$12),IF(AND(INDEX('Roadmap Calc (Don’t Touch)'!$AA$2:$AX$151,$AI84,COLUMN()-COLUMN($J$16)+1)&gt;0,OR($D84="03. UX Discovery",$D84="04. UX Design")),IF(AND($H84&lt;&gt;"",$H84&lt;=EOMONTH(AD$12,0),$I84&gt;=AD$12),"ALL","PD+UX"),IF(AND($H84&lt;&gt;"",$H84&lt;=EOMONTH(AD$12,0),$I84&gt;=AD$12),"PD+DEV","PD")),IF(AND(INDEX('Roadmap Calc (Don’t Touch)'!$AA$2:$AX$151,$AI84,COLUMN()-COLUMN($J$16)+1)&gt;0,OR($D84="03. UX Discovery",$D84="04. UX Design")),IF(AND($H84&lt;&gt;"",$H84&lt;=EOMONTH(AD$12,0),$I84&gt;=AD$12),"UX+DEV","UX"),IF(AND($H84&lt;&gt;"",$H84&lt;=EOMONTH(AD$12,0),$I84&gt;=AD$12),"DEV",""))))</f>
      </c>
      <c r="AE84" s="158" t="str">
        <f>IF($AI84="","",IF(AND($AN84&lt;&gt;"",$AN84&lt;=EOMONTH(AE$12,0),$AO84&gt;=AE$12),IF(AND(INDEX('Roadmap Calc (Don’t Touch)'!$AA$2:$AX$151,$AI84,COLUMN()-COLUMN($J$16)+1)&gt;0,OR($D84="03. UX Discovery",$D84="04. UX Design")),IF(AND($H84&lt;&gt;"",$H84&lt;=EOMONTH(AE$12,0),$I84&gt;=AE$12),"ALL","PD+UX"),IF(AND($H84&lt;&gt;"",$H84&lt;=EOMONTH(AE$12,0),$I84&gt;=AE$12),"PD+DEV","PD")),IF(AND(INDEX('Roadmap Calc (Don’t Touch)'!$AA$2:$AX$151,$AI84,COLUMN()-COLUMN($J$16)+1)&gt;0,OR($D84="03. UX Discovery",$D84="04. UX Design")),IF(AND($H84&lt;&gt;"",$H84&lt;=EOMONTH(AE$12,0),$I84&gt;=AE$12),"UX+DEV","UX"),IF(AND($H84&lt;&gt;"",$H84&lt;=EOMONTH(AE$12,0),$I84&gt;=AE$12),"DEV",""))))</f>
      </c>
      <c r="AF84" s="158" t="str">
        <f>IF($AI84="","",IF(AND($AN84&lt;&gt;"",$AN84&lt;=EOMONTH(AF$12,0),$AO84&gt;=AF$12),IF(AND(INDEX('Roadmap Calc (Don’t Touch)'!$AA$2:$AX$151,$AI84,COLUMN()-COLUMN($J$16)+1)&gt;0,OR($D84="03. UX Discovery",$D84="04. UX Design")),IF(AND($H84&lt;&gt;"",$H84&lt;=EOMONTH(AF$12,0),$I84&gt;=AF$12),"ALL","PD+UX"),IF(AND($H84&lt;&gt;"",$H84&lt;=EOMONTH(AF$12,0),$I84&gt;=AF$12),"PD+DEV","PD")),IF(AND(INDEX('Roadmap Calc (Don’t Touch)'!$AA$2:$AX$151,$AI84,COLUMN()-COLUMN($J$16)+1)&gt;0,OR($D84="03. UX Discovery",$D84="04. UX Design")),IF(AND($H84&lt;&gt;"",$H84&lt;=EOMONTH(AF$12,0),$I84&gt;=AF$12),"UX+DEV","UX"),IF(AND($H84&lt;&gt;"",$H84&lt;=EOMONTH(AF$12,0),$I84&gt;=AF$12),"DEV",""))))</f>
      </c>
      <c r="AG84" s="158" t="str">
        <f>IF($AI84="","",IF(AND($AN84&lt;&gt;"",$AN84&lt;=EOMONTH(AG$12,0),$AO84&gt;=AG$12),IF(AND(INDEX('Roadmap Calc (Don’t Touch)'!$AA$2:$AX$151,$AI84,COLUMN()-COLUMN($J$16)+1)&gt;0,OR($D84="03. UX Discovery",$D84="04. UX Design")),IF(AND($H84&lt;&gt;"",$H84&lt;=EOMONTH(AG$12,0),$I84&gt;=AG$12),"ALL","PD+UX"),IF(AND($H84&lt;&gt;"",$H84&lt;=EOMONTH(AG$12,0),$I84&gt;=AG$12),"PD+DEV","PD")),IF(AND(INDEX('Roadmap Calc (Don’t Touch)'!$AA$2:$AX$151,$AI84,COLUMN()-COLUMN($J$16)+1)&gt;0,OR($D84="03. UX Discovery",$D84="04. UX Design")),IF(AND($H84&lt;&gt;"",$H84&lt;=EOMONTH(AG$12,0),$I84&gt;=AG$12),"UX+DEV","UX"),IF(AND($H84&lt;&gt;"",$H84&lt;=EOMONTH(AG$12,0),$I84&gt;=AG$12),"DEV",""))))</f>
      </c>
      <c r="AH84" s="145" t="str">
        <f>IF($AI84="","",INDEX('Roadmap Calc (Don’t Touch)'!$D$2:$D$151,$AI84))</f>
        <v/>
      </c>
      <c r="AI84" s="145" t="str">
        <f>IFERROR(MATCH(69,'Roadmap Calc (Don’t Touch)'!$O$2:$O$151,0),"")</f>
        <v/>
      </c>
      <c r="AJ84" s="145"/>
      <c r="AK84" s="145"/>
      <c r="AL84" s="145"/>
      <c r="AM84" s="145"/>
      <c r="AN84">
        <f>IF($AI84="","",IF(ISNUMBER(INDEX('Roadmap Calc (Don’t Touch)'!$BB$2:$BB$151,$AI84)),INDEX('Roadmap Calc (Don’t Touch)'!$BB$2:$BB$151,$AI84),""))</f>
      </c>
      <c r="AO84">
        <f>IF($AI84="","",IF(ISNUMBER(INDEX('Roadmap Calc (Don’t Touch)'!$BC$2:$BC$151,$AI84)),INDEX('Roadmap Calc (Don’t Touch)'!$BC$2:$BC$151,$AI84),""))</f>
      </c>
    </row>
    <row r="85" spans="1:41" ht="17" customHeight="1" x14ac:dyDescent="0.25">
      <c r="A85" s="152" t="str">
        <f>IF($AI85="","",IF($AH85=$AH84,"",IF(INDEX('Roadmap Calc (Don’t Touch)'!$U$2:$U$151,$AI85)=0,$AH85,HYPERLINK("#'Control (Don’t Touch)'!E"&amp;INDEX('Roadmap Calc (Don’t Touch)'!$U$2:$U$151,$AI85),$AH85))))</f>
        <v/>
      </c>
      <c r="B85" s="153" t="str">
        <f>IF($AI85="","",IF(INDEX('Roadmap Calc (Don’t Touch)'!$K$2:$K$151,$AI85)="",INDEX('Roadmap Calc (Don’t Touch)'!$B$2:$B$151,$AI85),HYPERLINK("https://jira.bnh.com/browse/"&amp;INDEX('Roadmap Calc (Don’t Touch)'!$K$2:$K$151,$AI85),INDEX('Roadmap Calc (Don’t Touch)'!$B$2:$B$151,$AI85))))</f>
        <v/>
      </c>
      <c r="C85" s="153" t="str">
        <f>IF($AI85="","",IF(INDEX('Roadmap Calc (Don’t Touch)'!$E$2:$E$151,$AI85)="","",HYPERLINK("https://jira.bnh.com/browse/"&amp;INDEX('Roadmap Calc (Don’t Touch)'!$E$2:$E$151,$AI85),INDEX('Roadmap Calc (Don’t Touch)'!$E$2:$E$151,$AI85))))</f>
        <v/>
      </c>
      <c r="D85" s="154" t="str">
        <f>IF($AI85="","",INDEX('Roadmap Calc (Don’t Touch)'!$F$2:$F$151,$AI85))</f>
        <v/>
      </c>
      <c r="E85" s="155" t="str">
        <f>IF($AI85="","",IF(ISNUMBER(INDEX('Roadmap Calc (Don’t Touch)'!$G$2:$G$151,$AI85)),INDEX('Roadmap Calc (Don’t Touch)'!$G$2:$G$151,$AI85),""))</f>
        <v/>
      </c>
      <c r="F85" s="155" t="str">
        <f>IF($AI85="","",IF(ISNUMBER(INDEX('Roadmap Calc (Don’t Touch)'!$H$2:$H$151,$AI85)),INDEX('Roadmap Calc (Don’t Touch)'!$H$2:$H$151,$AI85),""))</f>
        <v/>
      </c>
      <c r="G85" s="156" t="str">
        <f>IF($AI85="","",INDEX('Roadmap Calc (Don’t Touch)'!$T$2:$T$151,$AI85))</f>
        <v/>
      </c>
      <c r="H85" s="157" t="str">
        <f>IF($AI85="","",IF(ISNUMBER(INDEX('Roadmap Calc (Don’t Touch)'!$I$2:$I$151,$AI85)),INDEX('Roadmap Calc (Don’t Touch)'!$I$2:$I$151,$AI85),""))</f>
        <v/>
      </c>
      <c r="I85" s="157" t="str">
        <f>IF($AI85="","",IF(ISNUMBER(INDEX('Roadmap Calc (Don’t Touch)'!$J$2:$J$151,$AI85)),INDEX('Roadmap Calc (Don’t Touch)'!$J$2:$J$151,$AI85),""))</f>
        <v/>
      </c>
      <c r="J85" s="158" t="str">
        <f>IF($AI85="","",IF(AND($AN85&lt;&gt;"",$AN85&lt;=EOMONTH(J$12,0),$AO85&gt;=J$12),IF(AND(INDEX('Roadmap Calc (Don’t Touch)'!$AA$2:$AX$151,$AI85,COLUMN()-COLUMN($J$16)+1)&gt;0,OR($D85="03. UX Discovery",$D85="04. UX Design")),IF(AND($H85&lt;&gt;"",$H85&lt;=EOMONTH(J$12,0),$I85&gt;=J$12),"ALL","PD+UX"),IF(AND($H85&lt;&gt;"",$H85&lt;=EOMONTH(J$12,0),$I85&gt;=J$12),"PD+DEV","PD")),IF(AND(INDEX('Roadmap Calc (Don’t Touch)'!$AA$2:$AX$151,$AI85,COLUMN()-COLUMN($J$16)+1)&gt;0,OR($D85="03. UX Discovery",$D85="04. UX Design")),IF(AND($H85&lt;&gt;"",$H85&lt;=EOMONTH(J$12,0),$I85&gt;=J$12),"UX+DEV","UX"),IF(AND($H85&lt;&gt;"",$H85&lt;=EOMONTH(J$12,0),$I85&gt;=J$12),"DEV",""))))</f>
      </c>
      <c r="K85" s="158" t="str">
        <f>IF($AI85="","",IF(AND($AN85&lt;&gt;"",$AN85&lt;=EOMONTH(K$12,0),$AO85&gt;=K$12),IF(AND(INDEX('Roadmap Calc (Don’t Touch)'!$AA$2:$AX$151,$AI85,COLUMN()-COLUMN($J$16)+1)&gt;0,OR($D85="03. UX Discovery",$D85="04. UX Design")),IF(AND($H85&lt;&gt;"",$H85&lt;=EOMONTH(K$12,0),$I85&gt;=K$12),"ALL","PD+UX"),IF(AND($H85&lt;&gt;"",$H85&lt;=EOMONTH(K$12,0),$I85&gt;=K$12),"PD+DEV","PD")),IF(AND(INDEX('Roadmap Calc (Don’t Touch)'!$AA$2:$AX$151,$AI85,COLUMN()-COLUMN($J$16)+1)&gt;0,OR($D85="03. UX Discovery",$D85="04. UX Design")),IF(AND($H85&lt;&gt;"",$H85&lt;=EOMONTH(K$12,0),$I85&gt;=K$12),"UX+DEV","UX"),IF(AND($H85&lt;&gt;"",$H85&lt;=EOMONTH(K$12,0),$I85&gt;=K$12),"DEV",""))))</f>
      </c>
      <c r="L85" s="158" t="str">
        <f>IF($AI85="","",IF(AND($AN85&lt;&gt;"",$AN85&lt;=EOMONTH(L$12,0),$AO85&gt;=L$12),IF(AND(INDEX('Roadmap Calc (Don’t Touch)'!$AA$2:$AX$151,$AI85,COLUMN()-COLUMN($J$16)+1)&gt;0,OR($D85="03. UX Discovery",$D85="04. UX Design")),IF(AND($H85&lt;&gt;"",$H85&lt;=EOMONTH(L$12,0),$I85&gt;=L$12),"ALL","PD+UX"),IF(AND($H85&lt;&gt;"",$H85&lt;=EOMONTH(L$12,0),$I85&gt;=L$12),"PD+DEV","PD")),IF(AND(INDEX('Roadmap Calc (Don’t Touch)'!$AA$2:$AX$151,$AI85,COLUMN()-COLUMN($J$16)+1)&gt;0,OR($D85="03. UX Discovery",$D85="04. UX Design")),IF(AND($H85&lt;&gt;"",$H85&lt;=EOMONTH(L$12,0),$I85&gt;=L$12),"UX+DEV","UX"),IF(AND($H85&lt;&gt;"",$H85&lt;=EOMONTH(L$12,0),$I85&gt;=L$12),"DEV",""))))</f>
      </c>
      <c r="M85" s="158" t="str">
        <f>IF($AI85="","",IF(AND($AN85&lt;&gt;"",$AN85&lt;=EOMONTH(M$12,0),$AO85&gt;=M$12),IF(AND(INDEX('Roadmap Calc (Don’t Touch)'!$AA$2:$AX$151,$AI85,COLUMN()-COLUMN($J$16)+1)&gt;0,OR($D85="03. UX Discovery",$D85="04. UX Design")),IF(AND($H85&lt;&gt;"",$H85&lt;=EOMONTH(M$12,0),$I85&gt;=M$12),"ALL","PD+UX"),IF(AND($H85&lt;&gt;"",$H85&lt;=EOMONTH(M$12,0),$I85&gt;=M$12),"PD+DEV","PD")),IF(AND(INDEX('Roadmap Calc (Don’t Touch)'!$AA$2:$AX$151,$AI85,COLUMN()-COLUMN($J$16)+1)&gt;0,OR($D85="03. UX Discovery",$D85="04. UX Design")),IF(AND($H85&lt;&gt;"",$H85&lt;=EOMONTH(M$12,0),$I85&gt;=M$12),"UX+DEV","UX"),IF(AND($H85&lt;&gt;"",$H85&lt;=EOMONTH(M$12,0),$I85&gt;=M$12),"DEV",""))))</f>
      </c>
      <c r="N85" s="158" t="str">
        <f>IF($AI85="","",IF(AND($AN85&lt;&gt;"",$AN85&lt;=EOMONTH(N$12,0),$AO85&gt;=N$12),IF(AND(INDEX('Roadmap Calc (Don’t Touch)'!$AA$2:$AX$151,$AI85,COLUMN()-COLUMN($J$16)+1)&gt;0,OR($D85="03. UX Discovery",$D85="04. UX Design")),IF(AND($H85&lt;&gt;"",$H85&lt;=EOMONTH(N$12,0),$I85&gt;=N$12),"ALL","PD+UX"),IF(AND($H85&lt;&gt;"",$H85&lt;=EOMONTH(N$12,0),$I85&gt;=N$12),"PD+DEV","PD")),IF(AND(INDEX('Roadmap Calc (Don’t Touch)'!$AA$2:$AX$151,$AI85,COLUMN()-COLUMN($J$16)+1)&gt;0,OR($D85="03. UX Discovery",$D85="04. UX Design")),IF(AND($H85&lt;&gt;"",$H85&lt;=EOMONTH(N$12,0),$I85&gt;=N$12),"UX+DEV","UX"),IF(AND($H85&lt;&gt;"",$H85&lt;=EOMONTH(N$12,0),$I85&gt;=N$12),"DEV",""))))</f>
      </c>
      <c r="O85" s="158" t="str">
        <f>IF($AI85="","",IF(AND($AN85&lt;&gt;"",$AN85&lt;=EOMONTH(O$12,0),$AO85&gt;=O$12),IF(AND(INDEX('Roadmap Calc (Don’t Touch)'!$AA$2:$AX$151,$AI85,COLUMN()-COLUMN($J$16)+1)&gt;0,OR($D85="03. UX Discovery",$D85="04. UX Design")),IF(AND($H85&lt;&gt;"",$H85&lt;=EOMONTH(O$12,0),$I85&gt;=O$12),"ALL","PD+UX"),IF(AND($H85&lt;&gt;"",$H85&lt;=EOMONTH(O$12,0),$I85&gt;=O$12),"PD+DEV","PD")),IF(AND(INDEX('Roadmap Calc (Don’t Touch)'!$AA$2:$AX$151,$AI85,COLUMN()-COLUMN($J$16)+1)&gt;0,OR($D85="03. UX Discovery",$D85="04. UX Design")),IF(AND($H85&lt;&gt;"",$H85&lt;=EOMONTH(O$12,0),$I85&gt;=O$12),"UX+DEV","UX"),IF(AND($H85&lt;&gt;"",$H85&lt;=EOMONTH(O$12,0),$I85&gt;=O$12),"DEV",""))))</f>
      </c>
      <c r="P85" s="158" t="str">
        <f>IF($AI85="","",IF(AND($AN85&lt;&gt;"",$AN85&lt;=EOMONTH(P$12,0),$AO85&gt;=P$12),IF(AND(INDEX('Roadmap Calc (Don’t Touch)'!$AA$2:$AX$151,$AI85,COLUMN()-COLUMN($J$16)+1)&gt;0,OR($D85="03. UX Discovery",$D85="04. UX Design")),IF(AND($H85&lt;&gt;"",$H85&lt;=EOMONTH(P$12,0),$I85&gt;=P$12),"ALL","PD+UX"),IF(AND($H85&lt;&gt;"",$H85&lt;=EOMONTH(P$12,0),$I85&gt;=P$12),"PD+DEV","PD")),IF(AND(INDEX('Roadmap Calc (Don’t Touch)'!$AA$2:$AX$151,$AI85,COLUMN()-COLUMN($J$16)+1)&gt;0,OR($D85="03. UX Discovery",$D85="04. UX Design")),IF(AND($H85&lt;&gt;"",$H85&lt;=EOMONTH(P$12,0),$I85&gt;=P$12),"UX+DEV","UX"),IF(AND($H85&lt;&gt;"",$H85&lt;=EOMONTH(P$12,0),$I85&gt;=P$12),"DEV",""))))</f>
      </c>
      <c r="Q85" s="158" t="str">
        <f>IF($AI85="","",IF(AND($AN85&lt;&gt;"",$AN85&lt;=EOMONTH(Q$12,0),$AO85&gt;=Q$12),IF(AND(INDEX('Roadmap Calc (Don’t Touch)'!$AA$2:$AX$151,$AI85,COLUMN()-COLUMN($J$16)+1)&gt;0,OR($D85="03. UX Discovery",$D85="04. UX Design")),IF(AND($H85&lt;&gt;"",$H85&lt;=EOMONTH(Q$12,0),$I85&gt;=Q$12),"ALL","PD+UX"),IF(AND($H85&lt;&gt;"",$H85&lt;=EOMONTH(Q$12,0),$I85&gt;=Q$12),"PD+DEV","PD")),IF(AND(INDEX('Roadmap Calc (Don’t Touch)'!$AA$2:$AX$151,$AI85,COLUMN()-COLUMN($J$16)+1)&gt;0,OR($D85="03. UX Discovery",$D85="04. UX Design")),IF(AND($H85&lt;&gt;"",$H85&lt;=EOMONTH(Q$12,0),$I85&gt;=Q$12),"UX+DEV","UX"),IF(AND($H85&lt;&gt;"",$H85&lt;=EOMONTH(Q$12,0),$I85&gt;=Q$12),"DEV",""))))</f>
      </c>
      <c r="R85" s="158" t="str">
        <f>IF($AI85="","",IF(AND($AN85&lt;&gt;"",$AN85&lt;=EOMONTH(R$12,0),$AO85&gt;=R$12),IF(AND(INDEX('Roadmap Calc (Don’t Touch)'!$AA$2:$AX$151,$AI85,COLUMN()-COLUMN($J$16)+1)&gt;0,OR($D85="03. UX Discovery",$D85="04. UX Design")),IF(AND($H85&lt;&gt;"",$H85&lt;=EOMONTH(R$12,0),$I85&gt;=R$12),"ALL","PD+UX"),IF(AND($H85&lt;&gt;"",$H85&lt;=EOMONTH(R$12,0),$I85&gt;=R$12),"PD+DEV","PD")),IF(AND(INDEX('Roadmap Calc (Don’t Touch)'!$AA$2:$AX$151,$AI85,COLUMN()-COLUMN($J$16)+1)&gt;0,OR($D85="03. UX Discovery",$D85="04. UX Design")),IF(AND($H85&lt;&gt;"",$H85&lt;=EOMONTH(R$12,0),$I85&gt;=R$12),"UX+DEV","UX"),IF(AND($H85&lt;&gt;"",$H85&lt;=EOMONTH(R$12,0),$I85&gt;=R$12),"DEV",""))))</f>
      </c>
      <c r="S85" s="158" t="str">
        <f>IF($AI85="","",IF(AND($AN85&lt;&gt;"",$AN85&lt;=EOMONTH(S$12,0),$AO85&gt;=S$12),IF(AND(INDEX('Roadmap Calc (Don’t Touch)'!$AA$2:$AX$151,$AI85,COLUMN()-COLUMN($J$16)+1)&gt;0,OR($D85="03. UX Discovery",$D85="04. UX Design")),IF(AND($H85&lt;&gt;"",$H85&lt;=EOMONTH(S$12,0),$I85&gt;=S$12),"ALL","PD+UX"),IF(AND($H85&lt;&gt;"",$H85&lt;=EOMONTH(S$12,0),$I85&gt;=S$12),"PD+DEV","PD")),IF(AND(INDEX('Roadmap Calc (Don’t Touch)'!$AA$2:$AX$151,$AI85,COLUMN()-COLUMN($J$16)+1)&gt;0,OR($D85="03. UX Discovery",$D85="04. UX Design")),IF(AND($H85&lt;&gt;"",$H85&lt;=EOMONTH(S$12,0),$I85&gt;=S$12),"UX+DEV","UX"),IF(AND($H85&lt;&gt;"",$H85&lt;=EOMONTH(S$12,0),$I85&gt;=S$12),"DEV",""))))</f>
      </c>
      <c r="T85" s="158" t="str">
        <f>IF($AI85="","",IF(AND($AN85&lt;&gt;"",$AN85&lt;=EOMONTH(T$12,0),$AO85&gt;=T$12),IF(AND(INDEX('Roadmap Calc (Don’t Touch)'!$AA$2:$AX$151,$AI85,COLUMN()-COLUMN($J$16)+1)&gt;0,OR($D85="03. UX Discovery",$D85="04. UX Design")),IF(AND($H85&lt;&gt;"",$H85&lt;=EOMONTH(T$12,0),$I85&gt;=T$12),"ALL","PD+UX"),IF(AND($H85&lt;&gt;"",$H85&lt;=EOMONTH(T$12,0),$I85&gt;=T$12),"PD+DEV","PD")),IF(AND(INDEX('Roadmap Calc (Don’t Touch)'!$AA$2:$AX$151,$AI85,COLUMN()-COLUMN($J$16)+1)&gt;0,OR($D85="03. UX Discovery",$D85="04. UX Design")),IF(AND($H85&lt;&gt;"",$H85&lt;=EOMONTH(T$12,0),$I85&gt;=T$12),"UX+DEV","UX"),IF(AND($H85&lt;&gt;"",$H85&lt;=EOMONTH(T$12,0),$I85&gt;=T$12),"DEV",""))))</f>
      </c>
      <c r="U85" s="158" t="str">
        <f>IF($AI85="","",IF(AND($AN85&lt;&gt;"",$AN85&lt;=EOMONTH(U$12,0),$AO85&gt;=U$12),IF(AND(INDEX('Roadmap Calc (Don’t Touch)'!$AA$2:$AX$151,$AI85,COLUMN()-COLUMN($J$16)+1)&gt;0,OR($D85="03. UX Discovery",$D85="04. UX Design")),IF(AND($H85&lt;&gt;"",$H85&lt;=EOMONTH(U$12,0),$I85&gt;=U$12),"ALL","PD+UX"),IF(AND($H85&lt;&gt;"",$H85&lt;=EOMONTH(U$12,0),$I85&gt;=U$12),"PD+DEV","PD")),IF(AND(INDEX('Roadmap Calc (Don’t Touch)'!$AA$2:$AX$151,$AI85,COLUMN()-COLUMN($J$16)+1)&gt;0,OR($D85="03. UX Discovery",$D85="04. UX Design")),IF(AND($H85&lt;&gt;"",$H85&lt;=EOMONTH(U$12,0),$I85&gt;=U$12),"UX+DEV","UX"),IF(AND($H85&lt;&gt;"",$H85&lt;=EOMONTH(U$12,0),$I85&gt;=U$12),"DEV",""))))</f>
      </c>
      <c r="V85" s="158" t="str">
        <f>IF($AI85="","",IF(AND($AN85&lt;&gt;"",$AN85&lt;=EOMONTH(V$12,0),$AO85&gt;=V$12),IF(AND(INDEX('Roadmap Calc (Don’t Touch)'!$AA$2:$AX$151,$AI85,COLUMN()-COLUMN($J$16)+1)&gt;0,OR($D85="03. UX Discovery",$D85="04. UX Design")),IF(AND($H85&lt;&gt;"",$H85&lt;=EOMONTH(V$12,0),$I85&gt;=V$12),"ALL","PD+UX"),IF(AND($H85&lt;&gt;"",$H85&lt;=EOMONTH(V$12,0),$I85&gt;=V$12),"PD+DEV","PD")),IF(AND(INDEX('Roadmap Calc (Don’t Touch)'!$AA$2:$AX$151,$AI85,COLUMN()-COLUMN($J$16)+1)&gt;0,OR($D85="03. UX Discovery",$D85="04. UX Design")),IF(AND($H85&lt;&gt;"",$H85&lt;=EOMONTH(V$12,0),$I85&gt;=V$12),"UX+DEV","UX"),IF(AND($H85&lt;&gt;"",$H85&lt;=EOMONTH(V$12,0),$I85&gt;=V$12),"DEV",""))))</f>
      </c>
      <c r="W85" s="158" t="str">
        <f>IF($AI85="","",IF(AND($AN85&lt;&gt;"",$AN85&lt;=EOMONTH(W$12,0),$AO85&gt;=W$12),IF(AND(INDEX('Roadmap Calc (Don’t Touch)'!$AA$2:$AX$151,$AI85,COLUMN()-COLUMN($J$16)+1)&gt;0,OR($D85="03. UX Discovery",$D85="04. UX Design")),IF(AND($H85&lt;&gt;"",$H85&lt;=EOMONTH(W$12,0),$I85&gt;=W$12),"ALL","PD+UX"),IF(AND($H85&lt;&gt;"",$H85&lt;=EOMONTH(W$12,0),$I85&gt;=W$12),"PD+DEV","PD")),IF(AND(INDEX('Roadmap Calc (Don’t Touch)'!$AA$2:$AX$151,$AI85,COLUMN()-COLUMN($J$16)+1)&gt;0,OR($D85="03. UX Discovery",$D85="04. UX Design")),IF(AND($H85&lt;&gt;"",$H85&lt;=EOMONTH(W$12,0),$I85&gt;=W$12),"UX+DEV","UX"),IF(AND($H85&lt;&gt;"",$H85&lt;=EOMONTH(W$12,0),$I85&gt;=W$12),"DEV",""))))</f>
      </c>
      <c r="X85" s="158" t="str">
        <f>IF($AI85="","",IF(AND($AN85&lt;&gt;"",$AN85&lt;=EOMONTH(X$12,0),$AO85&gt;=X$12),IF(AND(INDEX('Roadmap Calc (Don’t Touch)'!$AA$2:$AX$151,$AI85,COLUMN()-COLUMN($J$16)+1)&gt;0,OR($D85="03. UX Discovery",$D85="04. UX Design")),IF(AND($H85&lt;&gt;"",$H85&lt;=EOMONTH(X$12,0),$I85&gt;=X$12),"ALL","PD+UX"),IF(AND($H85&lt;&gt;"",$H85&lt;=EOMONTH(X$12,0),$I85&gt;=X$12),"PD+DEV","PD")),IF(AND(INDEX('Roadmap Calc (Don’t Touch)'!$AA$2:$AX$151,$AI85,COLUMN()-COLUMN($J$16)+1)&gt;0,OR($D85="03. UX Discovery",$D85="04. UX Design")),IF(AND($H85&lt;&gt;"",$H85&lt;=EOMONTH(X$12,0),$I85&gt;=X$12),"UX+DEV","UX"),IF(AND($H85&lt;&gt;"",$H85&lt;=EOMONTH(X$12,0),$I85&gt;=X$12),"DEV",""))))</f>
      </c>
      <c r="Y85" s="158" t="str">
        <f>IF($AI85="","",IF(AND($AN85&lt;&gt;"",$AN85&lt;=EOMONTH(Y$12,0),$AO85&gt;=Y$12),IF(AND(INDEX('Roadmap Calc (Don’t Touch)'!$AA$2:$AX$151,$AI85,COLUMN()-COLUMN($J$16)+1)&gt;0,OR($D85="03. UX Discovery",$D85="04. UX Design")),IF(AND($H85&lt;&gt;"",$H85&lt;=EOMONTH(Y$12,0),$I85&gt;=Y$12),"ALL","PD+UX"),IF(AND($H85&lt;&gt;"",$H85&lt;=EOMONTH(Y$12,0),$I85&gt;=Y$12),"PD+DEV","PD")),IF(AND(INDEX('Roadmap Calc (Don’t Touch)'!$AA$2:$AX$151,$AI85,COLUMN()-COLUMN($J$16)+1)&gt;0,OR($D85="03. UX Discovery",$D85="04. UX Design")),IF(AND($H85&lt;&gt;"",$H85&lt;=EOMONTH(Y$12,0),$I85&gt;=Y$12),"UX+DEV","UX"),IF(AND($H85&lt;&gt;"",$H85&lt;=EOMONTH(Y$12,0),$I85&gt;=Y$12),"DEV",""))))</f>
      </c>
      <c r="Z85" s="158" t="str">
        <f>IF($AI85="","",IF(AND($AN85&lt;&gt;"",$AN85&lt;=EOMONTH(Z$12,0),$AO85&gt;=Z$12),IF(AND(INDEX('Roadmap Calc (Don’t Touch)'!$AA$2:$AX$151,$AI85,COLUMN()-COLUMN($J$16)+1)&gt;0,OR($D85="03. UX Discovery",$D85="04. UX Design")),IF(AND($H85&lt;&gt;"",$H85&lt;=EOMONTH(Z$12,0),$I85&gt;=Z$12),"ALL","PD+UX"),IF(AND($H85&lt;&gt;"",$H85&lt;=EOMONTH(Z$12,0),$I85&gt;=Z$12),"PD+DEV","PD")),IF(AND(INDEX('Roadmap Calc (Don’t Touch)'!$AA$2:$AX$151,$AI85,COLUMN()-COLUMN($J$16)+1)&gt;0,OR($D85="03. UX Discovery",$D85="04. UX Design")),IF(AND($H85&lt;&gt;"",$H85&lt;=EOMONTH(Z$12,0),$I85&gt;=Z$12),"UX+DEV","UX"),IF(AND($H85&lt;&gt;"",$H85&lt;=EOMONTH(Z$12,0),$I85&gt;=Z$12),"DEV",""))))</f>
      </c>
      <c r="AA85" s="158" t="str">
        <f>IF($AI85="","",IF(AND($AN85&lt;&gt;"",$AN85&lt;=EOMONTH(AA$12,0),$AO85&gt;=AA$12),IF(AND(INDEX('Roadmap Calc (Don’t Touch)'!$AA$2:$AX$151,$AI85,COLUMN()-COLUMN($J$16)+1)&gt;0,OR($D85="03. UX Discovery",$D85="04. UX Design")),IF(AND($H85&lt;&gt;"",$H85&lt;=EOMONTH(AA$12,0),$I85&gt;=AA$12),"ALL","PD+UX"),IF(AND($H85&lt;&gt;"",$H85&lt;=EOMONTH(AA$12,0),$I85&gt;=AA$12),"PD+DEV","PD")),IF(AND(INDEX('Roadmap Calc (Don’t Touch)'!$AA$2:$AX$151,$AI85,COLUMN()-COLUMN($J$16)+1)&gt;0,OR($D85="03. UX Discovery",$D85="04. UX Design")),IF(AND($H85&lt;&gt;"",$H85&lt;=EOMONTH(AA$12,0),$I85&gt;=AA$12),"UX+DEV","UX"),IF(AND($H85&lt;&gt;"",$H85&lt;=EOMONTH(AA$12,0),$I85&gt;=AA$12),"DEV",""))))</f>
      </c>
      <c r="AB85" s="158" t="str">
        <f>IF($AI85="","",IF(AND($AN85&lt;&gt;"",$AN85&lt;=EOMONTH(AB$12,0),$AO85&gt;=AB$12),IF(AND(INDEX('Roadmap Calc (Don’t Touch)'!$AA$2:$AX$151,$AI85,COLUMN()-COLUMN($J$16)+1)&gt;0,OR($D85="03. UX Discovery",$D85="04. UX Design")),IF(AND($H85&lt;&gt;"",$H85&lt;=EOMONTH(AB$12,0),$I85&gt;=AB$12),"ALL","PD+UX"),IF(AND($H85&lt;&gt;"",$H85&lt;=EOMONTH(AB$12,0),$I85&gt;=AB$12),"PD+DEV","PD")),IF(AND(INDEX('Roadmap Calc (Don’t Touch)'!$AA$2:$AX$151,$AI85,COLUMN()-COLUMN($J$16)+1)&gt;0,OR($D85="03. UX Discovery",$D85="04. UX Design")),IF(AND($H85&lt;&gt;"",$H85&lt;=EOMONTH(AB$12,0),$I85&gt;=AB$12),"UX+DEV","UX"),IF(AND($H85&lt;&gt;"",$H85&lt;=EOMONTH(AB$12,0),$I85&gt;=AB$12),"DEV",""))))</f>
      </c>
      <c r="AC85" s="158" t="str">
        <f>IF($AI85="","",IF(AND($AN85&lt;&gt;"",$AN85&lt;=EOMONTH(AC$12,0),$AO85&gt;=AC$12),IF(AND(INDEX('Roadmap Calc (Don’t Touch)'!$AA$2:$AX$151,$AI85,COLUMN()-COLUMN($J$16)+1)&gt;0,OR($D85="03. UX Discovery",$D85="04. UX Design")),IF(AND($H85&lt;&gt;"",$H85&lt;=EOMONTH(AC$12,0),$I85&gt;=AC$12),"ALL","PD+UX"),IF(AND($H85&lt;&gt;"",$H85&lt;=EOMONTH(AC$12,0),$I85&gt;=AC$12),"PD+DEV","PD")),IF(AND(INDEX('Roadmap Calc (Don’t Touch)'!$AA$2:$AX$151,$AI85,COLUMN()-COLUMN($J$16)+1)&gt;0,OR($D85="03. UX Discovery",$D85="04. UX Design")),IF(AND($H85&lt;&gt;"",$H85&lt;=EOMONTH(AC$12,0),$I85&gt;=AC$12),"UX+DEV","UX"),IF(AND($H85&lt;&gt;"",$H85&lt;=EOMONTH(AC$12,0),$I85&gt;=AC$12),"DEV",""))))</f>
      </c>
      <c r="AD85" s="158" t="str">
        <f>IF($AI85="","",IF(AND($AN85&lt;&gt;"",$AN85&lt;=EOMONTH(AD$12,0),$AO85&gt;=AD$12),IF(AND(INDEX('Roadmap Calc (Don’t Touch)'!$AA$2:$AX$151,$AI85,COLUMN()-COLUMN($J$16)+1)&gt;0,OR($D85="03. UX Discovery",$D85="04. UX Design")),IF(AND($H85&lt;&gt;"",$H85&lt;=EOMONTH(AD$12,0),$I85&gt;=AD$12),"ALL","PD+UX"),IF(AND($H85&lt;&gt;"",$H85&lt;=EOMONTH(AD$12,0),$I85&gt;=AD$12),"PD+DEV","PD")),IF(AND(INDEX('Roadmap Calc (Don’t Touch)'!$AA$2:$AX$151,$AI85,COLUMN()-COLUMN($J$16)+1)&gt;0,OR($D85="03. UX Discovery",$D85="04. UX Design")),IF(AND($H85&lt;&gt;"",$H85&lt;=EOMONTH(AD$12,0),$I85&gt;=AD$12),"UX+DEV","UX"),IF(AND($H85&lt;&gt;"",$H85&lt;=EOMONTH(AD$12,0),$I85&gt;=AD$12),"DEV",""))))</f>
      </c>
      <c r="AE85" s="158" t="str">
        <f>IF($AI85="","",IF(AND($AN85&lt;&gt;"",$AN85&lt;=EOMONTH(AE$12,0),$AO85&gt;=AE$12),IF(AND(INDEX('Roadmap Calc (Don’t Touch)'!$AA$2:$AX$151,$AI85,COLUMN()-COLUMN($J$16)+1)&gt;0,OR($D85="03. UX Discovery",$D85="04. UX Design")),IF(AND($H85&lt;&gt;"",$H85&lt;=EOMONTH(AE$12,0),$I85&gt;=AE$12),"ALL","PD+UX"),IF(AND($H85&lt;&gt;"",$H85&lt;=EOMONTH(AE$12,0),$I85&gt;=AE$12),"PD+DEV","PD")),IF(AND(INDEX('Roadmap Calc (Don’t Touch)'!$AA$2:$AX$151,$AI85,COLUMN()-COLUMN($J$16)+1)&gt;0,OR($D85="03. UX Discovery",$D85="04. UX Design")),IF(AND($H85&lt;&gt;"",$H85&lt;=EOMONTH(AE$12,0),$I85&gt;=AE$12),"UX+DEV","UX"),IF(AND($H85&lt;&gt;"",$H85&lt;=EOMONTH(AE$12,0),$I85&gt;=AE$12),"DEV",""))))</f>
      </c>
      <c r="AF85" s="158" t="str">
        <f>IF($AI85="","",IF(AND($AN85&lt;&gt;"",$AN85&lt;=EOMONTH(AF$12,0),$AO85&gt;=AF$12),IF(AND(INDEX('Roadmap Calc (Don’t Touch)'!$AA$2:$AX$151,$AI85,COLUMN()-COLUMN($J$16)+1)&gt;0,OR($D85="03. UX Discovery",$D85="04. UX Design")),IF(AND($H85&lt;&gt;"",$H85&lt;=EOMONTH(AF$12,0),$I85&gt;=AF$12),"ALL","PD+UX"),IF(AND($H85&lt;&gt;"",$H85&lt;=EOMONTH(AF$12,0),$I85&gt;=AF$12),"PD+DEV","PD")),IF(AND(INDEX('Roadmap Calc (Don’t Touch)'!$AA$2:$AX$151,$AI85,COLUMN()-COLUMN($J$16)+1)&gt;0,OR($D85="03. UX Discovery",$D85="04. UX Design")),IF(AND($H85&lt;&gt;"",$H85&lt;=EOMONTH(AF$12,0),$I85&gt;=AF$12),"UX+DEV","UX"),IF(AND($H85&lt;&gt;"",$H85&lt;=EOMONTH(AF$12,0),$I85&gt;=AF$12),"DEV",""))))</f>
      </c>
      <c r="AG85" s="158" t="str">
        <f>IF($AI85="","",IF(AND($AN85&lt;&gt;"",$AN85&lt;=EOMONTH(AG$12,0),$AO85&gt;=AG$12),IF(AND(INDEX('Roadmap Calc (Don’t Touch)'!$AA$2:$AX$151,$AI85,COLUMN()-COLUMN($J$16)+1)&gt;0,OR($D85="03. UX Discovery",$D85="04. UX Design")),IF(AND($H85&lt;&gt;"",$H85&lt;=EOMONTH(AG$12,0),$I85&gt;=AG$12),"ALL","PD+UX"),IF(AND($H85&lt;&gt;"",$H85&lt;=EOMONTH(AG$12,0),$I85&gt;=AG$12),"PD+DEV","PD")),IF(AND(INDEX('Roadmap Calc (Don’t Touch)'!$AA$2:$AX$151,$AI85,COLUMN()-COLUMN($J$16)+1)&gt;0,OR($D85="03. UX Discovery",$D85="04. UX Design")),IF(AND($H85&lt;&gt;"",$H85&lt;=EOMONTH(AG$12,0),$I85&gt;=AG$12),"UX+DEV","UX"),IF(AND($H85&lt;&gt;"",$H85&lt;=EOMONTH(AG$12,0),$I85&gt;=AG$12),"DEV",""))))</f>
      </c>
      <c r="AH85" s="145" t="str">
        <f>IF($AI85="","",INDEX('Roadmap Calc (Don’t Touch)'!$D$2:$D$151,$AI85))</f>
        <v/>
      </c>
      <c r="AI85" s="145" t="str">
        <f>IFERROR(MATCH(70,'Roadmap Calc (Don’t Touch)'!$O$2:$O$151,0),"")</f>
        <v/>
      </c>
      <c r="AJ85" s="145"/>
      <c r="AK85" s="145"/>
      <c r="AL85" s="145"/>
      <c r="AM85" s="145"/>
      <c r="AN85">
        <f>IF($AI85="","",IF(ISNUMBER(INDEX('Roadmap Calc (Don’t Touch)'!$BB$2:$BB$151,$AI85)),INDEX('Roadmap Calc (Don’t Touch)'!$BB$2:$BB$151,$AI85),""))</f>
      </c>
      <c r="AO85">
        <f>IF($AI85="","",IF(ISNUMBER(INDEX('Roadmap Calc (Don’t Touch)'!$BC$2:$BC$151,$AI85)),INDEX('Roadmap Calc (Don’t Touch)'!$BC$2:$BC$151,$AI85),""))</f>
      </c>
    </row>
    <row r="86" spans="1:41" ht="17" customHeight="1" x14ac:dyDescent="0.25">
      <c r="A86" s="152" t="str">
        <f>IF($AI86="","",IF($AH86=$AH85,"",IF(INDEX('Roadmap Calc (Don’t Touch)'!$U$2:$U$151,$AI86)=0,$AH86,HYPERLINK("#'Control (Don’t Touch)'!E"&amp;INDEX('Roadmap Calc (Don’t Touch)'!$U$2:$U$151,$AI86),$AH86))))</f>
        <v/>
      </c>
      <c r="B86" s="153" t="str">
        <f>IF($AI86="","",IF(INDEX('Roadmap Calc (Don’t Touch)'!$K$2:$K$151,$AI86)="",INDEX('Roadmap Calc (Don’t Touch)'!$B$2:$B$151,$AI86),HYPERLINK("https://jira.bnh.com/browse/"&amp;INDEX('Roadmap Calc (Don’t Touch)'!$K$2:$K$151,$AI86),INDEX('Roadmap Calc (Don’t Touch)'!$B$2:$B$151,$AI86))))</f>
        <v/>
      </c>
      <c r="C86" s="153" t="str">
        <f>IF($AI86="","",IF(INDEX('Roadmap Calc (Don’t Touch)'!$E$2:$E$151,$AI86)="","",HYPERLINK("https://jira.bnh.com/browse/"&amp;INDEX('Roadmap Calc (Don’t Touch)'!$E$2:$E$151,$AI86),INDEX('Roadmap Calc (Don’t Touch)'!$E$2:$E$151,$AI86))))</f>
        <v/>
      </c>
      <c r="D86" s="154" t="str">
        <f>IF($AI86="","",INDEX('Roadmap Calc (Don’t Touch)'!$F$2:$F$151,$AI86))</f>
        <v/>
      </c>
      <c r="E86" s="155" t="str">
        <f>IF($AI86="","",IF(ISNUMBER(INDEX('Roadmap Calc (Don’t Touch)'!$G$2:$G$151,$AI86)),INDEX('Roadmap Calc (Don’t Touch)'!$G$2:$G$151,$AI86),""))</f>
        <v/>
      </c>
      <c r="F86" s="155" t="str">
        <f>IF($AI86="","",IF(ISNUMBER(INDEX('Roadmap Calc (Don’t Touch)'!$H$2:$H$151,$AI86)),INDEX('Roadmap Calc (Don’t Touch)'!$H$2:$H$151,$AI86),""))</f>
        <v/>
      </c>
      <c r="G86" s="156" t="str">
        <f>IF($AI86="","",INDEX('Roadmap Calc (Don’t Touch)'!$T$2:$T$151,$AI86))</f>
        <v/>
      </c>
      <c r="H86" s="157" t="str">
        <f>IF($AI86="","",IF(ISNUMBER(INDEX('Roadmap Calc (Don’t Touch)'!$I$2:$I$151,$AI86)),INDEX('Roadmap Calc (Don’t Touch)'!$I$2:$I$151,$AI86),""))</f>
        <v/>
      </c>
      <c r="I86" s="157" t="str">
        <f>IF($AI86="","",IF(ISNUMBER(INDEX('Roadmap Calc (Don’t Touch)'!$J$2:$J$151,$AI86)),INDEX('Roadmap Calc (Don’t Touch)'!$J$2:$J$151,$AI86),""))</f>
        <v/>
      </c>
      <c r="J86" s="158" t="str">
        <f>IF($AI86="","",IF(AND($AN86&lt;&gt;"",$AN86&lt;=EOMONTH(J$12,0),$AO86&gt;=J$12),IF(AND(INDEX('Roadmap Calc (Don’t Touch)'!$AA$2:$AX$151,$AI86,COLUMN()-COLUMN($J$16)+1)&gt;0,OR($D86="03. UX Discovery",$D86="04. UX Design")),IF(AND($H86&lt;&gt;"",$H86&lt;=EOMONTH(J$12,0),$I86&gt;=J$12),"ALL","PD+UX"),IF(AND($H86&lt;&gt;"",$H86&lt;=EOMONTH(J$12,0),$I86&gt;=J$12),"PD+DEV","PD")),IF(AND(INDEX('Roadmap Calc (Don’t Touch)'!$AA$2:$AX$151,$AI86,COLUMN()-COLUMN($J$16)+1)&gt;0,OR($D86="03. UX Discovery",$D86="04. UX Design")),IF(AND($H86&lt;&gt;"",$H86&lt;=EOMONTH(J$12,0),$I86&gt;=J$12),"UX+DEV","UX"),IF(AND($H86&lt;&gt;"",$H86&lt;=EOMONTH(J$12,0),$I86&gt;=J$12),"DEV",""))))</f>
      </c>
      <c r="K86" s="158" t="str">
        <f>IF($AI86="","",IF(AND($AN86&lt;&gt;"",$AN86&lt;=EOMONTH(K$12,0),$AO86&gt;=K$12),IF(AND(INDEX('Roadmap Calc (Don’t Touch)'!$AA$2:$AX$151,$AI86,COLUMN()-COLUMN($J$16)+1)&gt;0,OR($D86="03. UX Discovery",$D86="04. UX Design")),IF(AND($H86&lt;&gt;"",$H86&lt;=EOMONTH(K$12,0),$I86&gt;=K$12),"ALL","PD+UX"),IF(AND($H86&lt;&gt;"",$H86&lt;=EOMONTH(K$12,0),$I86&gt;=K$12),"PD+DEV","PD")),IF(AND(INDEX('Roadmap Calc (Don’t Touch)'!$AA$2:$AX$151,$AI86,COLUMN()-COLUMN($J$16)+1)&gt;0,OR($D86="03. UX Discovery",$D86="04. UX Design")),IF(AND($H86&lt;&gt;"",$H86&lt;=EOMONTH(K$12,0),$I86&gt;=K$12),"UX+DEV","UX"),IF(AND($H86&lt;&gt;"",$H86&lt;=EOMONTH(K$12,0),$I86&gt;=K$12),"DEV",""))))</f>
      </c>
      <c r="L86" s="158" t="str">
        <f>IF($AI86="","",IF(AND($AN86&lt;&gt;"",$AN86&lt;=EOMONTH(L$12,0),$AO86&gt;=L$12),IF(AND(INDEX('Roadmap Calc (Don’t Touch)'!$AA$2:$AX$151,$AI86,COLUMN()-COLUMN($J$16)+1)&gt;0,OR($D86="03. UX Discovery",$D86="04. UX Design")),IF(AND($H86&lt;&gt;"",$H86&lt;=EOMONTH(L$12,0),$I86&gt;=L$12),"ALL","PD+UX"),IF(AND($H86&lt;&gt;"",$H86&lt;=EOMONTH(L$12,0),$I86&gt;=L$12),"PD+DEV","PD")),IF(AND(INDEX('Roadmap Calc (Don’t Touch)'!$AA$2:$AX$151,$AI86,COLUMN()-COLUMN($J$16)+1)&gt;0,OR($D86="03. UX Discovery",$D86="04. UX Design")),IF(AND($H86&lt;&gt;"",$H86&lt;=EOMONTH(L$12,0),$I86&gt;=L$12),"UX+DEV","UX"),IF(AND($H86&lt;&gt;"",$H86&lt;=EOMONTH(L$12,0),$I86&gt;=L$12),"DEV",""))))</f>
      </c>
      <c r="M86" s="158" t="str">
        <f>IF($AI86="","",IF(AND($AN86&lt;&gt;"",$AN86&lt;=EOMONTH(M$12,0),$AO86&gt;=M$12),IF(AND(INDEX('Roadmap Calc (Don’t Touch)'!$AA$2:$AX$151,$AI86,COLUMN()-COLUMN($J$16)+1)&gt;0,OR($D86="03. UX Discovery",$D86="04. UX Design")),IF(AND($H86&lt;&gt;"",$H86&lt;=EOMONTH(M$12,0),$I86&gt;=M$12),"ALL","PD+UX"),IF(AND($H86&lt;&gt;"",$H86&lt;=EOMONTH(M$12,0),$I86&gt;=M$12),"PD+DEV","PD")),IF(AND(INDEX('Roadmap Calc (Don’t Touch)'!$AA$2:$AX$151,$AI86,COLUMN()-COLUMN($J$16)+1)&gt;0,OR($D86="03. UX Discovery",$D86="04. UX Design")),IF(AND($H86&lt;&gt;"",$H86&lt;=EOMONTH(M$12,0),$I86&gt;=M$12),"UX+DEV","UX"),IF(AND($H86&lt;&gt;"",$H86&lt;=EOMONTH(M$12,0),$I86&gt;=M$12),"DEV",""))))</f>
      </c>
      <c r="N86" s="158" t="str">
        <f>IF($AI86="","",IF(AND($AN86&lt;&gt;"",$AN86&lt;=EOMONTH(N$12,0),$AO86&gt;=N$12),IF(AND(INDEX('Roadmap Calc (Don’t Touch)'!$AA$2:$AX$151,$AI86,COLUMN()-COLUMN($J$16)+1)&gt;0,OR($D86="03. UX Discovery",$D86="04. UX Design")),IF(AND($H86&lt;&gt;"",$H86&lt;=EOMONTH(N$12,0),$I86&gt;=N$12),"ALL","PD+UX"),IF(AND($H86&lt;&gt;"",$H86&lt;=EOMONTH(N$12,0),$I86&gt;=N$12),"PD+DEV","PD")),IF(AND(INDEX('Roadmap Calc (Don’t Touch)'!$AA$2:$AX$151,$AI86,COLUMN()-COLUMN($J$16)+1)&gt;0,OR($D86="03. UX Discovery",$D86="04. UX Design")),IF(AND($H86&lt;&gt;"",$H86&lt;=EOMONTH(N$12,0),$I86&gt;=N$12),"UX+DEV","UX"),IF(AND($H86&lt;&gt;"",$H86&lt;=EOMONTH(N$12,0),$I86&gt;=N$12),"DEV",""))))</f>
      </c>
      <c r="O86" s="158" t="str">
        <f>IF($AI86="","",IF(AND($AN86&lt;&gt;"",$AN86&lt;=EOMONTH(O$12,0),$AO86&gt;=O$12),IF(AND(INDEX('Roadmap Calc (Don’t Touch)'!$AA$2:$AX$151,$AI86,COLUMN()-COLUMN($J$16)+1)&gt;0,OR($D86="03. UX Discovery",$D86="04. UX Design")),IF(AND($H86&lt;&gt;"",$H86&lt;=EOMONTH(O$12,0),$I86&gt;=O$12),"ALL","PD+UX"),IF(AND($H86&lt;&gt;"",$H86&lt;=EOMONTH(O$12,0),$I86&gt;=O$12),"PD+DEV","PD")),IF(AND(INDEX('Roadmap Calc (Don’t Touch)'!$AA$2:$AX$151,$AI86,COLUMN()-COLUMN($J$16)+1)&gt;0,OR($D86="03. UX Discovery",$D86="04. UX Design")),IF(AND($H86&lt;&gt;"",$H86&lt;=EOMONTH(O$12,0),$I86&gt;=O$12),"UX+DEV","UX"),IF(AND($H86&lt;&gt;"",$H86&lt;=EOMONTH(O$12,0),$I86&gt;=O$12),"DEV",""))))</f>
      </c>
      <c r="P86" s="158" t="str">
        <f>IF($AI86="","",IF(AND($AN86&lt;&gt;"",$AN86&lt;=EOMONTH(P$12,0),$AO86&gt;=P$12),IF(AND(INDEX('Roadmap Calc (Don’t Touch)'!$AA$2:$AX$151,$AI86,COLUMN()-COLUMN($J$16)+1)&gt;0,OR($D86="03. UX Discovery",$D86="04. UX Design")),IF(AND($H86&lt;&gt;"",$H86&lt;=EOMONTH(P$12,0),$I86&gt;=P$12),"ALL","PD+UX"),IF(AND($H86&lt;&gt;"",$H86&lt;=EOMONTH(P$12,0),$I86&gt;=P$12),"PD+DEV","PD")),IF(AND(INDEX('Roadmap Calc (Don’t Touch)'!$AA$2:$AX$151,$AI86,COLUMN()-COLUMN($J$16)+1)&gt;0,OR($D86="03. UX Discovery",$D86="04. UX Design")),IF(AND($H86&lt;&gt;"",$H86&lt;=EOMONTH(P$12,0),$I86&gt;=P$12),"UX+DEV","UX"),IF(AND($H86&lt;&gt;"",$H86&lt;=EOMONTH(P$12,0),$I86&gt;=P$12),"DEV",""))))</f>
      </c>
      <c r="Q86" s="158" t="str">
        <f>IF($AI86="","",IF(AND($AN86&lt;&gt;"",$AN86&lt;=EOMONTH(Q$12,0),$AO86&gt;=Q$12),IF(AND(INDEX('Roadmap Calc (Don’t Touch)'!$AA$2:$AX$151,$AI86,COLUMN()-COLUMN($J$16)+1)&gt;0,OR($D86="03. UX Discovery",$D86="04. UX Design")),IF(AND($H86&lt;&gt;"",$H86&lt;=EOMONTH(Q$12,0),$I86&gt;=Q$12),"ALL","PD+UX"),IF(AND($H86&lt;&gt;"",$H86&lt;=EOMONTH(Q$12,0),$I86&gt;=Q$12),"PD+DEV","PD")),IF(AND(INDEX('Roadmap Calc (Don’t Touch)'!$AA$2:$AX$151,$AI86,COLUMN()-COLUMN($J$16)+1)&gt;0,OR($D86="03. UX Discovery",$D86="04. UX Design")),IF(AND($H86&lt;&gt;"",$H86&lt;=EOMONTH(Q$12,0),$I86&gt;=Q$12),"UX+DEV","UX"),IF(AND($H86&lt;&gt;"",$H86&lt;=EOMONTH(Q$12,0),$I86&gt;=Q$12),"DEV",""))))</f>
      </c>
      <c r="R86" s="158" t="str">
        <f>IF($AI86="","",IF(AND($AN86&lt;&gt;"",$AN86&lt;=EOMONTH(R$12,0),$AO86&gt;=R$12),IF(AND(INDEX('Roadmap Calc (Don’t Touch)'!$AA$2:$AX$151,$AI86,COLUMN()-COLUMN($J$16)+1)&gt;0,OR($D86="03. UX Discovery",$D86="04. UX Design")),IF(AND($H86&lt;&gt;"",$H86&lt;=EOMONTH(R$12,0),$I86&gt;=R$12),"ALL","PD+UX"),IF(AND($H86&lt;&gt;"",$H86&lt;=EOMONTH(R$12,0),$I86&gt;=R$12),"PD+DEV","PD")),IF(AND(INDEX('Roadmap Calc (Don’t Touch)'!$AA$2:$AX$151,$AI86,COLUMN()-COLUMN($J$16)+1)&gt;0,OR($D86="03. UX Discovery",$D86="04. UX Design")),IF(AND($H86&lt;&gt;"",$H86&lt;=EOMONTH(R$12,0),$I86&gt;=R$12),"UX+DEV","UX"),IF(AND($H86&lt;&gt;"",$H86&lt;=EOMONTH(R$12,0),$I86&gt;=R$12),"DEV",""))))</f>
      </c>
      <c r="S86" s="158" t="str">
        <f>IF($AI86="","",IF(AND($AN86&lt;&gt;"",$AN86&lt;=EOMONTH(S$12,0),$AO86&gt;=S$12),IF(AND(INDEX('Roadmap Calc (Don’t Touch)'!$AA$2:$AX$151,$AI86,COLUMN()-COLUMN($J$16)+1)&gt;0,OR($D86="03. UX Discovery",$D86="04. UX Design")),IF(AND($H86&lt;&gt;"",$H86&lt;=EOMONTH(S$12,0),$I86&gt;=S$12),"ALL","PD+UX"),IF(AND($H86&lt;&gt;"",$H86&lt;=EOMONTH(S$12,0),$I86&gt;=S$12),"PD+DEV","PD")),IF(AND(INDEX('Roadmap Calc (Don’t Touch)'!$AA$2:$AX$151,$AI86,COLUMN()-COLUMN($J$16)+1)&gt;0,OR($D86="03. UX Discovery",$D86="04. UX Design")),IF(AND($H86&lt;&gt;"",$H86&lt;=EOMONTH(S$12,0),$I86&gt;=S$12),"UX+DEV","UX"),IF(AND($H86&lt;&gt;"",$H86&lt;=EOMONTH(S$12,0),$I86&gt;=S$12),"DEV",""))))</f>
      </c>
      <c r="T86" s="158" t="str">
        <f>IF($AI86="","",IF(AND($AN86&lt;&gt;"",$AN86&lt;=EOMONTH(T$12,0),$AO86&gt;=T$12),IF(AND(INDEX('Roadmap Calc (Don’t Touch)'!$AA$2:$AX$151,$AI86,COLUMN()-COLUMN($J$16)+1)&gt;0,OR($D86="03. UX Discovery",$D86="04. UX Design")),IF(AND($H86&lt;&gt;"",$H86&lt;=EOMONTH(T$12,0),$I86&gt;=T$12),"ALL","PD+UX"),IF(AND($H86&lt;&gt;"",$H86&lt;=EOMONTH(T$12,0),$I86&gt;=T$12),"PD+DEV","PD")),IF(AND(INDEX('Roadmap Calc (Don’t Touch)'!$AA$2:$AX$151,$AI86,COLUMN()-COLUMN($J$16)+1)&gt;0,OR($D86="03. UX Discovery",$D86="04. UX Design")),IF(AND($H86&lt;&gt;"",$H86&lt;=EOMONTH(T$12,0),$I86&gt;=T$12),"UX+DEV","UX"),IF(AND($H86&lt;&gt;"",$H86&lt;=EOMONTH(T$12,0),$I86&gt;=T$12),"DEV",""))))</f>
      </c>
      <c r="U86" s="158" t="str">
        <f>IF($AI86="","",IF(AND($AN86&lt;&gt;"",$AN86&lt;=EOMONTH(U$12,0),$AO86&gt;=U$12),IF(AND(INDEX('Roadmap Calc (Don’t Touch)'!$AA$2:$AX$151,$AI86,COLUMN()-COLUMN($J$16)+1)&gt;0,OR($D86="03. UX Discovery",$D86="04. UX Design")),IF(AND($H86&lt;&gt;"",$H86&lt;=EOMONTH(U$12,0),$I86&gt;=U$12),"ALL","PD+UX"),IF(AND($H86&lt;&gt;"",$H86&lt;=EOMONTH(U$12,0),$I86&gt;=U$12),"PD+DEV","PD")),IF(AND(INDEX('Roadmap Calc (Don’t Touch)'!$AA$2:$AX$151,$AI86,COLUMN()-COLUMN($J$16)+1)&gt;0,OR($D86="03. UX Discovery",$D86="04. UX Design")),IF(AND($H86&lt;&gt;"",$H86&lt;=EOMONTH(U$12,0),$I86&gt;=U$12),"UX+DEV","UX"),IF(AND($H86&lt;&gt;"",$H86&lt;=EOMONTH(U$12,0),$I86&gt;=U$12),"DEV",""))))</f>
      </c>
      <c r="V86" s="158" t="str">
        <f>IF($AI86="","",IF(AND($AN86&lt;&gt;"",$AN86&lt;=EOMONTH(V$12,0),$AO86&gt;=V$12),IF(AND(INDEX('Roadmap Calc (Don’t Touch)'!$AA$2:$AX$151,$AI86,COLUMN()-COLUMN($J$16)+1)&gt;0,OR($D86="03. UX Discovery",$D86="04. UX Design")),IF(AND($H86&lt;&gt;"",$H86&lt;=EOMONTH(V$12,0),$I86&gt;=V$12),"ALL","PD+UX"),IF(AND($H86&lt;&gt;"",$H86&lt;=EOMONTH(V$12,0),$I86&gt;=V$12),"PD+DEV","PD")),IF(AND(INDEX('Roadmap Calc (Don’t Touch)'!$AA$2:$AX$151,$AI86,COLUMN()-COLUMN($J$16)+1)&gt;0,OR($D86="03. UX Discovery",$D86="04. UX Design")),IF(AND($H86&lt;&gt;"",$H86&lt;=EOMONTH(V$12,0),$I86&gt;=V$12),"UX+DEV","UX"),IF(AND($H86&lt;&gt;"",$H86&lt;=EOMONTH(V$12,0),$I86&gt;=V$12),"DEV",""))))</f>
      </c>
      <c r="W86" s="158" t="str">
        <f>IF($AI86="","",IF(AND($AN86&lt;&gt;"",$AN86&lt;=EOMONTH(W$12,0),$AO86&gt;=W$12),IF(AND(INDEX('Roadmap Calc (Don’t Touch)'!$AA$2:$AX$151,$AI86,COLUMN()-COLUMN($J$16)+1)&gt;0,OR($D86="03. UX Discovery",$D86="04. UX Design")),IF(AND($H86&lt;&gt;"",$H86&lt;=EOMONTH(W$12,0),$I86&gt;=W$12),"ALL","PD+UX"),IF(AND($H86&lt;&gt;"",$H86&lt;=EOMONTH(W$12,0),$I86&gt;=W$12),"PD+DEV","PD")),IF(AND(INDEX('Roadmap Calc (Don’t Touch)'!$AA$2:$AX$151,$AI86,COLUMN()-COLUMN($J$16)+1)&gt;0,OR($D86="03. UX Discovery",$D86="04. UX Design")),IF(AND($H86&lt;&gt;"",$H86&lt;=EOMONTH(W$12,0),$I86&gt;=W$12),"UX+DEV","UX"),IF(AND($H86&lt;&gt;"",$H86&lt;=EOMONTH(W$12,0),$I86&gt;=W$12),"DEV",""))))</f>
      </c>
      <c r="X86" s="158" t="str">
        <f>IF($AI86="","",IF(AND($AN86&lt;&gt;"",$AN86&lt;=EOMONTH(X$12,0),$AO86&gt;=X$12),IF(AND(INDEX('Roadmap Calc (Don’t Touch)'!$AA$2:$AX$151,$AI86,COLUMN()-COLUMN($J$16)+1)&gt;0,OR($D86="03. UX Discovery",$D86="04. UX Design")),IF(AND($H86&lt;&gt;"",$H86&lt;=EOMONTH(X$12,0),$I86&gt;=X$12),"ALL","PD+UX"),IF(AND($H86&lt;&gt;"",$H86&lt;=EOMONTH(X$12,0),$I86&gt;=X$12),"PD+DEV","PD")),IF(AND(INDEX('Roadmap Calc (Don’t Touch)'!$AA$2:$AX$151,$AI86,COLUMN()-COLUMN($J$16)+1)&gt;0,OR($D86="03. UX Discovery",$D86="04. UX Design")),IF(AND($H86&lt;&gt;"",$H86&lt;=EOMONTH(X$12,0),$I86&gt;=X$12),"UX+DEV","UX"),IF(AND($H86&lt;&gt;"",$H86&lt;=EOMONTH(X$12,0),$I86&gt;=X$12),"DEV",""))))</f>
      </c>
      <c r="Y86" s="158" t="str">
        <f>IF($AI86="","",IF(AND($AN86&lt;&gt;"",$AN86&lt;=EOMONTH(Y$12,0),$AO86&gt;=Y$12),IF(AND(INDEX('Roadmap Calc (Don’t Touch)'!$AA$2:$AX$151,$AI86,COLUMN()-COLUMN($J$16)+1)&gt;0,OR($D86="03. UX Discovery",$D86="04. UX Design")),IF(AND($H86&lt;&gt;"",$H86&lt;=EOMONTH(Y$12,0),$I86&gt;=Y$12),"ALL","PD+UX"),IF(AND($H86&lt;&gt;"",$H86&lt;=EOMONTH(Y$12,0),$I86&gt;=Y$12),"PD+DEV","PD")),IF(AND(INDEX('Roadmap Calc (Don’t Touch)'!$AA$2:$AX$151,$AI86,COLUMN()-COLUMN($J$16)+1)&gt;0,OR($D86="03. UX Discovery",$D86="04. UX Design")),IF(AND($H86&lt;&gt;"",$H86&lt;=EOMONTH(Y$12,0),$I86&gt;=Y$12),"UX+DEV","UX"),IF(AND($H86&lt;&gt;"",$H86&lt;=EOMONTH(Y$12,0),$I86&gt;=Y$12),"DEV",""))))</f>
      </c>
      <c r="Z86" s="158" t="str">
        <f>IF($AI86="","",IF(AND($AN86&lt;&gt;"",$AN86&lt;=EOMONTH(Z$12,0),$AO86&gt;=Z$12),IF(AND(INDEX('Roadmap Calc (Don’t Touch)'!$AA$2:$AX$151,$AI86,COLUMN()-COLUMN($J$16)+1)&gt;0,OR($D86="03. UX Discovery",$D86="04. UX Design")),IF(AND($H86&lt;&gt;"",$H86&lt;=EOMONTH(Z$12,0),$I86&gt;=Z$12),"ALL","PD+UX"),IF(AND($H86&lt;&gt;"",$H86&lt;=EOMONTH(Z$12,0),$I86&gt;=Z$12),"PD+DEV","PD")),IF(AND(INDEX('Roadmap Calc (Don’t Touch)'!$AA$2:$AX$151,$AI86,COLUMN()-COLUMN($J$16)+1)&gt;0,OR($D86="03. UX Discovery",$D86="04. UX Design")),IF(AND($H86&lt;&gt;"",$H86&lt;=EOMONTH(Z$12,0),$I86&gt;=Z$12),"UX+DEV","UX"),IF(AND($H86&lt;&gt;"",$H86&lt;=EOMONTH(Z$12,0),$I86&gt;=Z$12),"DEV",""))))</f>
      </c>
      <c r="AA86" s="158" t="str">
        <f>IF($AI86="","",IF(AND($AN86&lt;&gt;"",$AN86&lt;=EOMONTH(AA$12,0),$AO86&gt;=AA$12),IF(AND(INDEX('Roadmap Calc (Don’t Touch)'!$AA$2:$AX$151,$AI86,COLUMN()-COLUMN($J$16)+1)&gt;0,OR($D86="03. UX Discovery",$D86="04. UX Design")),IF(AND($H86&lt;&gt;"",$H86&lt;=EOMONTH(AA$12,0),$I86&gt;=AA$12),"ALL","PD+UX"),IF(AND($H86&lt;&gt;"",$H86&lt;=EOMONTH(AA$12,0),$I86&gt;=AA$12),"PD+DEV","PD")),IF(AND(INDEX('Roadmap Calc (Don’t Touch)'!$AA$2:$AX$151,$AI86,COLUMN()-COLUMN($J$16)+1)&gt;0,OR($D86="03. UX Discovery",$D86="04. UX Design")),IF(AND($H86&lt;&gt;"",$H86&lt;=EOMONTH(AA$12,0),$I86&gt;=AA$12),"UX+DEV","UX"),IF(AND($H86&lt;&gt;"",$H86&lt;=EOMONTH(AA$12,0),$I86&gt;=AA$12),"DEV",""))))</f>
      </c>
      <c r="AB86" s="158" t="str">
        <f>IF($AI86="","",IF(AND($AN86&lt;&gt;"",$AN86&lt;=EOMONTH(AB$12,0),$AO86&gt;=AB$12),IF(AND(INDEX('Roadmap Calc (Don’t Touch)'!$AA$2:$AX$151,$AI86,COLUMN()-COLUMN($J$16)+1)&gt;0,OR($D86="03. UX Discovery",$D86="04. UX Design")),IF(AND($H86&lt;&gt;"",$H86&lt;=EOMONTH(AB$12,0),$I86&gt;=AB$12),"ALL","PD+UX"),IF(AND($H86&lt;&gt;"",$H86&lt;=EOMONTH(AB$12,0),$I86&gt;=AB$12),"PD+DEV","PD")),IF(AND(INDEX('Roadmap Calc (Don’t Touch)'!$AA$2:$AX$151,$AI86,COLUMN()-COLUMN($J$16)+1)&gt;0,OR($D86="03. UX Discovery",$D86="04. UX Design")),IF(AND($H86&lt;&gt;"",$H86&lt;=EOMONTH(AB$12,0),$I86&gt;=AB$12),"UX+DEV","UX"),IF(AND($H86&lt;&gt;"",$H86&lt;=EOMONTH(AB$12,0),$I86&gt;=AB$12),"DEV",""))))</f>
      </c>
      <c r="AC86" s="158" t="str">
        <f>IF($AI86="","",IF(AND($AN86&lt;&gt;"",$AN86&lt;=EOMONTH(AC$12,0),$AO86&gt;=AC$12),IF(AND(INDEX('Roadmap Calc (Don’t Touch)'!$AA$2:$AX$151,$AI86,COLUMN()-COLUMN($J$16)+1)&gt;0,OR($D86="03. UX Discovery",$D86="04. UX Design")),IF(AND($H86&lt;&gt;"",$H86&lt;=EOMONTH(AC$12,0),$I86&gt;=AC$12),"ALL","PD+UX"),IF(AND($H86&lt;&gt;"",$H86&lt;=EOMONTH(AC$12,0),$I86&gt;=AC$12),"PD+DEV","PD")),IF(AND(INDEX('Roadmap Calc (Don’t Touch)'!$AA$2:$AX$151,$AI86,COLUMN()-COLUMN($J$16)+1)&gt;0,OR($D86="03. UX Discovery",$D86="04. UX Design")),IF(AND($H86&lt;&gt;"",$H86&lt;=EOMONTH(AC$12,0),$I86&gt;=AC$12),"UX+DEV","UX"),IF(AND($H86&lt;&gt;"",$H86&lt;=EOMONTH(AC$12,0),$I86&gt;=AC$12),"DEV",""))))</f>
      </c>
      <c r="AD86" s="158" t="str">
        <f>IF($AI86="","",IF(AND($AN86&lt;&gt;"",$AN86&lt;=EOMONTH(AD$12,0),$AO86&gt;=AD$12),IF(AND(INDEX('Roadmap Calc (Don’t Touch)'!$AA$2:$AX$151,$AI86,COLUMN()-COLUMN($J$16)+1)&gt;0,OR($D86="03. UX Discovery",$D86="04. UX Design")),IF(AND($H86&lt;&gt;"",$H86&lt;=EOMONTH(AD$12,0),$I86&gt;=AD$12),"ALL","PD+UX"),IF(AND($H86&lt;&gt;"",$H86&lt;=EOMONTH(AD$12,0),$I86&gt;=AD$12),"PD+DEV","PD")),IF(AND(INDEX('Roadmap Calc (Don’t Touch)'!$AA$2:$AX$151,$AI86,COLUMN()-COLUMN($J$16)+1)&gt;0,OR($D86="03. UX Discovery",$D86="04. UX Design")),IF(AND($H86&lt;&gt;"",$H86&lt;=EOMONTH(AD$12,0),$I86&gt;=AD$12),"UX+DEV","UX"),IF(AND($H86&lt;&gt;"",$H86&lt;=EOMONTH(AD$12,0),$I86&gt;=AD$12),"DEV",""))))</f>
      </c>
      <c r="AE86" s="158" t="str">
        <f>IF($AI86="","",IF(AND($AN86&lt;&gt;"",$AN86&lt;=EOMONTH(AE$12,0),$AO86&gt;=AE$12),IF(AND(INDEX('Roadmap Calc (Don’t Touch)'!$AA$2:$AX$151,$AI86,COLUMN()-COLUMN($J$16)+1)&gt;0,OR($D86="03. UX Discovery",$D86="04. UX Design")),IF(AND($H86&lt;&gt;"",$H86&lt;=EOMONTH(AE$12,0),$I86&gt;=AE$12),"ALL","PD+UX"),IF(AND($H86&lt;&gt;"",$H86&lt;=EOMONTH(AE$12,0),$I86&gt;=AE$12),"PD+DEV","PD")),IF(AND(INDEX('Roadmap Calc (Don’t Touch)'!$AA$2:$AX$151,$AI86,COLUMN()-COLUMN($J$16)+1)&gt;0,OR($D86="03. UX Discovery",$D86="04. UX Design")),IF(AND($H86&lt;&gt;"",$H86&lt;=EOMONTH(AE$12,0),$I86&gt;=AE$12),"UX+DEV","UX"),IF(AND($H86&lt;&gt;"",$H86&lt;=EOMONTH(AE$12,0),$I86&gt;=AE$12),"DEV",""))))</f>
      </c>
      <c r="AF86" s="158" t="str">
        <f>IF($AI86="","",IF(AND($AN86&lt;&gt;"",$AN86&lt;=EOMONTH(AF$12,0),$AO86&gt;=AF$12),IF(AND(INDEX('Roadmap Calc (Don’t Touch)'!$AA$2:$AX$151,$AI86,COLUMN()-COLUMN($J$16)+1)&gt;0,OR($D86="03. UX Discovery",$D86="04. UX Design")),IF(AND($H86&lt;&gt;"",$H86&lt;=EOMONTH(AF$12,0),$I86&gt;=AF$12),"ALL","PD+UX"),IF(AND($H86&lt;&gt;"",$H86&lt;=EOMONTH(AF$12,0),$I86&gt;=AF$12),"PD+DEV","PD")),IF(AND(INDEX('Roadmap Calc (Don’t Touch)'!$AA$2:$AX$151,$AI86,COLUMN()-COLUMN($J$16)+1)&gt;0,OR($D86="03. UX Discovery",$D86="04. UX Design")),IF(AND($H86&lt;&gt;"",$H86&lt;=EOMONTH(AF$12,0),$I86&gt;=AF$12),"UX+DEV","UX"),IF(AND($H86&lt;&gt;"",$H86&lt;=EOMONTH(AF$12,0),$I86&gt;=AF$12),"DEV",""))))</f>
      </c>
      <c r="AG86" s="158" t="str">
        <f>IF($AI86="","",IF(AND($AN86&lt;&gt;"",$AN86&lt;=EOMONTH(AG$12,0),$AO86&gt;=AG$12),IF(AND(INDEX('Roadmap Calc (Don’t Touch)'!$AA$2:$AX$151,$AI86,COLUMN()-COLUMN($J$16)+1)&gt;0,OR($D86="03. UX Discovery",$D86="04. UX Design")),IF(AND($H86&lt;&gt;"",$H86&lt;=EOMONTH(AG$12,0),$I86&gt;=AG$12),"ALL","PD+UX"),IF(AND($H86&lt;&gt;"",$H86&lt;=EOMONTH(AG$12,0),$I86&gt;=AG$12),"PD+DEV","PD")),IF(AND(INDEX('Roadmap Calc (Don’t Touch)'!$AA$2:$AX$151,$AI86,COLUMN()-COLUMN($J$16)+1)&gt;0,OR($D86="03. UX Discovery",$D86="04. UX Design")),IF(AND($H86&lt;&gt;"",$H86&lt;=EOMONTH(AG$12,0),$I86&gt;=AG$12),"UX+DEV","UX"),IF(AND($H86&lt;&gt;"",$H86&lt;=EOMONTH(AG$12,0),$I86&gt;=AG$12),"DEV",""))))</f>
      </c>
      <c r="AH86" s="145" t="str">
        <f>IF($AI86="","",INDEX('Roadmap Calc (Don’t Touch)'!$D$2:$D$151,$AI86))</f>
        <v/>
      </c>
      <c r="AI86" s="145" t="str">
        <f>IFERROR(MATCH(71,'Roadmap Calc (Don’t Touch)'!$O$2:$O$151,0),"")</f>
        <v/>
      </c>
      <c r="AJ86" s="145"/>
      <c r="AK86" s="145"/>
      <c r="AL86" s="145"/>
      <c r="AM86" s="145"/>
      <c r="AN86">
        <f>IF($AI86="","",IF(ISNUMBER(INDEX('Roadmap Calc (Don’t Touch)'!$BB$2:$BB$151,$AI86)),INDEX('Roadmap Calc (Don’t Touch)'!$BB$2:$BB$151,$AI86),""))</f>
      </c>
      <c r="AO86">
        <f>IF($AI86="","",IF(ISNUMBER(INDEX('Roadmap Calc (Don’t Touch)'!$BC$2:$BC$151,$AI86)),INDEX('Roadmap Calc (Don’t Touch)'!$BC$2:$BC$151,$AI86),""))</f>
      </c>
    </row>
    <row r="87" spans="1:41" ht="17" customHeight="1" x14ac:dyDescent="0.25">
      <c r="A87" s="152" t="str">
        <f>IF($AI87="","",IF($AH87=$AH86,"",IF(INDEX('Roadmap Calc (Don’t Touch)'!$U$2:$U$151,$AI87)=0,$AH87,HYPERLINK("#'Control (Don’t Touch)'!E"&amp;INDEX('Roadmap Calc (Don’t Touch)'!$U$2:$U$151,$AI87),$AH87))))</f>
        <v/>
      </c>
      <c r="B87" s="153" t="str">
        <f>IF($AI87="","",IF(INDEX('Roadmap Calc (Don’t Touch)'!$K$2:$K$151,$AI87)="",INDEX('Roadmap Calc (Don’t Touch)'!$B$2:$B$151,$AI87),HYPERLINK("https://jira.bnh.com/browse/"&amp;INDEX('Roadmap Calc (Don’t Touch)'!$K$2:$K$151,$AI87),INDEX('Roadmap Calc (Don’t Touch)'!$B$2:$B$151,$AI87))))</f>
        <v/>
      </c>
      <c r="C87" s="153" t="str">
        <f>IF($AI87="","",IF(INDEX('Roadmap Calc (Don’t Touch)'!$E$2:$E$151,$AI87)="","",HYPERLINK("https://jira.bnh.com/browse/"&amp;INDEX('Roadmap Calc (Don’t Touch)'!$E$2:$E$151,$AI87),INDEX('Roadmap Calc (Don’t Touch)'!$E$2:$E$151,$AI87))))</f>
        <v/>
      </c>
      <c r="D87" s="154" t="str">
        <f>IF($AI87="","",INDEX('Roadmap Calc (Don’t Touch)'!$F$2:$F$151,$AI87))</f>
        <v/>
      </c>
      <c r="E87" s="155" t="str">
        <f>IF($AI87="","",IF(ISNUMBER(INDEX('Roadmap Calc (Don’t Touch)'!$G$2:$G$151,$AI87)),INDEX('Roadmap Calc (Don’t Touch)'!$G$2:$G$151,$AI87),""))</f>
        <v/>
      </c>
      <c r="F87" s="155" t="str">
        <f>IF($AI87="","",IF(ISNUMBER(INDEX('Roadmap Calc (Don’t Touch)'!$H$2:$H$151,$AI87)),INDEX('Roadmap Calc (Don’t Touch)'!$H$2:$H$151,$AI87),""))</f>
        <v/>
      </c>
      <c r="G87" s="156" t="str">
        <f>IF($AI87="","",INDEX('Roadmap Calc (Don’t Touch)'!$T$2:$T$151,$AI87))</f>
        <v/>
      </c>
      <c r="H87" s="157" t="str">
        <f>IF($AI87="","",IF(ISNUMBER(INDEX('Roadmap Calc (Don’t Touch)'!$I$2:$I$151,$AI87)),INDEX('Roadmap Calc (Don’t Touch)'!$I$2:$I$151,$AI87),""))</f>
        <v/>
      </c>
      <c r="I87" s="157" t="str">
        <f>IF($AI87="","",IF(ISNUMBER(INDEX('Roadmap Calc (Don’t Touch)'!$J$2:$J$151,$AI87)),INDEX('Roadmap Calc (Don’t Touch)'!$J$2:$J$151,$AI87),""))</f>
        <v/>
      </c>
      <c r="J87" s="158" t="str">
        <f>IF($AI87="","",IF(AND($AN87&lt;&gt;"",$AN87&lt;=EOMONTH(J$12,0),$AO87&gt;=J$12),IF(AND(INDEX('Roadmap Calc (Don’t Touch)'!$AA$2:$AX$151,$AI87,COLUMN()-COLUMN($J$16)+1)&gt;0,OR($D87="03. UX Discovery",$D87="04. UX Design")),IF(AND($H87&lt;&gt;"",$H87&lt;=EOMONTH(J$12,0),$I87&gt;=J$12),"ALL","PD+UX"),IF(AND($H87&lt;&gt;"",$H87&lt;=EOMONTH(J$12,0),$I87&gt;=J$12),"PD+DEV","PD")),IF(AND(INDEX('Roadmap Calc (Don’t Touch)'!$AA$2:$AX$151,$AI87,COLUMN()-COLUMN($J$16)+1)&gt;0,OR($D87="03. UX Discovery",$D87="04. UX Design")),IF(AND($H87&lt;&gt;"",$H87&lt;=EOMONTH(J$12,0),$I87&gt;=J$12),"UX+DEV","UX"),IF(AND($H87&lt;&gt;"",$H87&lt;=EOMONTH(J$12,0),$I87&gt;=J$12),"DEV",""))))</f>
      </c>
      <c r="K87" s="158" t="str">
        <f>IF($AI87="","",IF(AND($AN87&lt;&gt;"",$AN87&lt;=EOMONTH(K$12,0),$AO87&gt;=K$12),IF(AND(INDEX('Roadmap Calc (Don’t Touch)'!$AA$2:$AX$151,$AI87,COLUMN()-COLUMN($J$16)+1)&gt;0,OR($D87="03. UX Discovery",$D87="04. UX Design")),IF(AND($H87&lt;&gt;"",$H87&lt;=EOMONTH(K$12,0),$I87&gt;=K$12),"ALL","PD+UX"),IF(AND($H87&lt;&gt;"",$H87&lt;=EOMONTH(K$12,0),$I87&gt;=K$12),"PD+DEV","PD")),IF(AND(INDEX('Roadmap Calc (Don’t Touch)'!$AA$2:$AX$151,$AI87,COLUMN()-COLUMN($J$16)+1)&gt;0,OR($D87="03. UX Discovery",$D87="04. UX Design")),IF(AND($H87&lt;&gt;"",$H87&lt;=EOMONTH(K$12,0),$I87&gt;=K$12),"UX+DEV","UX"),IF(AND($H87&lt;&gt;"",$H87&lt;=EOMONTH(K$12,0),$I87&gt;=K$12),"DEV",""))))</f>
      </c>
      <c r="L87" s="158" t="str">
        <f>IF($AI87="","",IF(AND($AN87&lt;&gt;"",$AN87&lt;=EOMONTH(L$12,0),$AO87&gt;=L$12),IF(AND(INDEX('Roadmap Calc (Don’t Touch)'!$AA$2:$AX$151,$AI87,COLUMN()-COLUMN($J$16)+1)&gt;0,OR($D87="03. UX Discovery",$D87="04. UX Design")),IF(AND($H87&lt;&gt;"",$H87&lt;=EOMONTH(L$12,0),$I87&gt;=L$12),"ALL","PD+UX"),IF(AND($H87&lt;&gt;"",$H87&lt;=EOMONTH(L$12,0),$I87&gt;=L$12),"PD+DEV","PD")),IF(AND(INDEX('Roadmap Calc (Don’t Touch)'!$AA$2:$AX$151,$AI87,COLUMN()-COLUMN($J$16)+1)&gt;0,OR($D87="03. UX Discovery",$D87="04. UX Design")),IF(AND($H87&lt;&gt;"",$H87&lt;=EOMONTH(L$12,0),$I87&gt;=L$12),"UX+DEV","UX"),IF(AND($H87&lt;&gt;"",$H87&lt;=EOMONTH(L$12,0),$I87&gt;=L$12),"DEV",""))))</f>
      </c>
      <c r="M87" s="158" t="str">
        <f>IF($AI87="","",IF(AND($AN87&lt;&gt;"",$AN87&lt;=EOMONTH(M$12,0),$AO87&gt;=M$12),IF(AND(INDEX('Roadmap Calc (Don’t Touch)'!$AA$2:$AX$151,$AI87,COLUMN()-COLUMN($J$16)+1)&gt;0,OR($D87="03. UX Discovery",$D87="04. UX Design")),IF(AND($H87&lt;&gt;"",$H87&lt;=EOMONTH(M$12,0),$I87&gt;=M$12),"ALL","PD+UX"),IF(AND($H87&lt;&gt;"",$H87&lt;=EOMONTH(M$12,0),$I87&gt;=M$12),"PD+DEV","PD")),IF(AND(INDEX('Roadmap Calc (Don’t Touch)'!$AA$2:$AX$151,$AI87,COLUMN()-COLUMN($J$16)+1)&gt;0,OR($D87="03. UX Discovery",$D87="04. UX Design")),IF(AND($H87&lt;&gt;"",$H87&lt;=EOMONTH(M$12,0),$I87&gt;=M$12),"UX+DEV","UX"),IF(AND($H87&lt;&gt;"",$H87&lt;=EOMONTH(M$12,0),$I87&gt;=M$12),"DEV",""))))</f>
      </c>
      <c r="N87" s="158" t="str">
        <f>IF($AI87="","",IF(AND($AN87&lt;&gt;"",$AN87&lt;=EOMONTH(N$12,0),$AO87&gt;=N$12),IF(AND(INDEX('Roadmap Calc (Don’t Touch)'!$AA$2:$AX$151,$AI87,COLUMN()-COLUMN($J$16)+1)&gt;0,OR($D87="03. UX Discovery",$D87="04. UX Design")),IF(AND($H87&lt;&gt;"",$H87&lt;=EOMONTH(N$12,0),$I87&gt;=N$12),"ALL","PD+UX"),IF(AND($H87&lt;&gt;"",$H87&lt;=EOMONTH(N$12,0),$I87&gt;=N$12),"PD+DEV","PD")),IF(AND(INDEX('Roadmap Calc (Don’t Touch)'!$AA$2:$AX$151,$AI87,COLUMN()-COLUMN($J$16)+1)&gt;0,OR($D87="03. UX Discovery",$D87="04. UX Design")),IF(AND($H87&lt;&gt;"",$H87&lt;=EOMONTH(N$12,0),$I87&gt;=N$12),"UX+DEV","UX"),IF(AND($H87&lt;&gt;"",$H87&lt;=EOMONTH(N$12,0),$I87&gt;=N$12),"DEV",""))))</f>
      </c>
      <c r="O87" s="158" t="str">
        <f>IF($AI87="","",IF(AND($AN87&lt;&gt;"",$AN87&lt;=EOMONTH(O$12,0),$AO87&gt;=O$12),IF(AND(INDEX('Roadmap Calc (Don’t Touch)'!$AA$2:$AX$151,$AI87,COLUMN()-COLUMN($J$16)+1)&gt;0,OR($D87="03. UX Discovery",$D87="04. UX Design")),IF(AND($H87&lt;&gt;"",$H87&lt;=EOMONTH(O$12,0),$I87&gt;=O$12),"ALL","PD+UX"),IF(AND($H87&lt;&gt;"",$H87&lt;=EOMONTH(O$12,0),$I87&gt;=O$12),"PD+DEV","PD")),IF(AND(INDEX('Roadmap Calc (Don’t Touch)'!$AA$2:$AX$151,$AI87,COLUMN()-COLUMN($J$16)+1)&gt;0,OR($D87="03. UX Discovery",$D87="04. UX Design")),IF(AND($H87&lt;&gt;"",$H87&lt;=EOMONTH(O$12,0),$I87&gt;=O$12),"UX+DEV","UX"),IF(AND($H87&lt;&gt;"",$H87&lt;=EOMONTH(O$12,0),$I87&gt;=O$12),"DEV",""))))</f>
      </c>
      <c r="P87" s="158" t="str">
        <f>IF($AI87="","",IF(AND($AN87&lt;&gt;"",$AN87&lt;=EOMONTH(P$12,0),$AO87&gt;=P$12),IF(AND(INDEX('Roadmap Calc (Don’t Touch)'!$AA$2:$AX$151,$AI87,COLUMN()-COLUMN($J$16)+1)&gt;0,OR($D87="03. UX Discovery",$D87="04. UX Design")),IF(AND($H87&lt;&gt;"",$H87&lt;=EOMONTH(P$12,0),$I87&gt;=P$12),"ALL","PD+UX"),IF(AND($H87&lt;&gt;"",$H87&lt;=EOMONTH(P$12,0),$I87&gt;=P$12),"PD+DEV","PD")),IF(AND(INDEX('Roadmap Calc (Don’t Touch)'!$AA$2:$AX$151,$AI87,COLUMN()-COLUMN($J$16)+1)&gt;0,OR($D87="03. UX Discovery",$D87="04. UX Design")),IF(AND($H87&lt;&gt;"",$H87&lt;=EOMONTH(P$12,0),$I87&gt;=P$12),"UX+DEV","UX"),IF(AND($H87&lt;&gt;"",$H87&lt;=EOMONTH(P$12,0),$I87&gt;=P$12),"DEV",""))))</f>
      </c>
      <c r="Q87" s="158" t="str">
        <f>IF($AI87="","",IF(AND($AN87&lt;&gt;"",$AN87&lt;=EOMONTH(Q$12,0),$AO87&gt;=Q$12),IF(AND(INDEX('Roadmap Calc (Don’t Touch)'!$AA$2:$AX$151,$AI87,COLUMN()-COLUMN($J$16)+1)&gt;0,OR($D87="03. UX Discovery",$D87="04. UX Design")),IF(AND($H87&lt;&gt;"",$H87&lt;=EOMONTH(Q$12,0),$I87&gt;=Q$12),"ALL","PD+UX"),IF(AND($H87&lt;&gt;"",$H87&lt;=EOMONTH(Q$12,0),$I87&gt;=Q$12),"PD+DEV","PD")),IF(AND(INDEX('Roadmap Calc (Don’t Touch)'!$AA$2:$AX$151,$AI87,COLUMN()-COLUMN($J$16)+1)&gt;0,OR($D87="03. UX Discovery",$D87="04. UX Design")),IF(AND($H87&lt;&gt;"",$H87&lt;=EOMONTH(Q$12,0),$I87&gt;=Q$12),"UX+DEV","UX"),IF(AND($H87&lt;&gt;"",$H87&lt;=EOMONTH(Q$12,0),$I87&gt;=Q$12),"DEV",""))))</f>
      </c>
      <c r="R87" s="158" t="str">
        <f>IF($AI87="","",IF(AND($AN87&lt;&gt;"",$AN87&lt;=EOMONTH(R$12,0),$AO87&gt;=R$12),IF(AND(INDEX('Roadmap Calc (Don’t Touch)'!$AA$2:$AX$151,$AI87,COLUMN()-COLUMN($J$16)+1)&gt;0,OR($D87="03. UX Discovery",$D87="04. UX Design")),IF(AND($H87&lt;&gt;"",$H87&lt;=EOMONTH(R$12,0),$I87&gt;=R$12),"ALL","PD+UX"),IF(AND($H87&lt;&gt;"",$H87&lt;=EOMONTH(R$12,0),$I87&gt;=R$12),"PD+DEV","PD")),IF(AND(INDEX('Roadmap Calc (Don’t Touch)'!$AA$2:$AX$151,$AI87,COLUMN()-COLUMN($J$16)+1)&gt;0,OR($D87="03. UX Discovery",$D87="04. UX Design")),IF(AND($H87&lt;&gt;"",$H87&lt;=EOMONTH(R$12,0),$I87&gt;=R$12),"UX+DEV","UX"),IF(AND($H87&lt;&gt;"",$H87&lt;=EOMONTH(R$12,0),$I87&gt;=R$12),"DEV",""))))</f>
      </c>
      <c r="S87" s="158" t="str">
        <f>IF($AI87="","",IF(AND($AN87&lt;&gt;"",$AN87&lt;=EOMONTH(S$12,0),$AO87&gt;=S$12),IF(AND(INDEX('Roadmap Calc (Don’t Touch)'!$AA$2:$AX$151,$AI87,COLUMN()-COLUMN($J$16)+1)&gt;0,OR($D87="03. UX Discovery",$D87="04. UX Design")),IF(AND($H87&lt;&gt;"",$H87&lt;=EOMONTH(S$12,0),$I87&gt;=S$12),"ALL","PD+UX"),IF(AND($H87&lt;&gt;"",$H87&lt;=EOMONTH(S$12,0),$I87&gt;=S$12),"PD+DEV","PD")),IF(AND(INDEX('Roadmap Calc (Don’t Touch)'!$AA$2:$AX$151,$AI87,COLUMN()-COLUMN($J$16)+1)&gt;0,OR($D87="03. UX Discovery",$D87="04. UX Design")),IF(AND($H87&lt;&gt;"",$H87&lt;=EOMONTH(S$12,0),$I87&gt;=S$12),"UX+DEV","UX"),IF(AND($H87&lt;&gt;"",$H87&lt;=EOMONTH(S$12,0),$I87&gt;=S$12),"DEV",""))))</f>
      </c>
      <c r="T87" s="158" t="str">
        <f>IF($AI87="","",IF(AND($AN87&lt;&gt;"",$AN87&lt;=EOMONTH(T$12,0),$AO87&gt;=T$12),IF(AND(INDEX('Roadmap Calc (Don’t Touch)'!$AA$2:$AX$151,$AI87,COLUMN()-COLUMN($J$16)+1)&gt;0,OR($D87="03. UX Discovery",$D87="04. UX Design")),IF(AND($H87&lt;&gt;"",$H87&lt;=EOMONTH(T$12,0),$I87&gt;=T$12),"ALL","PD+UX"),IF(AND($H87&lt;&gt;"",$H87&lt;=EOMONTH(T$12,0),$I87&gt;=T$12),"PD+DEV","PD")),IF(AND(INDEX('Roadmap Calc (Don’t Touch)'!$AA$2:$AX$151,$AI87,COLUMN()-COLUMN($J$16)+1)&gt;0,OR($D87="03. UX Discovery",$D87="04. UX Design")),IF(AND($H87&lt;&gt;"",$H87&lt;=EOMONTH(T$12,0),$I87&gt;=T$12),"UX+DEV","UX"),IF(AND($H87&lt;&gt;"",$H87&lt;=EOMONTH(T$12,0),$I87&gt;=T$12),"DEV",""))))</f>
      </c>
      <c r="U87" s="158" t="str">
        <f>IF($AI87="","",IF(AND($AN87&lt;&gt;"",$AN87&lt;=EOMONTH(U$12,0),$AO87&gt;=U$12),IF(AND(INDEX('Roadmap Calc (Don’t Touch)'!$AA$2:$AX$151,$AI87,COLUMN()-COLUMN($J$16)+1)&gt;0,OR($D87="03. UX Discovery",$D87="04. UX Design")),IF(AND($H87&lt;&gt;"",$H87&lt;=EOMONTH(U$12,0),$I87&gt;=U$12),"ALL","PD+UX"),IF(AND($H87&lt;&gt;"",$H87&lt;=EOMONTH(U$12,0),$I87&gt;=U$12),"PD+DEV","PD")),IF(AND(INDEX('Roadmap Calc (Don’t Touch)'!$AA$2:$AX$151,$AI87,COLUMN()-COLUMN($J$16)+1)&gt;0,OR($D87="03. UX Discovery",$D87="04. UX Design")),IF(AND($H87&lt;&gt;"",$H87&lt;=EOMONTH(U$12,0),$I87&gt;=U$12),"UX+DEV","UX"),IF(AND($H87&lt;&gt;"",$H87&lt;=EOMONTH(U$12,0),$I87&gt;=U$12),"DEV",""))))</f>
      </c>
      <c r="V87" s="158" t="str">
        <f>IF($AI87="","",IF(AND($AN87&lt;&gt;"",$AN87&lt;=EOMONTH(V$12,0),$AO87&gt;=V$12),IF(AND(INDEX('Roadmap Calc (Don’t Touch)'!$AA$2:$AX$151,$AI87,COLUMN()-COLUMN($J$16)+1)&gt;0,OR($D87="03. UX Discovery",$D87="04. UX Design")),IF(AND($H87&lt;&gt;"",$H87&lt;=EOMONTH(V$12,0),$I87&gt;=V$12),"ALL","PD+UX"),IF(AND($H87&lt;&gt;"",$H87&lt;=EOMONTH(V$12,0),$I87&gt;=V$12),"PD+DEV","PD")),IF(AND(INDEX('Roadmap Calc (Don’t Touch)'!$AA$2:$AX$151,$AI87,COLUMN()-COLUMN($J$16)+1)&gt;0,OR($D87="03. UX Discovery",$D87="04. UX Design")),IF(AND($H87&lt;&gt;"",$H87&lt;=EOMONTH(V$12,0),$I87&gt;=V$12),"UX+DEV","UX"),IF(AND($H87&lt;&gt;"",$H87&lt;=EOMONTH(V$12,0),$I87&gt;=V$12),"DEV",""))))</f>
      </c>
      <c r="W87" s="158" t="str">
        <f>IF($AI87="","",IF(AND($AN87&lt;&gt;"",$AN87&lt;=EOMONTH(W$12,0),$AO87&gt;=W$12),IF(AND(INDEX('Roadmap Calc (Don’t Touch)'!$AA$2:$AX$151,$AI87,COLUMN()-COLUMN($J$16)+1)&gt;0,OR($D87="03. UX Discovery",$D87="04. UX Design")),IF(AND($H87&lt;&gt;"",$H87&lt;=EOMONTH(W$12,0),$I87&gt;=W$12),"ALL","PD+UX"),IF(AND($H87&lt;&gt;"",$H87&lt;=EOMONTH(W$12,0),$I87&gt;=W$12),"PD+DEV","PD")),IF(AND(INDEX('Roadmap Calc (Don’t Touch)'!$AA$2:$AX$151,$AI87,COLUMN()-COLUMN($J$16)+1)&gt;0,OR($D87="03. UX Discovery",$D87="04. UX Design")),IF(AND($H87&lt;&gt;"",$H87&lt;=EOMONTH(W$12,0),$I87&gt;=W$12),"UX+DEV","UX"),IF(AND($H87&lt;&gt;"",$H87&lt;=EOMONTH(W$12,0),$I87&gt;=W$12),"DEV",""))))</f>
      </c>
      <c r="X87" s="158" t="str">
        <f>IF($AI87="","",IF(AND($AN87&lt;&gt;"",$AN87&lt;=EOMONTH(X$12,0),$AO87&gt;=X$12),IF(AND(INDEX('Roadmap Calc (Don’t Touch)'!$AA$2:$AX$151,$AI87,COLUMN()-COLUMN($J$16)+1)&gt;0,OR($D87="03. UX Discovery",$D87="04. UX Design")),IF(AND($H87&lt;&gt;"",$H87&lt;=EOMONTH(X$12,0),$I87&gt;=X$12),"ALL","PD+UX"),IF(AND($H87&lt;&gt;"",$H87&lt;=EOMONTH(X$12,0),$I87&gt;=X$12),"PD+DEV","PD")),IF(AND(INDEX('Roadmap Calc (Don’t Touch)'!$AA$2:$AX$151,$AI87,COLUMN()-COLUMN($J$16)+1)&gt;0,OR($D87="03. UX Discovery",$D87="04. UX Design")),IF(AND($H87&lt;&gt;"",$H87&lt;=EOMONTH(X$12,0),$I87&gt;=X$12),"UX+DEV","UX"),IF(AND($H87&lt;&gt;"",$H87&lt;=EOMONTH(X$12,0),$I87&gt;=X$12),"DEV",""))))</f>
      </c>
      <c r="Y87" s="158" t="str">
        <f>IF($AI87="","",IF(AND($AN87&lt;&gt;"",$AN87&lt;=EOMONTH(Y$12,0),$AO87&gt;=Y$12),IF(AND(INDEX('Roadmap Calc (Don’t Touch)'!$AA$2:$AX$151,$AI87,COLUMN()-COLUMN($J$16)+1)&gt;0,OR($D87="03. UX Discovery",$D87="04. UX Design")),IF(AND($H87&lt;&gt;"",$H87&lt;=EOMONTH(Y$12,0),$I87&gt;=Y$12),"ALL","PD+UX"),IF(AND($H87&lt;&gt;"",$H87&lt;=EOMONTH(Y$12,0),$I87&gt;=Y$12),"PD+DEV","PD")),IF(AND(INDEX('Roadmap Calc (Don’t Touch)'!$AA$2:$AX$151,$AI87,COLUMN()-COLUMN($J$16)+1)&gt;0,OR($D87="03. UX Discovery",$D87="04. UX Design")),IF(AND($H87&lt;&gt;"",$H87&lt;=EOMONTH(Y$12,0),$I87&gt;=Y$12),"UX+DEV","UX"),IF(AND($H87&lt;&gt;"",$H87&lt;=EOMONTH(Y$12,0),$I87&gt;=Y$12),"DEV",""))))</f>
      </c>
      <c r="Z87" s="158" t="str">
        <f>IF($AI87="","",IF(AND($AN87&lt;&gt;"",$AN87&lt;=EOMONTH(Z$12,0),$AO87&gt;=Z$12),IF(AND(INDEX('Roadmap Calc (Don’t Touch)'!$AA$2:$AX$151,$AI87,COLUMN()-COLUMN($J$16)+1)&gt;0,OR($D87="03. UX Discovery",$D87="04. UX Design")),IF(AND($H87&lt;&gt;"",$H87&lt;=EOMONTH(Z$12,0),$I87&gt;=Z$12),"ALL","PD+UX"),IF(AND($H87&lt;&gt;"",$H87&lt;=EOMONTH(Z$12,0),$I87&gt;=Z$12),"PD+DEV","PD")),IF(AND(INDEX('Roadmap Calc (Don’t Touch)'!$AA$2:$AX$151,$AI87,COLUMN()-COLUMN($J$16)+1)&gt;0,OR($D87="03. UX Discovery",$D87="04. UX Design")),IF(AND($H87&lt;&gt;"",$H87&lt;=EOMONTH(Z$12,0),$I87&gt;=Z$12),"UX+DEV","UX"),IF(AND($H87&lt;&gt;"",$H87&lt;=EOMONTH(Z$12,0),$I87&gt;=Z$12),"DEV",""))))</f>
      </c>
      <c r="AA87" s="158" t="str">
        <f>IF($AI87="","",IF(AND($AN87&lt;&gt;"",$AN87&lt;=EOMONTH(AA$12,0),$AO87&gt;=AA$12),IF(AND(INDEX('Roadmap Calc (Don’t Touch)'!$AA$2:$AX$151,$AI87,COLUMN()-COLUMN($J$16)+1)&gt;0,OR($D87="03. UX Discovery",$D87="04. UX Design")),IF(AND($H87&lt;&gt;"",$H87&lt;=EOMONTH(AA$12,0),$I87&gt;=AA$12),"ALL","PD+UX"),IF(AND($H87&lt;&gt;"",$H87&lt;=EOMONTH(AA$12,0),$I87&gt;=AA$12),"PD+DEV","PD")),IF(AND(INDEX('Roadmap Calc (Don’t Touch)'!$AA$2:$AX$151,$AI87,COLUMN()-COLUMN($J$16)+1)&gt;0,OR($D87="03. UX Discovery",$D87="04. UX Design")),IF(AND($H87&lt;&gt;"",$H87&lt;=EOMONTH(AA$12,0),$I87&gt;=AA$12),"UX+DEV","UX"),IF(AND($H87&lt;&gt;"",$H87&lt;=EOMONTH(AA$12,0),$I87&gt;=AA$12),"DEV",""))))</f>
      </c>
      <c r="AB87" s="158" t="str">
        <f>IF($AI87="","",IF(AND($AN87&lt;&gt;"",$AN87&lt;=EOMONTH(AB$12,0),$AO87&gt;=AB$12),IF(AND(INDEX('Roadmap Calc (Don’t Touch)'!$AA$2:$AX$151,$AI87,COLUMN()-COLUMN($J$16)+1)&gt;0,OR($D87="03. UX Discovery",$D87="04. UX Design")),IF(AND($H87&lt;&gt;"",$H87&lt;=EOMONTH(AB$12,0),$I87&gt;=AB$12),"ALL","PD+UX"),IF(AND($H87&lt;&gt;"",$H87&lt;=EOMONTH(AB$12,0),$I87&gt;=AB$12),"PD+DEV","PD")),IF(AND(INDEX('Roadmap Calc (Don’t Touch)'!$AA$2:$AX$151,$AI87,COLUMN()-COLUMN($J$16)+1)&gt;0,OR($D87="03. UX Discovery",$D87="04. UX Design")),IF(AND($H87&lt;&gt;"",$H87&lt;=EOMONTH(AB$12,0),$I87&gt;=AB$12),"UX+DEV","UX"),IF(AND($H87&lt;&gt;"",$H87&lt;=EOMONTH(AB$12,0),$I87&gt;=AB$12),"DEV",""))))</f>
      </c>
      <c r="AC87" s="158" t="str">
        <f>IF($AI87="","",IF(AND($AN87&lt;&gt;"",$AN87&lt;=EOMONTH(AC$12,0),$AO87&gt;=AC$12),IF(AND(INDEX('Roadmap Calc (Don’t Touch)'!$AA$2:$AX$151,$AI87,COLUMN()-COLUMN($J$16)+1)&gt;0,OR($D87="03. UX Discovery",$D87="04. UX Design")),IF(AND($H87&lt;&gt;"",$H87&lt;=EOMONTH(AC$12,0),$I87&gt;=AC$12),"ALL","PD+UX"),IF(AND($H87&lt;&gt;"",$H87&lt;=EOMONTH(AC$12,0),$I87&gt;=AC$12),"PD+DEV","PD")),IF(AND(INDEX('Roadmap Calc (Don’t Touch)'!$AA$2:$AX$151,$AI87,COLUMN()-COLUMN($J$16)+1)&gt;0,OR($D87="03. UX Discovery",$D87="04. UX Design")),IF(AND($H87&lt;&gt;"",$H87&lt;=EOMONTH(AC$12,0),$I87&gt;=AC$12),"UX+DEV","UX"),IF(AND($H87&lt;&gt;"",$H87&lt;=EOMONTH(AC$12,0),$I87&gt;=AC$12),"DEV",""))))</f>
      </c>
      <c r="AD87" s="158" t="str">
        <f>IF($AI87="","",IF(AND($AN87&lt;&gt;"",$AN87&lt;=EOMONTH(AD$12,0),$AO87&gt;=AD$12),IF(AND(INDEX('Roadmap Calc (Don’t Touch)'!$AA$2:$AX$151,$AI87,COLUMN()-COLUMN($J$16)+1)&gt;0,OR($D87="03. UX Discovery",$D87="04. UX Design")),IF(AND($H87&lt;&gt;"",$H87&lt;=EOMONTH(AD$12,0),$I87&gt;=AD$12),"ALL","PD+UX"),IF(AND($H87&lt;&gt;"",$H87&lt;=EOMONTH(AD$12,0),$I87&gt;=AD$12),"PD+DEV","PD")),IF(AND(INDEX('Roadmap Calc (Don’t Touch)'!$AA$2:$AX$151,$AI87,COLUMN()-COLUMN($J$16)+1)&gt;0,OR($D87="03. UX Discovery",$D87="04. UX Design")),IF(AND($H87&lt;&gt;"",$H87&lt;=EOMONTH(AD$12,0),$I87&gt;=AD$12),"UX+DEV","UX"),IF(AND($H87&lt;&gt;"",$H87&lt;=EOMONTH(AD$12,0),$I87&gt;=AD$12),"DEV",""))))</f>
      </c>
      <c r="AE87" s="158" t="str">
        <f>IF($AI87="","",IF(AND($AN87&lt;&gt;"",$AN87&lt;=EOMONTH(AE$12,0),$AO87&gt;=AE$12),IF(AND(INDEX('Roadmap Calc (Don’t Touch)'!$AA$2:$AX$151,$AI87,COLUMN()-COLUMN($J$16)+1)&gt;0,OR($D87="03. UX Discovery",$D87="04. UX Design")),IF(AND($H87&lt;&gt;"",$H87&lt;=EOMONTH(AE$12,0),$I87&gt;=AE$12),"ALL","PD+UX"),IF(AND($H87&lt;&gt;"",$H87&lt;=EOMONTH(AE$12,0),$I87&gt;=AE$12),"PD+DEV","PD")),IF(AND(INDEX('Roadmap Calc (Don’t Touch)'!$AA$2:$AX$151,$AI87,COLUMN()-COLUMN($J$16)+1)&gt;0,OR($D87="03. UX Discovery",$D87="04. UX Design")),IF(AND($H87&lt;&gt;"",$H87&lt;=EOMONTH(AE$12,0),$I87&gt;=AE$12),"UX+DEV","UX"),IF(AND($H87&lt;&gt;"",$H87&lt;=EOMONTH(AE$12,0),$I87&gt;=AE$12),"DEV",""))))</f>
      </c>
      <c r="AF87" s="158" t="str">
        <f>IF($AI87="","",IF(AND($AN87&lt;&gt;"",$AN87&lt;=EOMONTH(AF$12,0),$AO87&gt;=AF$12),IF(AND(INDEX('Roadmap Calc (Don’t Touch)'!$AA$2:$AX$151,$AI87,COLUMN()-COLUMN($J$16)+1)&gt;0,OR($D87="03. UX Discovery",$D87="04. UX Design")),IF(AND($H87&lt;&gt;"",$H87&lt;=EOMONTH(AF$12,0),$I87&gt;=AF$12),"ALL","PD+UX"),IF(AND($H87&lt;&gt;"",$H87&lt;=EOMONTH(AF$12,0),$I87&gt;=AF$12),"PD+DEV","PD")),IF(AND(INDEX('Roadmap Calc (Don’t Touch)'!$AA$2:$AX$151,$AI87,COLUMN()-COLUMN($J$16)+1)&gt;0,OR($D87="03. UX Discovery",$D87="04. UX Design")),IF(AND($H87&lt;&gt;"",$H87&lt;=EOMONTH(AF$12,0),$I87&gt;=AF$12),"UX+DEV","UX"),IF(AND($H87&lt;&gt;"",$H87&lt;=EOMONTH(AF$12,0),$I87&gt;=AF$12),"DEV",""))))</f>
      </c>
      <c r="AG87" s="158" t="str">
        <f>IF($AI87="","",IF(AND($AN87&lt;&gt;"",$AN87&lt;=EOMONTH(AG$12,0),$AO87&gt;=AG$12),IF(AND(INDEX('Roadmap Calc (Don’t Touch)'!$AA$2:$AX$151,$AI87,COLUMN()-COLUMN($J$16)+1)&gt;0,OR($D87="03. UX Discovery",$D87="04. UX Design")),IF(AND($H87&lt;&gt;"",$H87&lt;=EOMONTH(AG$12,0),$I87&gt;=AG$12),"ALL","PD+UX"),IF(AND($H87&lt;&gt;"",$H87&lt;=EOMONTH(AG$12,0),$I87&gt;=AG$12),"PD+DEV","PD")),IF(AND(INDEX('Roadmap Calc (Don’t Touch)'!$AA$2:$AX$151,$AI87,COLUMN()-COLUMN($J$16)+1)&gt;0,OR($D87="03. UX Discovery",$D87="04. UX Design")),IF(AND($H87&lt;&gt;"",$H87&lt;=EOMONTH(AG$12,0),$I87&gt;=AG$12),"UX+DEV","UX"),IF(AND($H87&lt;&gt;"",$H87&lt;=EOMONTH(AG$12,0),$I87&gt;=AG$12),"DEV",""))))</f>
      </c>
      <c r="AH87" s="145" t="str">
        <f>IF($AI87="","",INDEX('Roadmap Calc (Don’t Touch)'!$D$2:$D$151,$AI87))</f>
        <v/>
      </c>
      <c r="AI87" s="145" t="str">
        <f>IFERROR(MATCH(72,'Roadmap Calc (Don’t Touch)'!$O$2:$O$151,0),"")</f>
        <v/>
      </c>
      <c r="AJ87" s="145"/>
      <c r="AK87" s="145"/>
      <c r="AL87" s="145"/>
      <c r="AM87" s="145"/>
      <c r="AN87">
        <f>IF($AI87="","",IF(ISNUMBER(INDEX('Roadmap Calc (Don’t Touch)'!$BB$2:$BB$151,$AI87)),INDEX('Roadmap Calc (Don’t Touch)'!$BB$2:$BB$151,$AI87),""))</f>
      </c>
      <c r="AO87">
        <f>IF($AI87="","",IF(ISNUMBER(INDEX('Roadmap Calc (Don’t Touch)'!$BC$2:$BC$151,$AI87)),INDEX('Roadmap Calc (Don’t Touch)'!$BC$2:$BC$151,$AI87),""))</f>
      </c>
    </row>
    <row r="88" spans="1:41" ht="17" customHeight="1" x14ac:dyDescent="0.25">
      <c r="A88" s="152" t="str">
        <f>IF($AI88="","",IF($AH88=$AH87,"",IF(INDEX('Roadmap Calc (Don’t Touch)'!$U$2:$U$151,$AI88)=0,$AH88,HYPERLINK("#'Control (Don’t Touch)'!E"&amp;INDEX('Roadmap Calc (Don’t Touch)'!$U$2:$U$151,$AI88),$AH88))))</f>
        <v/>
      </c>
      <c r="B88" s="153" t="str">
        <f>IF($AI88="","",IF(INDEX('Roadmap Calc (Don’t Touch)'!$K$2:$K$151,$AI88)="",INDEX('Roadmap Calc (Don’t Touch)'!$B$2:$B$151,$AI88),HYPERLINK("https://jira.bnh.com/browse/"&amp;INDEX('Roadmap Calc (Don’t Touch)'!$K$2:$K$151,$AI88),INDEX('Roadmap Calc (Don’t Touch)'!$B$2:$B$151,$AI88))))</f>
        <v/>
      </c>
      <c r="C88" s="153" t="str">
        <f>IF($AI88="","",IF(INDEX('Roadmap Calc (Don’t Touch)'!$E$2:$E$151,$AI88)="","",HYPERLINK("https://jira.bnh.com/browse/"&amp;INDEX('Roadmap Calc (Don’t Touch)'!$E$2:$E$151,$AI88),INDEX('Roadmap Calc (Don’t Touch)'!$E$2:$E$151,$AI88))))</f>
        <v/>
      </c>
      <c r="D88" s="154" t="str">
        <f>IF($AI88="","",INDEX('Roadmap Calc (Don’t Touch)'!$F$2:$F$151,$AI88))</f>
        <v/>
      </c>
      <c r="E88" s="155" t="str">
        <f>IF($AI88="","",IF(ISNUMBER(INDEX('Roadmap Calc (Don’t Touch)'!$G$2:$G$151,$AI88)),INDEX('Roadmap Calc (Don’t Touch)'!$G$2:$G$151,$AI88),""))</f>
        <v/>
      </c>
      <c r="F88" s="155" t="str">
        <f>IF($AI88="","",IF(ISNUMBER(INDEX('Roadmap Calc (Don’t Touch)'!$H$2:$H$151,$AI88)),INDEX('Roadmap Calc (Don’t Touch)'!$H$2:$H$151,$AI88),""))</f>
        <v/>
      </c>
      <c r="G88" s="156" t="str">
        <f>IF($AI88="","",INDEX('Roadmap Calc (Don’t Touch)'!$T$2:$T$151,$AI88))</f>
        <v/>
      </c>
      <c r="H88" s="157" t="str">
        <f>IF($AI88="","",IF(ISNUMBER(INDEX('Roadmap Calc (Don’t Touch)'!$I$2:$I$151,$AI88)),INDEX('Roadmap Calc (Don’t Touch)'!$I$2:$I$151,$AI88),""))</f>
        <v/>
      </c>
      <c r="I88" s="157" t="str">
        <f>IF($AI88="","",IF(ISNUMBER(INDEX('Roadmap Calc (Don’t Touch)'!$J$2:$J$151,$AI88)),INDEX('Roadmap Calc (Don’t Touch)'!$J$2:$J$151,$AI88),""))</f>
        <v/>
      </c>
      <c r="J88" s="158" t="str">
        <f>IF($AI88="","",IF(AND($AN88&lt;&gt;"",$AN88&lt;=EOMONTH(J$12,0),$AO88&gt;=J$12),IF(AND(INDEX('Roadmap Calc (Don’t Touch)'!$AA$2:$AX$151,$AI88,COLUMN()-COLUMN($J$16)+1)&gt;0,OR($D88="03. UX Discovery",$D88="04. UX Design")),IF(AND($H88&lt;&gt;"",$H88&lt;=EOMONTH(J$12,0),$I88&gt;=J$12),"ALL","PD+UX"),IF(AND($H88&lt;&gt;"",$H88&lt;=EOMONTH(J$12,0),$I88&gt;=J$12),"PD+DEV","PD")),IF(AND(INDEX('Roadmap Calc (Don’t Touch)'!$AA$2:$AX$151,$AI88,COLUMN()-COLUMN($J$16)+1)&gt;0,OR($D88="03. UX Discovery",$D88="04. UX Design")),IF(AND($H88&lt;&gt;"",$H88&lt;=EOMONTH(J$12,0),$I88&gt;=J$12),"UX+DEV","UX"),IF(AND($H88&lt;&gt;"",$H88&lt;=EOMONTH(J$12,0),$I88&gt;=J$12),"DEV",""))))</f>
      </c>
      <c r="K88" s="158" t="str">
        <f>IF($AI88="","",IF(AND($AN88&lt;&gt;"",$AN88&lt;=EOMONTH(K$12,0),$AO88&gt;=K$12),IF(AND(INDEX('Roadmap Calc (Don’t Touch)'!$AA$2:$AX$151,$AI88,COLUMN()-COLUMN($J$16)+1)&gt;0,OR($D88="03. UX Discovery",$D88="04. UX Design")),IF(AND($H88&lt;&gt;"",$H88&lt;=EOMONTH(K$12,0),$I88&gt;=K$12),"ALL","PD+UX"),IF(AND($H88&lt;&gt;"",$H88&lt;=EOMONTH(K$12,0),$I88&gt;=K$12),"PD+DEV","PD")),IF(AND(INDEX('Roadmap Calc (Don’t Touch)'!$AA$2:$AX$151,$AI88,COLUMN()-COLUMN($J$16)+1)&gt;0,OR($D88="03. UX Discovery",$D88="04. UX Design")),IF(AND($H88&lt;&gt;"",$H88&lt;=EOMONTH(K$12,0),$I88&gt;=K$12),"UX+DEV","UX"),IF(AND($H88&lt;&gt;"",$H88&lt;=EOMONTH(K$12,0),$I88&gt;=K$12),"DEV",""))))</f>
      </c>
      <c r="L88" s="158" t="str">
        <f>IF($AI88="","",IF(AND($AN88&lt;&gt;"",$AN88&lt;=EOMONTH(L$12,0),$AO88&gt;=L$12),IF(AND(INDEX('Roadmap Calc (Don’t Touch)'!$AA$2:$AX$151,$AI88,COLUMN()-COLUMN($J$16)+1)&gt;0,OR($D88="03. UX Discovery",$D88="04. UX Design")),IF(AND($H88&lt;&gt;"",$H88&lt;=EOMONTH(L$12,0),$I88&gt;=L$12),"ALL","PD+UX"),IF(AND($H88&lt;&gt;"",$H88&lt;=EOMONTH(L$12,0),$I88&gt;=L$12),"PD+DEV","PD")),IF(AND(INDEX('Roadmap Calc (Don’t Touch)'!$AA$2:$AX$151,$AI88,COLUMN()-COLUMN($J$16)+1)&gt;0,OR($D88="03. UX Discovery",$D88="04. UX Design")),IF(AND($H88&lt;&gt;"",$H88&lt;=EOMONTH(L$12,0),$I88&gt;=L$12),"UX+DEV","UX"),IF(AND($H88&lt;&gt;"",$H88&lt;=EOMONTH(L$12,0),$I88&gt;=L$12),"DEV",""))))</f>
      </c>
      <c r="M88" s="158" t="str">
        <f>IF($AI88="","",IF(AND($AN88&lt;&gt;"",$AN88&lt;=EOMONTH(M$12,0),$AO88&gt;=M$12),IF(AND(INDEX('Roadmap Calc (Don’t Touch)'!$AA$2:$AX$151,$AI88,COLUMN()-COLUMN($J$16)+1)&gt;0,OR($D88="03. UX Discovery",$D88="04. UX Design")),IF(AND($H88&lt;&gt;"",$H88&lt;=EOMONTH(M$12,0),$I88&gt;=M$12),"ALL","PD+UX"),IF(AND($H88&lt;&gt;"",$H88&lt;=EOMONTH(M$12,0),$I88&gt;=M$12),"PD+DEV","PD")),IF(AND(INDEX('Roadmap Calc (Don’t Touch)'!$AA$2:$AX$151,$AI88,COLUMN()-COLUMN($J$16)+1)&gt;0,OR($D88="03. UX Discovery",$D88="04. UX Design")),IF(AND($H88&lt;&gt;"",$H88&lt;=EOMONTH(M$12,0),$I88&gt;=M$12),"UX+DEV","UX"),IF(AND($H88&lt;&gt;"",$H88&lt;=EOMONTH(M$12,0),$I88&gt;=M$12),"DEV",""))))</f>
      </c>
      <c r="N88" s="158" t="str">
        <f>IF($AI88="","",IF(AND($AN88&lt;&gt;"",$AN88&lt;=EOMONTH(N$12,0),$AO88&gt;=N$12),IF(AND(INDEX('Roadmap Calc (Don’t Touch)'!$AA$2:$AX$151,$AI88,COLUMN()-COLUMN($J$16)+1)&gt;0,OR($D88="03. UX Discovery",$D88="04. UX Design")),IF(AND($H88&lt;&gt;"",$H88&lt;=EOMONTH(N$12,0),$I88&gt;=N$12),"ALL","PD+UX"),IF(AND($H88&lt;&gt;"",$H88&lt;=EOMONTH(N$12,0),$I88&gt;=N$12),"PD+DEV","PD")),IF(AND(INDEX('Roadmap Calc (Don’t Touch)'!$AA$2:$AX$151,$AI88,COLUMN()-COLUMN($J$16)+1)&gt;0,OR($D88="03. UX Discovery",$D88="04. UX Design")),IF(AND($H88&lt;&gt;"",$H88&lt;=EOMONTH(N$12,0),$I88&gt;=N$12),"UX+DEV","UX"),IF(AND($H88&lt;&gt;"",$H88&lt;=EOMONTH(N$12,0),$I88&gt;=N$12),"DEV",""))))</f>
      </c>
      <c r="O88" s="158" t="str">
        <f>IF($AI88="","",IF(AND($AN88&lt;&gt;"",$AN88&lt;=EOMONTH(O$12,0),$AO88&gt;=O$12),IF(AND(INDEX('Roadmap Calc (Don’t Touch)'!$AA$2:$AX$151,$AI88,COLUMN()-COLUMN($J$16)+1)&gt;0,OR($D88="03. UX Discovery",$D88="04. UX Design")),IF(AND($H88&lt;&gt;"",$H88&lt;=EOMONTH(O$12,0),$I88&gt;=O$12),"ALL","PD+UX"),IF(AND($H88&lt;&gt;"",$H88&lt;=EOMONTH(O$12,0),$I88&gt;=O$12),"PD+DEV","PD")),IF(AND(INDEX('Roadmap Calc (Don’t Touch)'!$AA$2:$AX$151,$AI88,COLUMN()-COLUMN($J$16)+1)&gt;0,OR($D88="03. UX Discovery",$D88="04. UX Design")),IF(AND($H88&lt;&gt;"",$H88&lt;=EOMONTH(O$12,0),$I88&gt;=O$12),"UX+DEV","UX"),IF(AND($H88&lt;&gt;"",$H88&lt;=EOMONTH(O$12,0),$I88&gt;=O$12),"DEV",""))))</f>
      </c>
      <c r="P88" s="158" t="str">
        <f>IF($AI88="","",IF(AND($AN88&lt;&gt;"",$AN88&lt;=EOMONTH(P$12,0),$AO88&gt;=P$12),IF(AND(INDEX('Roadmap Calc (Don’t Touch)'!$AA$2:$AX$151,$AI88,COLUMN()-COLUMN($J$16)+1)&gt;0,OR($D88="03. UX Discovery",$D88="04. UX Design")),IF(AND($H88&lt;&gt;"",$H88&lt;=EOMONTH(P$12,0),$I88&gt;=P$12),"ALL","PD+UX"),IF(AND($H88&lt;&gt;"",$H88&lt;=EOMONTH(P$12,0),$I88&gt;=P$12),"PD+DEV","PD")),IF(AND(INDEX('Roadmap Calc (Don’t Touch)'!$AA$2:$AX$151,$AI88,COLUMN()-COLUMN($J$16)+1)&gt;0,OR($D88="03. UX Discovery",$D88="04. UX Design")),IF(AND($H88&lt;&gt;"",$H88&lt;=EOMONTH(P$12,0),$I88&gt;=P$12),"UX+DEV","UX"),IF(AND($H88&lt;&gt;"",$H88&lt;=EOMONTH(P$12,0),$I88&gt;=P$12),"DEV",""))))</f>
      </c>
      <c r="Q88" s="158" t="str">
        <f>IF($AI88="","",IF(AND($AN88&lt;&gt;"",$AN88&lt;=EOMONTH(Q$12,0),$AO88&gt;=Q$12),IF(AND(INDEX('Roadmap Calc (Don’t Touch)'!$AA$2:$AX$151,$AI88,COLUMN()-COLUMN($J$16)+1)&gt;0,OR($D88="03. UX Discovery",$D88="04. UX Design")),IF(AND($H88&lt;&gt;"",$H88&lt;=EOMONTH(Q$12,0),$I88&gt;=Q$12),"ALL","PD+UX"),IF(AND($H88&lt;&gt;"",$H88&lt;=EOMONTH(Q$12,0),$I88&gt;=Q$12),"PD+DEV","PD")),IF(AND(INDEX('Roadmap Calc (Don’t Touch)'!$AA$2:$AX$151,$AI88,COLUMN()-COLUMN($J$16)+1)&gt;0,OR($D88="03. UX Discovery",$D88="04. UX Design")),IF(AND($H88&lt;&gt;"",$H88&lt;=EOMONTH(Q$12,0),$I88&gt;=Q$12),"UX+DEV","UX"),IF(AND($H88&lt;&gt;"",$H88&lt;=EOMONTH(Q$12,0),$I88&gt;=Q$12),"DEV",""))))</f>
      </c>
      <c r="R88" s="158" t="str">
        <f>IF($AI88="","",IF(AND($AN88&lt;&gt;"",$AN88&lt;=EOMONTH(R$12,0),$AO88&gt;=R$12),IF(AND(INDEX('Roadmap Calc (Don’t Touch)'!$AA$2:$AX$151,$AI88,COLUMN()-COLUMN($J$16)+1)&gt;0,OR($D88="03. UX Discovery",$D88="04. UX Design")),IF(AND($H88&lt;&gt;"",$H88&lt;=EOMONTH(R$12,0),$I88&gt;=R$12),"ALL","PD+UX"),IF(AND($H88&lt;&gt;"",$H88&lt;=EOMONTH(R$12,0),$I88&gt;=R$12),"PD+DEV","PD")),IF(AND(INDEX('Roadmap Calc (Don’t Touch)'!$AA$2:$AX$151,$AI88,COLUMN()-COLUMN($J$16)+1)&gt;0,OR($D88="03. UX Discovery",$D88="04. UX Design")),IF(AND($H88&lt;&gt;"",$H88&lt;=EOMONTH(R$12,0),$I88&gt;=R$12),"UX+DEV","UX"),IF(AND($H88&lt;&gt;"",$H88&lt;=EOMONTH(R$12,0),$I88&gt;=R$12),"DEV",""))))</f>
      </c>
      <c r="S88" s="158" t="str">
        <f>IF($AI88="","",IF(AND($AN88&lt;&gt;"",$AN88&lt;=EOMONTH(S$12,0),$AO88&gt;=S$12),IF(AND(INDEX('Roadmap Calc (Don’t Touch)'!$AA$2:$AX$151,$AI88,COLUMN()-COLUMN($J$16)+1)&gt;0,OR($D88="03. UX Discovery",$D88="04. UX Design")),IF(AND($H88&lt;&gt;"",$H88&lt;=EOMONTH(S$12,0),$I88&gt;=S$12),"ALL","PD+UX"),IF(AND($H88&lt;&gt;"",$H88&lt;=EOMONTH(S$12,0),$I88&gt;=S$12),"PD+DEV","PD")),IF(AND(INDEX('Roadmap Calc (Don’t Touch)'!$AA$2:$AX$151,$AI88,COLUMN()-COLUMN($J$16)+1)&gt;0,OR($D88="03. UX Discovery",$D88="04. UX Design")),IF(AND($H88&lt;&gt;"",$H88&lt;=EOMONTH(S$12,0),$I88&gt;=S$12),"UX+DEV","UX"),IF(AND($H88&lt;&gt;"",$H88&lt;=EOMONTH(S$12,0),$I88&gt;=S$12),"DEV",""))))</f>
      </c>
      <c r="T88" s="158" t="str">
        <f>IF($AI88="","",IF(AND($AN88&lt;&gt;"",$AN88&lt;=EOMONTH(T$12,0),$AO88&gt;=T$12),IF(AND(INDEX('Roadmap Calc (Don’t Touch)'!$AA$2:$AX$151,$AI88,COLUMN()-COLUMN($J$16)+1)&gt;0,OR($D88="03. UX Discovery",$D88="04. UX Design")),IF(AND($H88&lt;&gt;"",$H88&lt;=EOMONTH(T$12,0),$I88&gt;=T$12),"ALL","PD+UX"),IF(AND($H88&lt;&gt;"",$H88&lt;=EOMONTH(T$12,0),$I88&gt;=T$12),"PD+DEV","PD")),IF(AND(INDEX('Roadmap Calc (Don’t Touch)'!$AA$2:$AX$151,$AI88,COLUMN()-COLUMN($J$16)+1)&gt;0,OR($D88="03. UX Discovery",$D88="04. UX Design")),IF(AND($H88&lt;&gt;"",$H88&lt;=EOMONTH(T$12,0),$I88&gt;=T$12),"UX+DEV","UX"),IF(AND($H88&lt;&gt;"",$H88&lt;=EOMONTH(T$12,0),$I88&gt;=T$12),"DEV",""))))</f>
      </c>
      <c r="U88" s="158" t="str">
        <f>IF($AI88="","",IF(AND($AN88&lt;&gt;"",$AN88&lt;=EOMONTH(U$12,0),$AO88&gt;=U$12),IF(AND(INDEX('Roadmap Calc (Don’t Touch)'!$AA$2:$AX$151,$AI88,COLUMN()-COLUMN($J$16)+1)&gt;0,OR($D88="03. UX Discovery",$D88="04. UX Design")),IF(AND($H88&lt;&gt;"",$H88&lt;=EOMONTH(U$12,0),$I88&gt;=U$12),"ALL","PD+UX"),IF(AND($H88&lt;&gt;"",$H88&lt;=EOMONTH(U$12,0),$I88&gt;=U$12),"PD+DEV","PD")),IF(AND(INDEX('Roadmap Calc (Don’t Touch)'!$AA$2:$AX$151,$AI88,COLUMN()-COLUMN($J$16)+1)&gt;0,OR($D88="03. UX Discovery",$D88="04. UX Design")),IF(AND($H88&lt;&gt;"",$H88&lt;=EOMONTH(U$12,0),$I88&gt;=U$12),"UX+DEV","UX"),IF(AND($H88&lt;&gt;"",$H88&lt;=EOMONTH(U$12,0),$I88&gt;=U$12),"DEV",""))))</f>
      </c>
      <c r="V88" s="158" t="str">
        <f>IF($AI88="","",IF(AND($AN88&lt;&gt;"",$AN88&lt;=EOMONTH(V$12,0),$AO88&gt;=V$12),IF(AND(INDEX('Roadmap Calc (Don’t Touch)'!$AA$2:$AX$151,$AI88,COLUMN()-COLUMN($J$16)+1)&gt;0,OR($D88="03. UX Discovery",$D88="04. UX Design")),IF(AND($H88&lt;&gt;"",$H88&lt;=EOMONTH(V$12,0),$I88&gt;=V$12),"ALL","PD+UX"),IF(AND($H88&lt;&gt;"",$H88&lt;=EOMONTH(V$12,0),$I88&gt;=V$12),"PD+DEV","PD")),IF(AND(INDEX('Roadmap Calc (Don’t Touch)'!$AA$2:$AX$151,$AI88,COLUMN()-COLUMN($J$16)+1)&gt;0,OR($D88="03. UX Discovery",$D88="04. UX Design")),IF(AND($H88&lt;&gt;"",$H88&lt;=EOMONTH(V$12,0),$I88&gt;=V$12),"UX+DEV","UX"),IF(AND($H88&lt;&gt;"",$H88&lt;=EOMONTH(V$12,0),$I88&gt;=V$12),"DEV",""))))</f>
      </c>
      <c r="W88" s="158" t="str">
        <f>IF($AI88="","",IF(AND($AN88&lt;&gt;"",$AN88&lt;=EOMONTH(W$12,0),$AO88&gt;=W$12),IF(AND(INDEX('Roadmap Calc (Don’t Touch)'!$AA$2:$AX$151,$AI88,COLUMN()-COLUMN($J$16)+1)&gt;0,OR($D88="03. UX Discovery",$D88="04. UX Design")),IF(AND($H88&lt;&gt;"",$H88&lt;=EOMONTH(W$12,0),$I88&gt;=W$12),"ALL","PD+UX"),IF(AND($H88&lt;&gt;"",$H88&lt;=EOMONTH(W$12,0),$I88&gt;=W$12),"PD+DEV","PD")),IF(AND(INDEX('Roadmap Calc (Don’t Touch)'!$AA$2:$AX$151,$AI88,COLUMN()-COLUMN($J$16)+1)&gt;0,OR($D88="03. UX Discovery",$D88="04. UX Design")),IF(AND($H88&lt;&gt;"",$H88&lt;=EOMONTH(W$12,0),$I88&gt;=W$12),"UX+DEV","UX"),IF(AND($H88&lt;&gt;"",$H88&lt;=EOMONTH(W$12,0),$I88&gt;=W$12),"DEV",""))))</f>
      </c>
      <c r="X88" s="158" t="str">
        <f>IF($AI88="","",IF(AND($AN88&lt;&gt;"",$AN88&lt;=EOMONTH(X$12,0),$AO88&gt;=X$12),IF(AND(INDEX('Roadmap Calc (Don’t Touch)'!$AA$2:$AX$151,$AI88,COLUMN()-COLUMN($J$16)+1)&gt;0,OR($D88="03. UX Discovery",$D88="04. UX Design")),IF(AND($H88&lt;&gt;"",$H88&lt;=EOMONTH(X$12,0),$I88&gt;=X$12),"ALL","PD+UX"),IF(AND($H88&lt;&gt;"",$H88&lt;=EOMONTH(X$12,0),$I88&gt;=X$12),"PD+DEV","PD")),IF(AND(INDEX('Roadmap Calc (Don’t Touch)'!$AA$2:$AX$151,$AI88,COLUMN()-COLUMN($J$16)+1)&gt;0,OR($D88="03. UX Discovery",$D88="04. UX Design")),IF(AND($H88&lt;&gt;"",$H88&lt;=EOMONTH(X$12,0),$I88&gt;=X$12),"UX+DEV","UX"),IF(AND($H88&lt;&gt;"",$H88&lt;=EOMONTH(X$12,0),$I88&gt;=X$12),"DEV",""))))</f>
      </c>
      <c r="Y88" s="158" t="str">
        <f>IF($AI88="","",IF(AND($AN88&lt;&gt;"",$AN88&lt;=EOMONTH(Y$12,0),$AO88&gt;=Y$12),IF(AND(INDEX('Roadmap Calc (Don’t Touch)'!$AA$2:$AX$151,$AI88,COLUMN()-COLUMN($J$16)+1)&gt;0,OR($D88="03. UX Discovery",$D88="04. UX Design")),IF(AND($H88&lt;&gt;"",$H88&lt;=EOMONTH(Y$12,0),$I88&gt;=Y$12),"ALL","PD+UX"),IF(AND($H88&lt;&gt;"",$H88&lt;=EOMONTH(Y$12,0),$I88&gt;=Y$12),"PD+DEV","PD")),IF(AND(INDEX('Roadmap Calc (Don’t Touch)'!$AA$2:$AX$151,$AI88,COLUMN()-COLUMN($J$16)+1)&gt;0,OR($D88="03. UX Discovery",$D88="04. UX Design")),IF(AND($H88&lt;&gt;"",$H88&lt;=EOMONTH(Y$12,0),$I88&gt;=Y$12),"UX+DEV","UX"),IF(AND($H88&lt;&gt;"",$H88&lt;=EOMONTH(Y$12,0),$I88&gt;=Y$12),"DEV",""))))</f>
      </c>
      <c r="Z88" s="158" t="str">
        <f>IF($AI88="","",IF(AND($AN88&lt;&gt;"",$AN88&lt;=EOMONTH(Z$12,0),$AO88&gt;=Z$12),IF(AND(INDEX('Roadmap Calc (Don’t Touch)'!$AA$2:$AX$151,$AI88,COLUMN()-COLUMN($J$16)+1)&gt;0,OR($D88="03. UX Discovery",$D88="04. UX Design")),IF(AND($H88&lt;&gt;"",$H88&lt;=EOMONTH(Z$12,0),$I88&gt;=Z$12),"ALL","PD+UX"),IF(AND($H88&lt;&gt;"",$H88&lt;=EOMONTH(Z$12,0),$I88&gt;=Z$12),"PD+DEV","PD")),IF(AND(INDEX('Roadmap Calc (Don’t Touch)'!$AA$2:$AX$151,$AI88,COLUMN()-COLUMN($J$16)+1)&gt;0,OR($D88="03. UX Discovery",$D88="04. UX Design")),IF(AND($H88&lt;&gt;"",$H88&lt;=EOMONTH(Z$12,0),$I88&gt;=Z$12),"UX+DEV","UX"),IF(AND($H88&lt;&gt;"",$H88&lt;=EOMONTH(Z$12,0),$I88&gt;=Z$12),"DEV",""))))</f>
      </c>
      <c r="AA88" s="158" t="str">
        <f>IF($AI88="","",IF(AND($AN88&lt;&gt;"",$AN88&lt;=EOMONTH(AA$12,0),$AO88&gt;=AA$12),IF(AND(INDEX('Roadmap Calc (Don’t Touch)'!$AA$2:$AX$151,$AI88,COLUMN()-COLUMN($J$16)+1)&gt;0,OR($D88="03. UX Discovery",$D88="04. UX Design")),IF(AND($H88&lt;&gt;"",$H88&lt;=EOMONTH(AA$12,0),$I88&gt;=AA$12),"ALL","PD+UX"),IF(AND($H88&lt;&gt;"",$H88&lt;=EOMONTH(AA$12,0),$I88&gt;=AA$12),"PD+DEV","PD")),IF(AND(INDEX('Roadmap Calc (Don’t Touch)'!$AA$2:$AX$151,$AI88,COLUMN()-COLUMN($J$16)+1)&gt;0,OR($D88="03. UX Discovery",$D88="04. UX Design")),IF(AND($H88&lt;&gt;"",$H88&lt;=EOMONTH(AA$12,0),$I88&gt;=AA$12),"UX+DEV","UX"),IF(AND($H88&lt;&gt;"",$H88&lt;=EOMONTH(AA$12,0),$I88&gt;=AA$12),"DEV",""))))</f>
      </c>
      <c r="AB88" s="158" t="str">
        <f>IF($AI88="","",IF(AND($AN88&lt;&gt;"",$AN88&lt;=EOMONTH(AB$12,0),$AO88&gt;=AB$12),IF(AND(INDEX('Roadmap Calc (Don’t Touch)'!$AA$2:$AX$151,$AI88,COLUMN()-COLUMN($J$16)+1)&gt;0,OR($D88="03. UX Discovery",$D88="04. UX Design")),IF(AND($H88&lt;&gt;"",$H88&lt;=EOMONTH(AB$12,0),$I88&gt;=AB$12),"ALL","PD+UX"),IF(AND($H88&lt;&gt;"",$H88&lt;=EOMONTH(AB$12,0),$I88&gt;=AB$12),"PD+DEV","PD")),IF(AND(INDEX('Roadmap Calc (Don’t Touch)'!$AA$2:$AX$151,$AI88,COLUMN()-COLUMN($J$16)+1)&gt;0,OR($D88="03. UX Discovery",$D88="04. UX Design")),IF(AND($H88&lt;&gt;"",$H88&lt;=EOMONTH(AB$12,0),$I88&gt;=AB$12),"UX+DEV","UX"),IF(AND($H88&lt;&gt;"",$H88&lt;=EOMONTH(AB$12,0),$I88&gt;=AB$12),"DEV",""))))</f>
      </c>
      <c r="AC88" s="158" t="str">
        <f>IF($AI88="","",IF(AND($AN88&lt;&gt;"",$AN88&lt;=EOMONTH(AC$12,0),$AO88&gt;=AC$12),IF(AND(INDEX('Roadmap Calc (Don’t Touch)'!$AA$2:$AX$151,$AI88,COLUMN()-COLUMN($J$16)+1)&gt;0,OR($D88="03. UX Discovery",$D88="04. UX Design")),IF(AND($H88&lt;&gt;"",$H88&lt;=EOMONTH(AC$12,0),$I88&gt;=AC$12),"ALL","PD+UX"),IF(AND($H88&lt;&gt;"",$H88&lt;=EOMONTH(AC$12,0),$I88&gt;=AC$12),"PD+DEV","PD")),IF(AND(INDEX('Roadmap Calc (Don’t Touch)'!$AA$2:$AX$151,$AI88,COLUMN()-COLUMN($J$16)+1)&gt;0,OR($D88="03. UX Discovery",$D88="04. UX Design")),IF(AND($H88&lt;&gt;"",$H88&lt;=EOMONTH(AC$12,0),$I88&gt;=AC$12),"UX+DEV","UX"),IF(AND($H88&lt;&gt;"",$H88&lt;=EOMONTH(AC$12,0),$I88&gt;=AC$12),"DEV",""))))</f>
      </c>
      <c r="AD88" s="158" t="str">
        <f>IF($AI88="","",IF(AND($AN88&lt;&gt;"",$AN88&lt;=EOMONTH(AD$12,0),$AO88&gt;=AD$12),IF(AND(INDEX('Roadmap Calc (Don’t Touch)'!$AA$2:$AX$151,$AI88,COLUMN()-COLUMN($J$16)+1)&gt;0,OR($D88="03. UX Discovery",$D88="04. UX Design")),IF(AND($H88&lt;&gt;"",$H88&lt;=EOMONTH(AD$12,0),$I88&gt;=AD$12),"ALL","PD+UX"),IF(AND($H88&lt;&gt;"",$H88&lt;=EOMONTH(AD$12,0),$I88&gt;=AD$12),"PD+DEV","PD")),IF(AND(INDEX('Roadmap Calc (Don’t Touch)'!$AA$2:$AX$151,$AI88,COLUMN()-COLUMN($J$16)+1)&gt;0,OR($D88="03. UX Discovery",$D88="04. UX Design")),IF(AND($H88&lt;&gt;"",$H88&lt;=EOMONTH(AD$12,0),$I88&gt;=AD$12),"UX+DEV","UX"),IF(AND($H88&lt;&gt;"",$H88&lt;=EOMONTH(AD$12,0),$I88&gt;=AD$12),"DEV",""))))</f>
      </c>
      <c r="AE88" s="158" t="str">
        <f>IF($AI88="","",IF(AND($AN88&lt;&gt;"",$AN88&lt;=EOMONTH(AE$12,0),$AO88&gt;=AE$12),IF(AND(INDEX('Roadmap Calc (Don’t Touch)'!$AA$2:$AX$151,$AI88,COLUMN()-COLUMN($J$16)+1)&gt;0,OR($D88="03. UX Discovery",$D88="04. UX Design")),IF(AND($H88&lt;&gt;"",$H88&lt;=EOMONTH(AE$12,0),$I88&gt;=AE$12),"ALL","PD+UX"),IF(AND($H88&lt;&gt;"",$H88&lt;=EOMONTH(AE$12,0),$I88&gt;=AE$12),"PD+DEV","PD")),IF(AND(INDEX('Roadmap Calc (Don’t Touch)'!$AA$2:$AX$151,$AI88,COLUMN()-COLUMN($J$16)+1)&gt;0,OR($D88="03. UX Discovery",$D88="04. UX Design")),IF(AND($H88&lt;&gt;"",$H88&lt;=EOMONTH(AE$12,0),$I88&gt;=AE$12),"UX+DEV","UX"),IF(AND($H88&lt;&gt;"",$H88&lt;=EOMONTH(AE$12,0),$I88&gt;=AE$12),"DEV",""))))</f>
      </c>
      <c r="AF88" s="158" t="str">
        <f>IF($AI88="","",IF(AND($AN88&lt;&gt;"",$AN88&lt;=EOMONTH(AF$12,0),$AO88&gt;=AF$12),IF(AND(INDEX('Roadmap Calc (Don’t Touch)'!$AA$2:$AX$151,$AI88,COLUMN()-COLUMN($J$16)+1)&gt;0,OR($D88="03. UX Discovery",$D88="04. UX Design")),IF(AND($H88&lt;&gt;"",$H88&lt;=EOMONTH(AF$12,0),$I88&gt;=AF$12),"ALL","PD+UX"),IF(AND($H88&lt;&gt;"",$H88&lt;=EOMONTH(AF$12,0),$I88&gt;=AF$12),"PD+DEV","PD")),IF(AND(INDEX('Roadmap Calc (Don’t Touch)'!$AA$2:$AX$151,$AI88,COLUMN()-COLUMN($J$16)+1)&gt;0,OR($D88="03. UX Discovery",$D88="04. UX Design")),IF(AND($H88&lt;&gt;"",$H88&lt;=EOMONTH(AF$12,0),$I88&gt;=AF$12),"UX+DEV","UX"),IF(AND($H88&lt;&gt;"",$H88&lt;=EOMONTH(AF$12,0),$I88&gt;=AF$12),"DEV",""))))</f>
      </c>
      <c r="AG88" s="158" t="str">
        <f>IF($AI88="","",IF(AND($AN88&lt;&gt;"",$AN88&lt;=EOMONTH(AG$12,0),$AO88&gt;=AG$12),IF(AND(INDEX('Roadmap Calc (Don’t Touch)'!$AA$2:$AX$151,$AI88,COLUMN()-COLUMN($J$16)+1)&gt;0,OR($D88="03. UX Discovery",$D88="04. UX Design")),IF(AND($H88&lt;&gt;"",$H88&lt;=EOMONTH(AG$12,0),$I88&gt;=AG$12),"ALL","PD+UX"),IF(AND($H88&lt;&gt;"",$H88&lt;=EOMONTH(AG$12,0),$I88&gt;=AG$12),"PD+DEV","PD")),IF(AND(INDEX('Roadmap Calc (Don’t Touch)'!$AA$2:$AX$151,$AI88,COLUMN()-COLUMN($J$16)+1)&gt;0,OR($D88="03. UX Discovery",$D88="04. UX Design")),IF(AND($H88&lt;&gt;"",$H88&lt;=EOMONTH(AG$12,0),$I88&gt;=AG$12),"UX+DEV","UX"),IF(AND($H88&lt;&gt;"",$H88&lt;=EOMONTH(AG$12,0),$I88&gt;=AG$12),"DEV",""))))</f>
      </c>
      <c r="AH88" s="145" t="str">
        <f>IF($AI88="","",INDEX('Roadmap Calc (Don’t Touch)'!$D$2:$D$151,$AI88))</f>
        <v/>
      </c>
      <c r="AI88" s="145" t="str">
        <f>IFERROR(MATCH(73,'Roadmap Calc (Don’t Touch)'!$O$2:$O$151,0),"")</f>
        <v/>
      </c>
      <c r="AJ88" s="145"/>
      <c r="AK88" s="145"/>
      <c r="AL88" s="145"/>
      <c r="AM88" s="145"/>
      <c r="AN88">
        <f>IF($AI88="","",IF(ISNUMBER(INDEX('Roadmap Calc (Don’t Touch)'!$BB$2:$BB$151,$AI88)),INDEX('Roadmap Calc (Don’t Touch)'!$BB$2:$BB$151,$AI88),""))</f>
      </c>
      <c r="AO88">
        <f>IF($AI88="","",IF(ISNUMBER(INDEX('Roadmap Calc (Don’t Touch)'!$BC$2:$BC$151,$AI88)),INDEX('Roadmap Calc (Don’t Touch)'!$BC$2:$BC$151,$AI88),""))</f>
      </c>
    </row>
    <row r="89" spans="1:41" ht="17" customHeight="1" x14ac:dyDescent="0.25">
      <c r="A89" s="152" t="str">
        <f>IF($AI89="","",IF($AH89=$AH88,"",IF(INDEX('Roadmap Calc (Don’t Touch)'!$U$2:$U$151,$AI89)=0,$AH89,HYPERLINK("#'Control (Don’t Touch)'!E"&amp;INDEX('Roadmap Calc (Don’t Touch)'!$U$2:$U$151,$AI89),$AH89))))</f>
        <v/>
      </c>
      <c r="B89" s="153" t="str">
        <f>IF($AI89="","",IF(INDEX('Roadmap Calc (Don’t Touch)'!$K$2:$K$151,$AI89)="",INDEX('Roadmap Calc (Don’t Touch)'!$B$2:$B$151,$AI89),HYPERLINK("https://jira.bnh.com/browse/"&amp;INDEX('Roadmap Calc (Don’t Touch)'!$K$2:$K$151,$AI89),INDEX('Roadmap Calc (Don’t Touch)'!$B$2:$B$151,$AI89))))</f>
        <v/>
      </c>
      <c r="C89" s="153" t="str">
        <f>IF($AI89="","",IF(INDEX('Roadmap Calc (Don’t Touch)'!$E$2:$E$151,$AI89)="","",HYPERLINK("https://jira.bnh.com/browse/"&amp;INDEX('Roadmap Calc (Don’t Touch)'!$E$2:$E$151,$AI89),INDEX('Roadmap Calc (Don’t Touch)'!$E$2:$E$151,$AI89))))</f>
        <v/>
      </c>
      <c r="D89" s="154" t="str">
        <f>IF($AI89="","",INDEX('Roadmap Calc (Don’t Touch)'!$F$2:$F$151,$AI89))</f>
        <v/>
      </c>
      <c r="E89" s="155" t="str">
        <f>IF($AI89="","",IF(ISNUMBER(INDEX('Roadmap Calc (Don’t Touch)'!$G$2:$G$151,$AI89)),INDEX('Roadmap Calc (Don’t Touch)'!$G$2:$G$151,$AI89),""))</f>
        <v/>
      </c>
      <c r="F89" s="155" t="str">
        <f>IF($AI89="","",IF(ISNUMBER(INDEX('Roadmap Calc (Don’t Touch)'!$H$2:$H$151,$AI89)),INDEX('Roadmap Calc (Don’t Touch)'!$H$2:$H$151,$AI89),""))</f>
        <v/>
      </c>
      <c r="G89" s="156" t="str">
        <f>IF($AI89="","",INDEX('Roadmap Calc (Don’t Touch)'!$T$2:$T$151,$AI89))</f>
        <v/>
      </c>
      <c r="H89" s="157" t="str">
        <f>IF($AI89="","",IF(ISNUMBER(INDEX('Roadmap Calc (Don’t Touch)'!$I$2:$I$151,$AI89)),INDEX('Roadmap Calc (Don’t Touch)'!$I$2:$I$151,$AI89),""))</f>
        <v/>
      </c>
      <c r="I89" s="157" t="str">
        <f>IF($AI89="","",IF(ISNUMBER(INDEX('Roadmap Calc (Don’t Touch)'!$J$2:$J$151,$AI89)),INDEX('Roadmap Calc (Don’t Touch)'!$J$2:$J$151,$AI89),""))</f>
        <v/>
      </c>
      <c r="J89" s="158" t="str">
        <f>IF($AI89="","",IF(AND($AN89&lt;&gt;"",$AN89&lt;=EOMONTH(J$12,0),$AO89&gt;=J$12),IF(AND(INDEX('Roadmap Calc (Don’t Touch)'!$AA$2:$AX$151,$AI89,COLUMN()-COLUMN($J$16)+1)&gt;0,OR($D89="03. UX Discovery",$D89="04. UX Design")),IF(AND($H89&lt;&gt;"",$H89&lt;=EOMONTH(J$12,0),$I89&gt;=J$12),"ALL","PD+UX"),IF(AND($H89&lt;&gt;"",$H89&lt;=EOMONTH(J$12,0),$I89&gt;=J$12),"PD+DEV","PD")),IF(AND(INDEX('Roadmap Calc (Don’t Touch)'!$AA$2:$AX$151,$AI89,COLUMN()-COLUMN($J$16)+1)&gt;0,OR($D89="03. UX Discovery",$D89="04. UX Design")),IF(AND($H89&lt;&gt;"",$H89&lt;=EOMONTH(J$12,0),$I89&gt;=J$12),"UX+DEV","UX"),IF(AND($H89&lt;&gt;"",$H89&lt;=EOMONTH(J$12,0),$I89&gt;=J$12),"DEV",""))))</f>
      </c>
      <c r="K89" s="158" t="str">
        <f>IF($AI89="","",IF(AND($AN89&lt;&gt;"",$AN89&lt;=EOMONTH(K$12,0),$AO89&gt;=K$12),IF(AND(INDEX('Roadmap Calc (Don’t Touch)'!$AA$2:$AX$151,$AI89,COLUMN()-COLUMN($J$16)+1)&gt;0,OR($D89="03. UX Discovery",$D89="04. UX Design")),IF(AND($H89&lt;&gt;"",$H89&lt;=EOMONTH(K$12,0),$I89&gt;=K$12),"ALL","PD+UX"),IF(AND($H89&lt;&gt;"",$H89&lt;=EOMONTH(K$12,0),$I89&gt;=K$12),"PD+DEV","PD")),IF(AND(INDEX('Roadmap Calc (Don’t Touch)'!$AA$2:$AX$151,$AI89,COLUMN()-COLUMN($J$16)+1)&gt;0,OR($D89="03. UX Discovery",$D89="04. UX Design")),IF(AND($H89&lt;&gt;"",$H89&lt;=EOMONTH(K$12,0),$I89&gt;=K$12),"UX+DEV","UX"),IF(AND($H89&lt;&gt;"",$H89&lt;=EOMONTH(K$12,0),$I89&gt;=K$12),"DEV",""))))</f>
      </c>
      <c r="L89" s="158" t="str">
        <f>IF($AI89="","",IF(AND($AN89&lt;&gt;"",$AN89&lt;=EOMONTH(L$12,0),$AO89&gt;=L$12),IF(AND(INDEX('Roadmap Calc (Don’t Touch)'!$AA$2:$AX$151,$AI89,COLUMN()-COLUMN($J$16)+1)&gt;0,OR($D89="03. UX Discovery",$D89="04. UX Design")),IF(AND($H89&lt;&gt;"",$H89&lt;=EOMONTH(L$12,0),$I89&gt;=L$12),"ALL","PD+UX"),IF(AND($H89&lt;&gt;"",$H89&lt;=EOMONTH(L$12,0),$I89&gt;=L$12),"PD+DEV","PD")),IF(AND(INDEX('Roadmap Calc (Don’t Touch)'!$AA$2:$AX$151,$AI89,COLUMN()-COLUMN($J$16)+1)&gt;0,OR($D89="03. UX Discovery",$D89="04. UX Design")),IF(AND($H89&lt;&gt;"",$H89&lt;=EOMONTH(L$12,0),$I89&gt;=L$12),"UX+DEV","UX"),IF(AND($H89&lt;&gt;"",$H89&lt;=EOMONTH(L$12,0),$I89&gt;=L$12),"DEV",""))))</f>
      </c>
      <c r="M89" s="158" t="str">
        <f>IF($AI89="","",IF(AND($AN89&lt;&gt;"",$AN89&lt;=EOMONTH(M$12,0),$AO89&gt;=M$12),IF(AND(INDEX('Roadmap Calc (Don’t Touch)'!$AA$2:$AX$151,$AI89,COLUMN()-COLUMN($J$16)+1)&gt;0,OR($D89="03. UX Discovery",$D89="04. UX Design")),IF(AND($H89&lt;&gt;"",$H89&lt;=EOMONTH(M$12,0),$I89&gt;=M$12),"ALL","PD+UX"),IF(AND($H89&lt;&gt;"",$H89&lt;=EOMONTH(M$12,0),$I89&gt;=M$12),"PD+DEV","PD")),IF(AND(INDEX('Roadmap Calc (Don’t Touch)'!$AA$2:$AX$151,$AI89,COLUMN()-COLUMN($J$16)+1)&gt;0,OR($D89="03. UX Discovery",$D89="04. UX Design")),IF(AND($H89&lt;&gt;"",$H89&lt;=EOMONTH(M$12,0),$I89&gt;=M$12),"UX+DEV","UX"),IF(AND($H89&lt;&gt;"",$H89&lt;=EOMONTH(M$12,0),$I89&gt;=M$12),"DEV",""))))</f>
      </c>
      <c r="N89" s="158" t="str">
        <f>IF($AI89="","",IF(AND($AN89&lt;&gt;"",$AN89&lt;=EOMONTH(N$12,0),$AO89&gt;=N$12),IF(AND(INDEX('Roadmap Calc (Don’t Touch)'!$AA$2:$AX$151,$AI89,COLUMN()-COLUMN($J$16)+1)&gt;0,OR($D89="03. UX Discovery",$D89="04. UX Design")),IF(AND($H89&lt;&gt;"",$H89&lt;=EOMONTH(N$12,0),$I89&gt;=N$12),"ALL","PD+UX"),IF(AND($H89&lt;&gt;"",$H89&lt;=EOMONTH(N$12,0),$I89&gt;=N$12),"PD+DEV","PD")),IF(AND(INDEX('Roadmap Calc (Don’t Touch)'!$AA$2:$AX$151,$AI89,COLUMN()-COLUMN($J$16)+1)&gt;0,OR($D89="03. UX Discovery",$D89="04. UX Design")),IF(AND($H89&lt;&gt;"",$H89&lt;=EOMONTH(N$12,0),$I89&gt;=N$12),"UX+DEV","UX"),IF(AND($H89&lt;&gt;"",$H89&lt;=EOMONTH(N$12,0),$I89&gt;=N$12),"DEV",""))))</f>
      </c>
      <c r="O89" s="158" t="str">
        <f>IF($AI89="","",IF(AND($AN89&lt;&gt;"",$AN89&lt;=EOMONTH(O$12,0),$AO89&gt;=O$12),IF(AND(INDEX('Roadmap Calc (Don’t Touch)'!$AA$2:$AX$151,$AI89,COLUMN()-COLUMN($J$16)+1)&gt;0,OR($D89="03. UX Discovery",$D89="04. UX Design")),IF(AND($H89&lt;&gt;"",$H89&lt;=EOMONTH(O$12,0),$I89&gt;=O$12),"ALL","PD+UX"),IF(AND($H89&lt;&gt;"",$H89&lt;=EOMONTH(O$12,0),$I89&gt;=O$12),"PD+DEV","PD")),IF(AND(INDEX('Roadmap Calc (Don’t Touch)'!$AA$2:$AX$151,$AI89,COLUMN()-COLUMN($J$16)+1)&gt;0,OR($D89="03. UX Discovery",$D89="04. UX Design")),IF(AND($H89&lt;&gt;"",$H89&lt;=EOMONTH(O$12,0),$I89&gt;=O$12),"UX+DEV","UX"),IF(AND($H89&lt;&gt;"",$H89&lt;=EOMONTH(O$12,0),$I89&gt;=O$12),"DEV",""))))</f>
      </c>
      <c r="P89" s="158" t="str">
        <f>IF($AI89="","",IF(AND($AN89&lt;&gt;"",$AN89&lt;=EOMONTH(P$12,0),$AO89&gt;=P$12),IF(AND(INDEX('Roadmap Calc (Don’t Touch)'!$AA$2:$AX$151,$AI89,COLUMN()-COLUMN($J$16)+1)&gt;0,OR($D89="03. UX Discovery",$D89="04. UX Design")),IF(AND($H89&lt;&gt;"",$H89&lt;=EOMONTH(P$12,0),$I89&gt;=P$12),"ALL","PD+UX"),IF(AND($H89&lt;&gt;"",$H89&lt;=EOMONTH(P$12,0),$I89&gt;=P$12),"PD+DEV","PD")),IF(AND(INDEX('Roadmap Calc (Don’t Touch)'!$AA$2:$AX$151,$AI89,COLUMN()-COLUMN($J$16)+1)&gt;0,OR($D89="03. UX Discovery",$D89="04. UX Design")),IF(AND($H89&lt;&gt;"",$H89&lt;=EOMONTH(P$12,0),$I89&gt;=P$12),"UX+DEV","UX"),IF(AND($H89&lt;&gt;"",$H89&lt;=EOMONTH(P$12,0),$I89&gt;=P$12),"DEV",""))))</f>
      </c>
      <c r="Q89" s="158" t="str">
        <f>IF($AI89="","",IF(AND($AN89&lt;&gt;"",$AN89&lt;=EOMONTH(Q$12,0),$AO89&gt;=Q$12),IF(AND(INDEX('Roadmap Calc (Don’t Touch)'!$AA$2:$AX$151,$AI89,COLUMN()-COLUMN($J$16)+1)&gt;0,OR($D89="03. UX Discovery",$D89="04. UX Design")),IF(AND($H89&lt;&gt;"",$H89&lt;=EOMONTH(Q$12,0),$I89&gt;=Q$12),"ALL","PD+UX"),IF(AND($H89&lt;&gt;"",$H89&lt;=EOMONTH(Q$12,0),$I89&gt;=Q$12),"PD+DEV","PD")),IF(AND(INDEX('Roadmap Calc (Don’t Touch)'!$AA$2:$AX$151,$AI89,COLUMN()-COLUMN($J$16)+1)&gt;0,OR($D89="03. UX Discovery",$D89="04. UX Design")),IF(AND($H89&lt;&gt;"",$H89&lt;=EOMONTH(Q$12,0),$I89&gt;=Q$12),"UX+DEV","UX"),IF(AND($H89&lt;&gt;"",$H89&lt;=EOMONTH(Q$12,0),$I89&gt;=Q$12),"DEV",""))))</f>
      </c>
      <c r="R89" s="158" t="str">
        <f>IF($AI89="","",IF(AND($AN89&lt;&gt;"",$AN89&lt;=EOMONTH(R$12,0),$AO89&gt;=R$12),IF(AND(INDEX('Roadmap Calc (Don’t Touch)'!$AA$2:$AX$151,$AI89,COLUMN()-COLUMN($J$16)+1)&gt;0,OR($D89="03. UX Discovery",$D89="04. UX Design")),IF(AND($H89&lt;&gt;"",$H89&lt;=EOMONTH(R$12,0),$I89&gt;=R$12),"ALL","PD+UX"),IF(AND($H89&lt;&gt;"",$H89&lt;=EOMONTH(R$12,0),$I89&gt;=R$12),"PD+DEV","PD")),IF(AND(INDEX('Roadmap Calc (Don’t Touch)'!$AA$2:$AX$151,$AI89,COLUMN()-COLUMN($J$16)+1)&gt;0,OR($D89="03. UX Discovery",$D89="04. UX Design")),IF(AND($H89&lt;&gt;"",$H89&lt;=EOMONTH(R$12,0),$I89&gt;=R$12),"UX+DEV","UX"),IF(AND($H89&lt;&gt;"",$H89&lt;=EOMONTH(R$12,0),$I89&gt;=R$12),"DEV",""))))</f>
      </c>
      <c r="S89" s="158" t="str">
        <f>IF($AI89="","",IF(AND($AN89&lt;&gt;"",$AN89&lt;=EOMONTH(S$12,0),$AO89&gt;=S$12),IF(AND(INDEX('Roadmap Calc (Don’t Touch)'!$AA$2:$AX$151,$AI89,COLUMN()-COLUMN($J$16)+1)&gt;0,OR($D89="03. UX Discovery",$D89="04. UX Design")),IF(AND($H89&lt;&gt;"",$H89&lt;=EOMONTH(S$12,0),$I89&gt;=S$12),"ALL","PD+UX"),IF(AND($H89&lt;&gt;"",$H89&lt;=EOMONTH(S$12,0),$I89&gt;=S$12),"PD+DEV","PD")),IF(AND(INDEX('Roadmap Calc (Don’t Touch)'!$AA$2:$AX$151,$AI89,COLUMN()-COLUMN($J$16)+1)&gt;0,OR($D89="03. UX Discovery",$D89="04. UX Design")),IF(AND($H89&lt;&gt;"",$H89&lt;=EOMONTH(S$12,0),$I89&gt;=S$12),"UX+DEV","UX"),IF(AND($H89&lt;&gt;"",$H89&lt;=EOMONTH(S$12,0),$I89&gt;=S$12),"DEV",""))))</f>
      </c>
      <c r="T89" s="158" t="str">
        <f>IF($AI89="","",IF(AND($AN89&lt;&gt;"",$AN89&lt;=EOMONTH(T$12,0),$AO89&gt;=T$12),IF(AND(INDEX('Roadmap Calc (Don’t Touch)'!$AA$2:$AX$151,$AI89,COLUMN()-COLUMN($J$16)+1)&gt;0,OR($D89="03. UX Discovery",$D89="04. UX Design")),IF(AND($H89&lt;&gt;"",$H89&lt;=EOMONTH(T$12,0),$I89&gt;=T$12),"ALL","PD+UX"),IF(AND($H89&lt;&gt;"",$H89&lt;=EOMONTH(T$12,0),$I89&gt;=T$12),"PD+DEV","PD")),IF(AND(INDEX('Roadmap Calc (Don’t Touch)'!$AA$2:$AX$151,$AI89,COLUMN()-COLUMN($J$16)+1)&gt;0,OR($D89="03. UX Discovery",$D89="04. UX Design")),IF(AND($H89&lt;&gt;"",$H89&lt;=EOMONTH(T$12,0),$I89&gt;=T$12),"UX+DEV","UX"),IF(AND($H89&lt;&gt;"",$H89&lt;=EOMONTH(T$12,0),$I89&gt;=T$12),"DEV",""))))</f>
      </c>
      <c r="U89" s="158" t="str">
        <f>IF($AI89="","",IF(AND($AN89&lt;&gt;"",$AN89&lt;=EOMONTH(U$12,0),$AO89&gt;=U$12),IF(AND(INDEX('Roadmap Calc (Don’t Touch)'!$AA$2:$AX$151,$AI89,COLUMN()-COLUMN($J$16)+1)&gt;0,OR($D89="03. UX Discovery",$D89="04. UX Design")),IF(AND($H89&lt;&gt;"",$H89&lt;=EOMONTH(U$12,0),$I89&gt;=U$12),"ALL","PD+UX"),IF(AND($H89&lt;&gt;"",$H89&lt;=EOMONTH(U$12,0),$I89&gt;=U$12),"PD+DEV","PD")),IF(AND(INDEX('Roadmap Calc (Don’t Touch)'!$AA$2:$AX$151,$AI89,COLUMN()-COLUMN($J$16)+1)&gt;0,OR($D89="03. UX Discovery",$D89="04. UX Design")),IF(AND($H89&lt;&gt;"",$H89&lt;=EOMONTH(U$12,0),$I89&gt;=U$12),"UX+DEV","UX"),IF(AND($H89&lt;&gt;"",$H89&lt;=EOMONTH(U$12,0),$I89&gt;=U$12),"DEV",""))))</f>
      </c>
      <c r="V89" s="158" t="str">
        <f>IF($AI89="","",IF(AND($AN89&lt;&gt;"",$AN89&lt;=EOMONTH(V$12,0),$AO89&gt;=V$12),IF(AND(INDEX('Roadmap Calc (Don’t Touch)'!$AA$2:$AX$151,$AI89,COLUMN()-COLUMN($J$16)+1)&gt;0,OR($D89="03. UX Discovery",$D89="04. UX Design")),IF(AND($H89&lt;&gt;"",$H89&lt;=EOMONTH(V$12,0),$I89&gt;=V$12),"ALL","PD+UX"),IF(AND($H89&lt;&gt;"",$H89&lt;=EOMONTH(V$12,0),$I89&gt;=V$12),"PD+DEV","PD")),IF(AND(INDEX('Roadmap Calc (Don’t Touch)'!$AA$2:$AX$151,$AI89,COLUMN()-COLUMN($J$16)+1)&gt;0,OR($D89="03. UX Discovery",$D89="04. UX Design")),IF(AND($H89&lt;&gt;"",$H89&lt;=EOMONTH(V$12,0),$I89&gt;=V$12),"UX+DEV","UX"),IF(AND($H89&lt;&gt;"",$H89&lt;=EOMONTH(V$12,0),$I89&gt;=V$12),"DEV",""))))</f>
      </c>
      <c r="W89" s="158" t="str">
        <f>IF($AI89="","",IF(AND($AN89&lt;&gt;"",$AN89&lt;=EOMONTH(W$12,0),$AO89&gt;=W$12),IF(AND(INDEX('Roadmap Calc (Don’t Touch)'!$AA$2:$AX$151,$AI89,COLUMN()-COLUMN($J$16)+1)&gt;0,OR($D89="03. UX Discovery",$D89="04. UX Design")),IF(AND($H89&lt;&gt;"",$H89&lt;=EOMONTH(W$12,0),$I89&gt;=W$12),"ALL","PD+UX"),IF(AND($H89&lt;&gt;"",$H89&lt;=EOMONTH(W$12,0),$I89&gt;=W$12),"PD+DEV","PD")),IF(AND(INDEX('Roadmap Calc (Don’t Touch)'!$AA$2:$AX$151,$AI89,COLUMN()-COLUMN($J$16)+1)&gt;0,OR($D89="03. UX Discovery",$D89="04. UX Design")),IF(AND($H89&lt;&gt;"",$H89&lt;=EOMONTH(W$12,0),$I89&gt;=W$12),"UX+DEV","UX"),IF(AND($H89&lt;&gt;"",$H89&lt;=EOMONTH(W$12,0),$I89&gt;=W$12),"DEV",""))))</f>
      </c>
      <c r="X89" s="158" t="str">
        <f>IF($AI89="","",IF(AND($AN89&lt;&gt;"",$AN89&lt;=EOMONTH(X$12,0),$AO89&gt;=X$12),IF(AND(INDEX('Roadmap Calc (Don’t Touch)'!$AA$2:$AX$151,$AI89,COLUMN()-COLUMN($J$16)+1)&gt;0,OR($D89="03. UX Discovery",$D89="04. UX Design")),IF(AND($H89&lt;&gt;"",$H89&lt;=EOMONTH(X$12,0),$I89&gt;=X$12),"ALL","PD+UX"),IF(AND($H89&lt;&gt;"",$H89&lt;=EOMONTH(X$12,0),$I89&gt;=X$12),"PD+DEV","PD")),IF(AND(INDEX('Roadmap Calc (Don’t Touch)'!$AA$2:$AX$151,$AI89,COLUMN()-COLUMN($J$16)+1)&gt;0,OR($D89="03. UX Discovery",$D89="04. UX Design")),IF(AND($H89&lt;&gt;"",$H89&lt;=EOMONTH(X$12,0),$I89&gt;=X$12),"UX+DEV","UX"),IF(AND($H89&lt;&gt;"",$H89&lt;=EOMONTH(X$12,0),$I89&gt;=X$12),"DEV",""))))</f>
      </c>
      <c r="Y89" s="158" t="str">
        <f>IF($AI89="","",IF(AND($AN89&lt;&gt;"",$AN89&lt;=EOMONTH(Y$12,0),$AO89&gt;=Y$12),IF(AND(INDEX('Roadmap Calc (Don’t Touch)'!$AA$2:$AX$151,$AI89,COLUMN()-COLUMN($J$16)+1)&gt;0,OR($D89="03. UX Discovery",$D89="04. UX Design")),IF(AND($H89&lt;&gt;"",$H89&lt;=EOMONTH(Y$12,0),$I89&gt;=Y$12),"ALL","PD+UX"),IF(AND($H89&lt;&gt;"",$H89&lt;=EOMONTH(Y$12,0),$I89&gt;=Y$12),"PD+DEV","PD")),IF(AND(INDEX('Roadmap Calc (Don’t Touch)'!$AA$2:$AX$151,$AI89,COLUMN()-COLUMN($J$16)+1)&gt;0,OR($D89="03. UX Discovery",$D89="04. UX Design")),IF(AND($H89&lt;&gt;"",$H89&lt;=EOMONTH(Y$12,0),$I89&gt;=Y$12),"UX+DEV","UX"),IF(AND($H89&lt;&gt;"",$H89&lt;=EOMONTH(Y$12,0),$I89&gt;=Y$12),"DEV",""))))</f>
      </c>
      <c r="Z89" s="158" t="str">
        <f>IF($AI89="","",IF(AND($AN89&lt;&gt;"",$AN89&lt;=EOMONTH(Z$12,0),$AO89&gt;=Z$12),IF(AND(INDEX('Roadmap Calc (Don’t Touch)'!$AA$2:$AX$151,$AI89,COLUMN()-COLUMN($J$16)+1)&gt;0,OR($D89="03. UX Discovery",$D89="04. UX Design")),IF(AND($H89&lt;&gt;"",$H89&lt;=EOMONTH(Z$12,0),$I89&gt;=Z$12),"ALL","PD+UX"),IF(AND($H89&lt;&gt;"",$H89&lt;=EOMONTH(Z$12,0),$I89&gt;=Z$12),"PD+DEV","PD")),IF(AND(INDEX('Roadmap Calc (Don’t Touch)'!$AA$2:$AX$151,$AI89,COLUMN()-COLUMN($J$16)+1)&gt;0,OR($D89="03. UX Discovery",$D89="04. UX Design")),IF(AND($H89&lt;&gt;"",$H89&lt;=EOMONTH(Z$12,0),$I89&gt;=Z$12),"UX+DEV","UX"),IF(AND($H89&lt;&gt;"",$H89&lt;=EOMONTH(Z$12,0),$I89&gt;=Z$12),"DEV",""))))</f>
      </c>
      <c r="AA89" s="158" t="str">
        <f>IF($AI89="","",IF(AND($AN89&lt;&gt;"",$AN89&lt;=EOMONTH(AA$12,0),$AO89&gt;=AA$12),IF(AND(INDEX('Roadmap Calc (Don’t Touch)'!$AA$2:$AX$151,$AI89,COLUMN()-COLUMN($J$16)+1)&gt;0,OR($D89="03. UX Discovery",$D89="04. UX Design")),IF(AND($H89&lt;&gt;"",$H89&lt;=EOMONTH(AA$12,0),$I89&gt;=AA$12),"ALL","PD+UX"),IF(AND($H89&lt;&gt;"",$H89&lt;=EOMONTH(AA$12,0),$I89&gt;=AA$12),"PD+DEV","PD")),IF(AND(INDEX('Roadmap Calc (Don’t Touch)'!$AA$2:$AX$151,$AI89,COLUMN()-COLUMN($J$16)+1)&gt;0,OR($D89="03. UX Discovery",$D89="04. UX Design")),IF(AND($H89&lt;&gt;"",$H89&lt;=EOMONTH(AA$12,0),$I89&gt;=AA$12),"UX+DEV","UX"),IF(AND($H89&lt;&gt;"",$H89&lt;=EOMONTH(AA$12,0),$I89&gt;=AA$12),"DEV",""))))</f>
      </c>
      <c r="AB89" s="158" t="str">
        <f>IF($AI89="","",IF(AND($AN89&lt;&gt;"",$AN89&lt;=EOMONTH(AB$12,0),$AO89&gt;=AB$12),IF(AND(INDEX('Roadmap Calc (Don’t Touch)'!$AA$2:$AX$151,$AI89,COLUMN()-COLUMN($J$16)+1)&gt;0,OR($D89="03. UX Discovery",$D89="04. UX Design")),IF(AND($H89&lt;&gt;"",$H89&lt;=EOMONTH(AB$12,0),$I89&gt;=AB$12),"ALL","PD+UX"),IF(AND($H89&lt;&gt;"",$H89&lt;=EOMONTH(AB$12,0),$I89&gt;=AB$12),"PD+DEV","PD")),IF(AND(INDEX('Roadmap Calc (Don’t Touch)'!$AA$2:$AX$151,$AI89,COLUMN()-COLUMN($J$16)+1)&gt;0,OR($D89="03. UX Discovery",$D89="04. UX Design")),IF(AND($H89&lt;&gt;"",$H89&lt;=EOMONTH(AB$12,0),$I89&gt;=AB$12),"UX+DEV","UX"),IF(AND($H89&lt;&gt;"",$H89&lt;=EOMONTH(AB$12,0),$I89&gt;=AB$12),"DEV",""))))</f>
      </c>
      <c r="AC89" s="158" t="str">
        <f>IF($AI89="","",IF(AND($AN89&lt;&gt;"",$AN89&lt;=EOMONTH(AC$12,0),$AO89&gt;=AC$12),IF(AND(INDEX('Roadmap Calc (Don’t Touch)'!$AA$2:$AX$151,$AI89,COLUMN()-COLUMN($J$16)+1)&gt;0,OR($D89="03. UX Discovery",$D89="04. UX Design")),IF(AND($H89&lt;&gt;"",$H89&lt;=EOMONTH(AC$12,0),$I89&gt;=AC$12),"ALL","PD+UX"),IF(AND($H89&lt;&gt;"",$H89&lt;=EOMONTH(AC$12,0),$I89&gt;=AC$12),"PD+DEV","PD")),IF(AND(INDEX('Roadmap Calc (Don’t Touch)'!$AA$2:$AX$151,$AI89,COLUMN()-COLUMN($J$16)+1)&gt;0,OR($D89="03. UX Discovery",$D89="04. UX Design")),IF(AND($H89&lt;&gt;"",$H89&lt;=EOMONTH(AC$12,0),$I89&gt;=AC$12),"UX+DEV","UX"),IF(AND($H89&lt;&gt;"",$H89&lt;=EOMONTH(AC$12,0),$I89&gt;=AC$12),"DEV",""))))</f>
      </c>
      <c r="AD89" s="158" t="str">
        <f>IF($AI89="","",IF(AND($AN89&lt;&gt;"",$AN89&lt;=EOMONTH(AD$12,0),$AO89&gt;=AD$12),IF(AND(INDEX('Roadmap Calc (Don’t Touch)'!$AA$2:$AX$151,$AI89,COLUMN()-COLUMN($J$16)+1)&gt;0,OR($D89="03. UX Discovery",$D89="04. UX Design")),IF(AND($H89&lt;&gt;"",$H89&lt;=EOMONTH(AD$12,0),$I89&gt;=AD$12),"ALL","PD+UX"),IF(AND($H89&lt;&gt;"",$H89&lt;=EOMONTH(AD$12,0),$I89&gt;=AD$12),"PD+DEV","PD")),IF(AND(INDEX('Roadmap Calc (Don’t Touch)'!$AA$2:$AX$151,$AI89,COLUMN()-COLUMN($J$16)+1)&gt;0,OR($D89="03. UX Discovery",$D89="04. UX Design")),IF(AND($H89&lt;&gt;"",$H89&lt;=EOMONTH(AD$12,0),$I89&gt;=AD$12),"UX+DEV","UX"),IF(AND($H89&lt;&gt;"",$H89&lt;=EOMONTH(AD$12,0),$I89&gt;=AD$12),"DEV",""))))</f>
      </c>
      <c r="AE89" s="158" t="str">
        <f>IF($AI89="","",IF(AND($AN89&lt;&gt;"",$AN89&lt;=EOMONTH(AE$12,0),$AO89&gt;=AE$12),IF(AND(INDEX('Roadmap Calc (Don’t Touch)'!$AA$2:$AX$151,$AI89,COLUMN()-COLUMN($J$16)+1)&gt;0,OR($D89="03. UX Discovery",$D89="04. UX Design")),IF(AND($H89&lt;&gt;"",$H89&lt;=EOMONTH(AE$12,0),$I89&gt;=AE$12),"ALL","PD+UX"),IF(AND($H89&lt;&gt;"",$H89&lt;=EOMONTH(AE$12,0),$I89&gt;=AE$12),"PD+DEV","PD")),IF(AND(INDEX('Roadmap Calc (Don’t Touch)'!$AA$2:$AX$151,$AI89,COLUMN()-COLUMN($J$16)+1)&gt;0,OR($D89="03. UX Discovery",$D89="04. UX Design")),IF(AND($H89&lt;&gt;"",$H89&lt;=EOMONTH(AE$12,0),$I89&gt;=AE$12),"UX+DEV","UX"),IF(AND($H89&lt;&gt;"",$H89&lt;=EOMONTH(AE$12,0),$I89&gt;=AE$12),"DEV",""))))</f>
      </c>
      <c r="AF89" s="158" t="str">
        <f>IF($AI89="","",IF(AND($AN89&lt;&gt;"",$AN89&lt;=EOMONTH(AF$12,0),$AO89&gt;=AF$12),IF(AND(INDEX('Roadmap Calc (Don’t Touch)'!$AA$2:$AX$151,$AI89,COLUMN()-COLUMN($J$16)+1)&gt;0,OR($D89="03. UX Discovery",$D89="04. UX Design")),IF(AND($H89&lt;&gt;"",$H89&lt;=EOMONTH(AF$12,0),$I89&gt;=AF$12),"ALL","PD+UX"),IF(AND($H89&lt;&gt;"",$H89&lt;=EOMONTH(AF$12,0),$I89&gt;=AF$12),"PD+DEV","PD")),IF(AND(INDEX('Roadmap Calc (Don’t Touch)'!$AA$2:$AX$151,$AI89,COLUMN()-COLUMN($J$16)+1)&gt;0,OR($D89="03. UX Discovery",$D89="04. UX Design")),IF(AND($H89&lt;&gt;"",$H89&lt;=EOMONTH(AF$12,0),$I89&gt;=AF$12),"UX+DEV","UX"),IF(AND($H89&lt;&gt;"",$H89&lt;=EOMONTH(AF$12,0),$I89&gt;=AF$12),"DEV",""))))</f>
      </c>
      <c r="AG89" s="158" t="str">
        <f>IF($AI89="","",IF(AND($AN89&lt;&gt;"",$AN89&lt;=EOMONTH(AG$12,0),$AO89&gt;=AG$12),IF(AND(INDEX('Roadmap Calc (Don’t Touch)'!$AA$2:$AX$151,$AI89,COLUMN()-COLUMN($J$16)+1)&gt;0,OR($D89="03. UX Discovery",$D89="04. UX Design")),IF(AND($H89&lt;&gt;"",$H89&lt;=EOMONTH(AG$12,0),$I89&gt;=AG$12),"ALL","PD+UX"),IF(AND($H89&lt;&gt;"",$H89&lt;=EOMONTH(AG$12,0),$I89&gt;=AG$12),"PD+DEV","PD")),IF(AND(INDEX('Roadmap Calc (Don’t Touch)'!$AA$2:$AX$151,$AI89,COLUMN()-COLUMN($J$16)+1)&gt;0,OR($D89="03. UX Discovery",$D89="04. UX Design")),IF(AND($H89&lt;&gt;"",$H89&lt;=EOMONTH(AG$12,0),$I89&gt;=AG$12),"UX+DEV","UX"),IF(AND($H89&lt;&gt;"",$H89&lt;=EOMONTH(AG$12,0),$I89&gt;=AG$12),"DEV",""))))</f>
      </c>
      <c r="AH89" s="145" t="str">
        <f>IF($AI89="","",INDEX('Roadmap Calc (Don’t Touch)'!$D$2:$D$151,$AI89))</f>
        <v/>
      </c>
      <c r="AI89" s="145" t="str">
        <f>IFERROR(MATCH(74,'Roadmap Calc (Don’t Touch)'!$O$2:$O$151,0),"")</f>
        <v/>
      </c>
      <c r="AJ89" s="145"/>
      <c r="AK89" s="145"/>
      <c r="AL89" s="145"/>
      <c r="AM89" s="145"/>
      <c r="AN89">
        <f>IF($AI89="","",IF(ISNUMBER(INDEX('Roadmap Calc (Don’t Touch)'!$BB$2:$BB$151,$AI89)),INDEX('Roadmap Calc (Don’t Touch)'!$BB$2:$BB$151,$AI89),""))</f>
      </c>
      <c r="AO89">
        <f>IF($AI89="","",IF(ISNUMBER(INDEX('Roadmap Calc (Don’t Touch)'!$BC$2:$BC$151,$AI89)),INDEX('Roadmap Calc (Don’t Touch)'!$BC$2:$BC$151,$AI89),""))</f>
      </c>
    </row>
    <row r="91" spans="1:39" ht="14" customHeight="1" x14ac:dyDescent="0.2">
      <c r="A91" s="138" t="s">
        <v>47</v>
      </c>
    </row>
    <row r="92" spans="1:39" ht="14" customHeight="1" x14ac:dyDescent="0.2">
      <c r="A92" s="139" t="s">
        <v>48</v>
      </c>
    </row>
    <row r="93" spans="1:39" ht="14" customHeight="1" x14ac:dyDescent="0.2">
      <c r="A93" s="139" t="s">
        <v>49</v>
      </c>
    </row>
    <row r="94" spans="1:39" ht="14" customHeight="1" x14ac:dyDescent="0.2">
      <c r="A94" s="139" t="s">
        <v>50</v>
      </c>
    </row>
    <row r="95" spans="1:39" ht="14" customHeight="1" x14ac:dyDescent="0.2">
      <c r="A95" s="139" t="s">
        <v>51</v>
      </c>
    </row>
    <row r="96" spans="1:39" ht="14" customHeight="1" x14ac:dyDescent="0.2">
      <c r="A96" s="139" t="s">
        <v>52</v>
      </c>
    </row>
    <row r="97" spans="1:33" ht="14" customHeight="1" x14ac:dyDescent="0.2">
      <c r="A97" s="139" t="s">
        <v>53</v>
      </c>
    </row>
    <row r="98" spans="1:33" ht="14" customHeight="1" x14ac:dyDescent="0.2">
      <c r="A98" s="139" t="s">
        <v>54</v>
      </c>
    </row>
    <row r="99" spans="1:33" ht="14" customHeight="1" x14ac:dyDescent="0.2">
      <c r="A99" s="139" t="s">
        <v>55</v>
      </c>
    </row>
    <row r="100" spans="1:33" ht="14" customHeight="1" x14ac:dyDescent="0.2">
      <c r="A100" s="139" t="s">
        <v>56</v>
      </c>
    </row>
    <row r="101" spans="1:33" ht="14" customHeight="1" x14ac:dyDescent="0.2">
      <c r="A101" s="139" t="s">
        <v>57</v>
      </c>
    </row>
    <row r="102" spans="1:33" ht="14" customHeight="1" x14ac:dyDescent="0.2">
      <c r="A102" s="139" t="s">
        <v>58</v>
      </c>
    </row>
    <row r="103" spans="1:33" ht="14" customHeight="1" x14ac:dyDescent="0.2">
      <c r="A103" s="139" t="s">
        <v>59</v>
      </c>
    </row>
    <row r="104" spans="1:33" ht="14" customHeight="1" x14ac:dyDescent="0.2">
      <c r="A104" s="139" t="s">
        <v>60</v>
      </c>
    </row>
    <row r="106" spans="1:33" x14ac:dyDescent="0.2">
      <c r="A106" s="140" t="s">
        <v>61</v>
      </c>
    </row>
    <row r="107" spans="1:33" ht="16" customHeight="1" x14ac:dyDescent="0.2">
      <c r="A107" s="141" t="s">
        <v>62</v>
      </c>
      <c r="B107" s="222" t="s">
        <v>9</v>
      </c>
      <c r="C107" s="219"/>
      <c r="D107" s="219"/>
      <c r="E107" s="219"/>
      <c r="F107" s="219"/>
      <c r="G107" s="222" t="s">
        <v>11</v>
      </c>
      <c r="H107" s="219"/>
      <c r="I107" s="219"/>
      <c r="J107" s="219"/>
      <c r="K107" s="219"/>
      <c r="L107" s="219"/>
      <c r="M107" s="219"/>
      <c r="N107" s="219"/>
      <c r="O107" s="219"/>
      <c r="P107" s="219"/>
      <c r="Q107" s="222" t="s">
        <v>13</v>
      </c>
      <c r="R107" s="219"/>
      <c r="S107" s="219"/>
      <c r="T107" s="219"/>
      <c r="U107" s="219"/>
      <c r="V107" s="219"/>
      <c r="W107" s="219"/>
      <c r="X107" s="219"/>
      <c r="Y107" s="219"/>
      <c r="Z107" s="219"/>
      <c r="AA107" s="219"/>
      <c r="AB107" s="219"/>
      <c r="AC107" s="219"/>
      <c r="AD107" s="219"/>
      <c r="AE107" s="219"/>
      <c r="AF107" s="219"/>
      <c r="AG107" s="219"/>
    </row>
    <row r="108" spans="1:33" ht="38" customHeight="1" x14ac:dyDescent="0.2">
      <c r="A108" s="142" t="str">
        <f>IF(COUNTA(Control!E4)=0,"",IF(COUNTA(Control!E4)=0,"",Control!E4))</f>
        <v>Improve Discovery</v>
      </c>
      <c r="B108" s="218" t="str">
        <f>IF(COUNTA(Control!E4)=0,"",IF(COUNTA(Control!F4)=0,"—",Control!F4))</f>
        <v>OG Find initaitives that Jerel still owns</v>
      </c>
      <c r="C108" s="219"/>
      <c r="D108" s="219"/>
      <c r="E108" s="219"/>
      <c r="F108" s="219"/>
      <c r="G108" s="218" t="str">
        <f>IF(COUNTA(Control!E4)=0,"",IF(COUNTA(Control!G4)=0,"—",Control!G4))</f>
        <v>Refinement usage rate, Search-to-listing CTR, Mega menu / nav click through rate, Sessions using two or more filters</v>
      </c>
      <c r="H108" s="219"/>
      <c r="I108" s="219"/>
      <c r="J108" s="219"/>
      <c r="K108" s="219"/>
      <c r="L108" s="219"/>
      <c r="M108" s="219"/>
      <c r="N108" s="219"/>
      <c r="O108" s="219"/>
      <c r="P108" s="219"/>
      <c r="Q108" s="218" t="str">
        <f>IF(COUNTA(Control!E4)=0,"",IF(COUNTA(Control!H4)=0,"—",Control!H4))</f>
        <v>Listing-to-PDP rate, Zero-result search rate, Search-attributed conversion rate, Time to first PDP view</v>
      </c>
      <c r="R108" s="219"/>
      <c r="S108" s="219"/>
      <c r="T108" s="219"/>
      <c r="U108" s="219"/>
      <c r="V108" s="219"/>
      <c r="W108" s="219"/>
      <c r="X108" s="219"/>
      <c r="Y108" s="219"/>
      <c r="Z108" s="219"/>
      <c r="AA108" s="219"/>
      <c r="AB108" s="219"/>
      <c r="AC108" s="219"/>
      <c r="AD108" s="219"/>
      <c r="AE108" s="219"/>
      <c r="AF108" s="219"/>
      <c r="AG108" s="219"/>
    </row>
    <row r="109" spans="1:33" ht="38" customHeight="1" x14ac:dyDescent="0.2">
      <c r="A109" s="142" t="str">
        <f>IF(COUNTA(Control!E5)=0,"",IF(COUNTA(Control!E5)=0,"",Control!E5))</f>
        <v>Increase Trade In Awareness</v>
      </c>
      <c r="B109" s="218" t="str">
        <f>IF(COUNTA(Control!E5)=0,"",IF(COUNTA(Control!F5)=0,"—",Control!F5))</f>
        <v>Surface trade-in as a clear, relevant option at high-intent moments, Order History, PDPs, post-purchase, so customers who own eligible gear know they can trade it in.</v>
      </c>
      <c r="C109" s="219"/>
      <c r="D109" s="219"/>
      <c r="E109" s="219"/>
      <c r="F109" s="219"/>
      <c r="G109" s="218" t="str">
        <f>IF(COUNTA(Control!E5)=0,"",IF(COUNTA(Control!G5)=0,"—",Control!G5))</f>
        <v>Trade-in CTA Impressions (Order History/PDP), CTA Click through rate, % of eligible sessions exposed to CTA</v>
      </c>
      <c r="H109" s="219"/>
      <c r="I109" s="219"/>
      <c r="J109" s="219"/>
      <c r="K109" s="219"/>
      <c r="L109" s="219"/>
      <c r="M109" s="219"/>
      <c r="N109" s="219"/>
      <c r="O109" s="219"/>
      <c r="P109" s="219"/>
      <c r="Q109" s="218" t="str">
        <f>IF(COUNTA(Control!E5)=0,"",IF(COUNTA(Control!H5)=0,"—",Control!H5))</f>
        <v>New to trade in quote starts, Quote start rate among CTA exposed users, Assisted trade-in revenue (CTA attributed)</v>
      </c>
      <c r="R109" s="219"/>
      <c r="S109" s="219"/>
      <c r="T109" s="219"/>
      <c r="U109" s="219"/>
      <c r="V109" s="219"/>
      <c r="W109" s="219"/>
      <c r="X109" s="219"/>
      <c r="Y109" s="219"/>
      <c r="Z109" s="219"/>
      <c r="AA109" s="219"/>
      <c r="AB109" s="219"/>
      <c r="AC109" s="219"/>
      <c r="AD109" s="219"/>
      <c r="AE109" s="219"/>
      <c r="AF109" s="219"/>
      <c r="AG109" s="219"/>
    </row>
    <row r="110" spans="1:33" ht="38" customHeight="1" x14ac:dyDescent="0.2">
      <c r="A110" s="142" t="str">
        <f>IF(COUNTA(Control!E6)=0,"",IF(COUNTA(Control!E6)=0,"",Control!E6))</f>
        <v>Improve Trade In User Flow</v>
      </c>
      <c r="B110" s="218" t="str">
        <f>IF(COUNTA(Control!E6)=0,"",IF(COUNTA(Control!F6)=0,"—",Control!F6))</f>
        <v>Reduce friction in the sell/trade-in submission flow: search, quote, shipping/drop-off, to raise completion and quote-to-conversion rates.</v>
      </c>
      <c r="C110" s="219"/>
      <c r="D110" s="219"/>
      <c r="E110" s="219"/>
      <c r="F110" s="219"/>
      <c r="G110" s="218" t="str">
        <f>IF(COUNTA(Control!E6)=0,"",IF(COUNTA(Control!G6)=0,"—",Control!G6))</f>
        <v>% started quotes completed, Time to quote (median), Post-acceptance ststus engagement rate</v>
      </c>
      <c r="H110" s="219"/>
      <c r="I110" s="219"/>
      <c r="J110" s="219"/>
      <c r="K110" s="219"/>
      <c r="L110" s="219"/>
      <c r="M110" s="219"/>
      <c r="N110" s="219"/>
      <c r="O110" s="219"/>
      <c r="P110" s="219"/>
      <c r="Q110" s="218" t="str">
        <f>IF(COUNTA(Control!E6)=0,"",IF(COUNTA(Control!H6)=0,"—",Control!H6))</f>
        <v>Quote-to-accepted-offer rate, Drop-off rate by flow step, sell-flow CSAT (isolated), Support contact rate per quote, Payout cycle time (accepted&gt;paid)</v>
      </c>
      <c r="R110" s="219"/>
      <c r="S110" s="219"/>
      <c r="T110" s="219"/>
      <c r="U110" s="219"/>
      <c r="V110" s="219"/>
      <c r="W110" s="219"/>
      <c r="X110" s="219"/>
      <c r="Y110" s="219"/>
      <c r="Z110" s="219"/>
      <c r="AA110" s="219"/>
      <c r="AB110" s="219"/>
      <c r="AC110" s="219"/>
      <c r="AD110" s="219"/>
      <c r="AE110" s="219"/>
      <c r="AF110" s="219"/>
      <c r="AG110" s="219"/>
    </row>
    <row r="111" spans="1:33" ht="38" customHeight="1" x14ac:dyDescent="0.2">
      <c r="A111" s="142" t="str">
        <f>IF(COUNTA(Control!E7)=0,"",IF(COUNTA(Control!E7)=0,"",Control!E7))</f>
        <v>Increase Trade In Reactivation</v>
      </c>
      <c r="B111" s="218" t="str">
        <f>IF(COUNTA(Control!E7)=0,"",IF(COUNTA(Control!F7)=0,"—",Control!F7))</f>
        <v>Re-engage past customers with unused eligible gear via triggered emails tied to purchase timing and inventory demand signals.</v>
      </c>
      <c r="C111" s="219"/>
      <c r="D111" s="219"/>
      <c r="E111" s="219"/>
      <c r="F111" s="219"/>
      <c r="G111" s="218" t="str">
        <f>IF(COUNTA(Control!E7)=0,"",IF(COUNTA(Control!G7)=0,"—",Control!G7))</f>
        <v>Reactivation email open rate, reactivation email CTR, quote starts attributed to email</v>
      </c>
      <c r="H111" s="219"/>
      <c r="I111" s="219"/>
      <c r="J111" s="219"/>
      <c r="K111" s="219"/>
      <c r="L111" s="219"/>
      <c r="M111" s="219"/>
      <c r="N111" s="219"/>
      <c r="O111" s="219"/>
      <c r="P111" s="219"/>
      <c r="Q111" s="218" t="str">
        <f>IF(COUNTA(Control!E7)=0,"",IF(COUNTA(Control!H7)=0,"—",Control!H7))</f>
        <v>Reactivated quote to completion rate, revenue from reactivated sellers, days since last purchase &gt; trade in (trend)</v>
      </c>
      <c r="R111" s="219"/>
      <c r="S111" s="219"/>
      <c r="T111" s="219"/>
      <c r="U111" s="219"/>
      <c r="V111" s="219"/>
      <c r="W111" s="219"/>
      <c r="X111" s="219"/>
      <c r="Y111" s="219"/>
      <c r="Z111" s="219"/>
      <c r="AA111" s="219"/>
      <c r="AB111" s="219"/>
      <c r="AC111" s="219"/>
      <c r="AD111" s="219"/>
      <c r="AE111" s="219"/>
      <c r="AF111" s="219"/>
      <c r="AG111" s="219"/>
    </row>
    <row r="112" spans="1:33" ht="38" customHeight="1" x14ac:dyDescent="0.2">
      <c r="A112" s="142" t="str">
        <f>IF(COUNTA(Control!E8)=0,"",IF(COUNTA(Control!E8)=0,"",Control!E8))</f>
        <v>Increase Buy Used Awareness</v>
      </c>
      <c r="B112" s="218" t="str">
        <f>IF(COUNTA(Control!E8)=0,"",IF(COUNTA(Control!F8)=0,"—",Control!F8))</f>
        <v>Grow discovery of the Used Hub and used inventory through SEO, brand listing pages, and internal linking so more shoppers know B&amp;H sells used gear.</v>
      </c>
      <c r="C112" s="219"/>
      <c r="D112" s="219"/>
      <c r="E112" s="219"/>
      <c r="F112" s="219"/>
      <c r="G112" s="218" t="str">
        <f>IF(COUNTA(Control!E8)=0,"",IF(COUNTA(Control!G8)=0,"—",Control!G8))</f>
        <v>Organic sessions to Used Hub/brand pages, Search impressions &amp; CTR (used pages), Internal link CTR (New&gt;used cross links), Cross-sell CTA impressions (used alt. on New PDP)</v>
      </c>
      <c r="H112" s="219"/>
      <c r="I112" s="219"/>
      <c r="J112" s="219"/>
      <c r="K112" s="219"/>
      <c r="L112" s="219"/>
      <c r="M112" s="219"/>
      <c r="N112" s="219"/>
      <c r="O112" s="219"/>
      <c r="P112" s="219"/>
      <c r="Q112" s="218" t="str">
        <f>IF(COUNTA(Control!E8)=0,"",IF(COUNTA(Control!H8)=0,"—",Control!H8))</f>
        <v>New-to-used buyer sessions, Used PDP views per session, Used share to total category traffic, cross sell attributed used PDP views/purchases</v>
      </c>
      <c r="R112" s="219"/>
      <c r="S112" s="219"/>
      <c r="T112" s="219"/>
      <c r="U112" s="219"/>
      <c r="V112" s="219"/>
      <c r="W112" s="219"/>
      <c r="X112" s="219"/>
      <c r="Y112" s="219"/>
      <c r="Z112" s="219"/>
      <c r="AA112" s="219"/>
      <c r="AB112" s="219"/>
      <c r="AC112" s="219"/>
      <c r="AD112" s="219"/>
      <c r="AE112" s="219"/>
      <c r="AF112" s="219"/>
      <c r="AG112" s="219"/>
    </row>
    <row r="113" spans="1:33" ht="38" customHeight="1" x14ac:dyDescent="0.2">
      <c r="A113" s="142" t="str">
        <f>IF(COUNTA(Control!E9)=0,"",IF(COUNTA(Control!E9)=0,"",Control!E9))</f>
        <v>Improve Buy Used Customer Experience</v>
      </c>
      <c r="B113" s="218" t="str">
        <f>IF(COUNTA(Control!E9)=0,"",IF(COUNTA(Control!F9)=0,"—",Control!F9))</f>
        <v>Make used PDPs and listing pages easier to evaluate, increase condition clarity, provide product photos, and filtering, so shoppers can confidently purchase used gear</v>
      </c>
      <c r="C113" s="219"/>
      <c r="D113" s="219"/>
      <c r="E113" s="219"/>
      <c r="F113" s="219"/>
      <c r="G113" s="218" t="str">
        <f>IF(COUNTA(Control!E9)=0,"",IF(COUNTA(Control!G9)=0,"—",Control!G9))</f>
        <v>PLP filter usage rate, used pdp engagement rate (photo/spec expansion), order status page engagement rate</v>
      </c>
      <c r="H113" s="219"/>
      <c r="I113" s="219"/>
      <c r="J113" s="219"/>
      <c r="K113" s="219"/>
      <c r="L113" s="219"/>
      <c r="M113" s="219"/>
      <c r="N113" s="219"/>
      <c r="O113" s="219"/>
      <c r="P113" s="219"/>
      <c r="Q113" s="218" t="str">
        <f>IF(COUNTA(Control!E9)=0,"",IF(COUNTA(Control!H9)=0,"—",Control!H9))</f>
        <v>Used PDP-to-cart rate, Used cart-to-purchase rate, Post-Purchase CSAT (isolated)</v>
      </c>
      <c r="R113" s="219"/>
      <c r="S113" s="219"/>
      <c r="T113" s="219"/>
      <c r="U113" s="219"/>
      <c r="V113" s="219"/>
      <c r="W113" s="219"/>
      <c r="X113" s="219"/>
      <c r="Y113" s="219"/>
      <c r="Z113" s="219"/>
      <c r="AA113" s="219"/>
      <c r="AB113" s="219"/>
      <c r="AC113" s="219"/>
      <c r="AD113" s="219"/>
      <c r="AE113" s="219"/>
      <c r="AF113" s="219"/>
      <c r="AG113" s="219"/>
    </row>
    <row r="114" spans="1:33" ht="38" customHeight="1" x14ac:dyDescent="0.2">
      <c r="A114" s="142" t="str">
        <f>IF(COUNTA(Control!E10)=0,"",IF(COUNTA(Control!E10)=0,"",Control!E10))</f>
        <v>Increase Buy Used Reactivation</v>
      </c>
      <c r="B114" s="218" t="str">
        <f>IF(COUNTA(Control!E10)=0,"",IF(COUNTA(Control!F10)=0,"—",Control!F10))</f>
        <v>Win back past buyers with relevant used-inventory alerts and win-back offers matched to their purchase history</v>
      </c>
      <c r="C114" s="219"/>
      <c r="D114" s="219"/>
      <c r="E114" s="219"/>
      <c r="F114" s="219"/>
      <c r="G114" s="218" t="str">
        <f>IF(COUNTA(Control!E10)=0,"",IF(COUNTA(Control!G10)=0,"—",Control!G10))</f>
        <v>Win Back email open rate, win-back email CTR, Browse to used PDP rate from email</v>
      </c>
      <c r="H114" s="219"/>
      <c r="I114" s="219"/>
      <c r="J114" s="219"/>
      <c r="K114" s="219"/>
      <c r="L114" s="219"/>
      <c r="M114" s="219"/>
      <c r="N114" s="219"/>
      <c r="O114" s="219"/>
      <c r="P114" s="219"/>
      <c r="Q114" s="218" t="str">
        <f>IF(COUNTA(Control!E10)=0,"",IF(COUNTA(Control!H10)=0,"—",Control!H10))</f>
        <v>Repeat used-purchase rate, Revenue from reactivated buyers, Time-since-last-purchase &gt; repurchase (trend)</v>
      </c>
      <c r="R114" s="219"/>
      <c r="S114" s="219"/>
      <c r="T114" s="219"/>
      <c r="U114" s="219"/>
      <c r="V114" s="219"/>
      <c r="W114" s="219"/>
      <c r="X114" s="219"/>
      <c r="Y114" s="219"/>
      <c r="Z114" s="219"/>
      <c r="AA114" s="219"/>
      <c r="AB114" s="219"/>
      <c r="AC114" s="219"/>
      <c r="AD114" s="219"/>
      <c r="AE114" s="219"/>
      <c r="AF114" s="219"/>
      <c r="AG114" s="219"/>
    </row>
    <row r="115" spans="1:33" ht="38" customHeight="1" x14ac:dyDescent="0.2">
      <c r="A115" s="142" t="str">
        <f>IF(COUNTA(Control!E11)=0,"",IF(COUNTA(Control!E11)=0,"",Control!E11))</f>
        <v>Increase B2B Acquisition</v>
      </c>
      <c r="B115" s="218" t="str">
        <f>IF(COUNTA(Control!E11)=0,"",IF(COUNTA(Control!F11)=0,"—",Control!F11))</f>
        <v>Grow the pipeline of registered B2B accounts by making the B2B Hub, EDU and vertical landing pages easier to find and sign up from, so qualifying organisations self-serve rather than routing through sales.</v>
      </c>
      <c r="C115" s="219"/>
      <c r="D115" s="219"/>
      <c r="E115" s="219"/>
      <c r="F115" s="219"/>
      <c r="G115" s="218" t="str">
        <f>IF(COUNTA(Control!E11)=0,"",IF(COUNTA(Control!G11)=0,"—",Control!G11))</f>
        <v>Sessions to B2B Hub / EDU / vertical landing pages, Sign-up form starts, Sign-up CTA click through rate, % of B2B sessions reaching a landing page</v>
      </c>
      <c r="H115" s="219"/>
      <c r="I115" s="219"/>
      <c r="J115" s="219"/>
      <c r="K115" s="219"/>
      <c r="L115" s="219"/>
      <c r="M115" s="219"/>
      <c r="N115" s="219"/>
      <c r="O115" s="219"/>
      <c r="P115" s="219"/>
      <c r="Q115" s="218" t="str">
        <f>IF(COUNTA(Control!E11)=0,"",IF(COUNTA(Control!H11)=0,"—",Control!H11))</f>
        <v>Completed B2B registrations, Registration-to-first-order rate, New B2B accounts per month, Revenue from newly registered accounts</v>
      </c>
      <c r="R115" s="219"/>
      <c r="S115" s="219"/>
      <c r="T115" s="219"/>
      <c r="U115" s="219"/>
      <c r="V115" s="219"/>
      <c r="W115" s="219"/>
      <c r="X115" s="219"/>
      <c r="Y115" s="219"/>
      <c r="Z115" s="219"/>
      <c r="AA115" s="219"/>
      <c r="AB115" s="219"/>
      <c r="AC115" s="219"/>
      <c r="AD115" s="219"/>
      <c r="AE115" s="219"/>
      <c r="AF115" s="219"/>
      <c r="AG115" s="219"/>
    </row>
    <row r="116" spans="1:33" ht="38" customHeight="1" x14ac:dyDescent="0.2">
      <c r="A116" s="142" t="str">
        <f>IF(COUNTA(Control!E12)=0,"",IF(COUNTA(Control!E12)=0,"",Control!E12))</f>
        <v>Increase The Studio B&amp;H Awareness</v>
      </c>
      <c r="B116" s="218" t="str">
        <f>IF(COUNTA(Control!E12)=0,"",IF(COUNTA(Control!F12)=0,"—",Control!F12))</f>
        <v>Build awareness that The Studio is a B&amp;H offering by surfacing B&amp;H branding and cross-links on high-ticket products and Studio entry points, so customers connect the two.</v>
      </c>
      <c r="C116" s="219"/>
      <c r="D116" s="219"/>
      <c r="E116" s="219"/>
      <c r="F116" s="219"/>
      <c r="G116" s="218" t="str">
        <f>IF(COUNTA(Control!E12)=0,"",IF(COUNTA(Control!G12)=0,"—",Control!G12))</f>
        <v>Sessions to Studio landing and category pages, B&amp;H awareness module impressions on high-ticket PDPs, Cross-link click through rate, Organic impressions for Studio terms</v>
      </c>
      <c r="H116" s="219"/>
      <c r="I116" s="219"/>
      <c r="J116" s="219"/>
      <c r="K116" s="219"/>
      <c r="L116" s="219"/>
      <c r="M116" s="219"/>
      <c r="N116" s="219"/>
      <c r="O116" s="219"/>
      <c r="P116" s="219"/>
      <c r="Q116" s="218" t="str">
        <f>IF(COUNTA(Control!E12)=0,"",IF(COUNTA(Control!H12)=0,"—",Control!H12))</f>
        <v>New-to-Studio sessions, Studio PDP views per session, Studio share of high-ticket category traffic, Assisted Studio revenue</v>
      </c>
      <c r="R116" s="219"/>
      <c r="S116" s="219"/>
      <c r="T116" s="219"/>
      <c r="U116" s="219"/>
      <c r="V116" s="219"/>
      <c r="W116" s="219"/>
      <c r="X116" s="219"/>
      <c r="Y116" s="219"/>
      <c r="Z116" s="219"/>
      <c r="AA116" s="219"/>
      <c r="AB116" s="219"/>
      <c r="AC116" s="219"/>
      <c r="AD116" s="219"/>
      <c r="AE116" s="219"/>
      <c r="AF116" s="219"/>
      <c r="AG116" s="219"/>
    </row>
    <row r="117" spans="1:33" ht="38" customHeight="1" x14ac:dyDescent="0.2">
      <c r="A117" s="142" t="str">
        <f>IF(COUNTA(Control!E13)=0,"",IF(COUNTA(Control!E13)=0,"",Control!E13))</f>
        <v>Improve The Studio B&amp;H Customer Experience</v>
      </c>
      <c r="B117" s="218" t="str">
        <f>IF(COUNTA(Control!E13)=0,"",IF(COUNTA(Control!F13)=0,"—",Control!F13))</f>
        <v>Make Studio category, landing and hybrid pages easier to evaluate and navigate, so customers can compare and specify Studio products without leaving for a sales conversation.</v>
      </c>
      <c r="C117" s="219"/>
      <c r="D117" s="219"/>
      <c r="E117" s="219"/>
      <c r="F117" s="219"/>
      <c r="G117" s="218" t="str">
        <f>IF(COUNTA(Control!E13)=0,"",IF(COUNTA(Control!G13)=0,"—",Control!G13))</f>
        <v>Studio category page engagement rate, Hybrid page filter usage, Spec / detail expansion rate, Quote or enquiry form starts</v>
      </c>
      <c r="H117" s="219"/>
      <c r="I117" s="219"/>
      <c r="J117" s="219"/>
      <c r="K117" s="219"/>
      <c r="L117" s="219"/>
      <c r="M117" s="219"/>
      <c r="N117" s="219"/>
      <c r="O117" s="219"/>
      <c r="P117" s="219"/>
      <c r="Q117" s="218" t="str">
        <f>IF(COUNTA(Control!E13)=0,"",IF(COUNTA(Control!H13)=0,"—",Control!H13))</f>
        <v>Studio PDP-to-cart rate, Enquiry-to-quote rate, Studio CSAT (isolated), Support contact rate per Studio session</v>
      </c>
      <c r="R117" s="219"/>
      <c r="S117" s="219"/>
      <c r="T117" s="219"/>
      <c r="U117" s="219"/>
      <c r="V117" s="219"/>
      <c r="W117" s="219"/>
      <c r="X117" s="219"/>
      <c r="Y117" s="219"/>
      <c r="Z117" s="219"/>
      <c r="AA117" s="219"/>
      <c r="AB117" s="219"/>
      <c r="AC117" s="219"/>
      <c r="AD117" s="219"/>
      <c r="AE117" s="219"/>
      <c r="AF117" s="219"/>
      <c r="AG117" s="219"/>
    </row>
    <row r="118" spans="1:33" ht="38" customHeight="1" x14ac:dyDescent="0.2">
      <c r="A118" s="142" t="str">
        <f>IF(COUNTA(Control!E14)=0,"",IF(COUNTA(Control!E14)=0,"",Control!E14))</f>
        <v>Increase Trust &amp; Condition Transparency</v>
      </c>
      <c r="B118" s="218" t="str">
        <f>IF(COUNTA(Control!E14)=0,"",IF(COUNTA(Control!F14)=0,"—",Control!F14))</f>
        <v>Cross-cutting theme covering whether customers believe the grading/condition information is accurate and complete, ties directly to condition rating scale and PDP condition grouping work, and carries COO-level visibility</v>
      </c>
      <c r="C118" s="219"/>
      <c r="D118" s="219"/>
      <c r="E118" s="219"/>
      <c r="F118" s="219"/>
      <c r="G118" s="218" t="str">
        <f>IF(COUNTA(Control!E14)=0,"",IF(COUNTA(Control!G14)=0,"—",Control!G14))</f>
        <v>Condition information expansion rate on used PDPs, Actual-image gallery engagement rate, Condition rating scale page views, Filter usage by condition</v>
      </c>
      <c r="H118" s="219"/>
      <c r="I118" s="219"/>
      <c r="J118" s="219"/>
      <c r="K118" s="219"/>
      <c r="L118" s="219"/>
      <c r="M118" s="219"/>
      <c r="N118" s="219"/>
      <c r="O118" s="219"/>
      <c r="P118" s="219"/>
      <c r="Q118" s="218" t="str">
        <f>IF(COUNTA(Control!E14)=0,"",IF(COUNTA(Control!H14)=0,"—",Control!H14))</f>
        <v>Used PDP-to-cart rate by condition, Condition-related return rate, Condition-related support contacts per order, Post-purchase CSAT on condition accuracy</v>
      </c>
      <c r="R118" s="219"/>
      <c r="S118" s="219"/>
      <c r="T118" s="219"/>
      <c r="U118" s="219"/>
      <c r="V118" s="219"/>
      <c r="W118" s="219"/>
      <c r="X118" s="219"/>
      <c r="Y118" s="219"/>
      <c r="Z118" s="219"/>
      <c r="AA118" s="219"/>
      <c r="AB118" s="219"/>
      <c r="AC118" s="219"/>
      <c r="AD118" s="219"/>
      <c r="AE118" s="219"/>
      <c r="AF118" s="219"/>
      <c r="AG118" s="219"/>
    </row>
    <row r="119" spans="1:33" ht="38" customHeight="1" x14ac:dyDescent="0.2">
      <c r="A119" s="142" t="str">
        <f>IF(COUNTA(Control!E15)=0,"",IF(COUNTA(Control!E15)=0,"",Control!E15))</f>
        <v>Improve Search &amp; Findability</v>
      </c>
      <c r="B119" s="218" t="str">
        <f>IF(COUNTA(Control!E15)=0,"",IF(COUNTA(Control!F15)=0,"—",Control!F15))</f>
        <v>Cross-cutting theme spanning sell-side item search (finding what you own to quote it) and buy-side discovery (finding used inventory to purchase). Flagged as the single highest-priority friction point across VoC research on both sides.</v>
      </c>
      <c r="C119" s="219"/>
      <c r="D119" s="219"/>
      <c r="E119" s="219"/>
      <c r="F119" s="219"/>
      <c r="G119" s="218" t="str">
        <f>IF(COUNTA(Control!E15)=0,"",IF(COUNTA(Control!G15)=0,"—",Control!G15))</f>
        <v>Search usage rate (sell and buy side), Refinement usage per search, Typeahead selection rate, Searches per session</v>
      </c>
      <c r="H119" s="219"/>
      <c r="I119" s="219"/>
      <c r="J119" s="219"/>
      <c r="K119" s="219"/>
      <c r="L119" s="219"/>
      <c r="M119" s="219"/>
      <c r="N119" s="219"/>
      <c r="O119" s="219"/>
      <c r="P119" s="219"/>
      <c r="Q119" s="218" t="str">
        <f>IF(COUNTA(Control!E15)=0,"",IF(COUNTA(Control!H15)=0,"—",Control!H15))</f>
        <v>Zero-result search rate, Search-to-PDP rate, Search-attributed quote starts (sell side), Search-attributed used purchases (buy side)</v>
      </c>
      <c r="R119" s="219"/>
      <c r="S119" s="219"/>
      <c r="T119" s="219"/>
      <c r="U119" s="219"/>
      <c r="V119" s="219"/>
      <c r="W119" s="219"/>
      <c r="X119" s="219"/>
      <c r="Y119" s="219"/>
      <c r="Z119" s="219"/>
      <c r="AA119" s="219"/>
      <c r="AB119" s="219"/>
      <c r="AC119" s="219"/>
      <c r="AD119" s="219"/>
      <c r="AE119" s="219"/>
      <c r="AF119" s="219"/>
      <c r="AG119" s="219"/>
    </row>
    <row r="120" spans="1:33" ht="38" customHeight="1" x14ac:dyDescent="0.2">
      <c r="A120" s="142" t="str">
        <f>IF(COUNTA(Control!E16)=0,"",IF(COUNTA(Control!E16)=0,"",Control!E16))</f>
        <v/>
      </c>
      <c r="B120" s="218" t="str">
        <f>IF(COUNTA(Control!E16)=0,"",IF(COUNTA(Control!F16)=0,"—",Control!F16))</f>
        <v/>
      </c>
      <c r="C120" s="219"/>
      <c r="D120" s="219"/>
      <c r="E120" s="219"/>
      <c r="F120" s="219"/>
      <c r="G120" s="218" t="str">
        <f>IF(COUNTA(Control!E16)=0,"",IF(COUNTA(Control!G16)=0,"—",Control!G16))</f>
        <v/>
      </c>
      <c r="H120" s="219"/>
      <c r="I120" s="219"/>
      <c r="J120" s="219"/>
      <c r="K120" s="219"/>
      <c r="L120" s="219"/>
      <c r="M120" s="219"/>
      <c r="N120" s="219"/>
      <c r="O120" s="219"/>
      <c r="P120" s="219"/>
      <c r="Q120" s="218" t="str">
        <f>IF(COUNTA(Control!E16)=0,"",IF(COUNTA(Control!H16)=0,"—",Control!H16))</f>
        <v/>
      </c>
      <c r="R120" s="219"/>
      <c r="S120" s="219"/>
      <c r="T120" s="219"/>
      <c r="U120" s="219"/>
      <c r="V120" s="219"/>
      <c r="W120" s="219"/>
      <c r="X120" s="219"/>
      <c r="Y120" s="219"/>
      <c r="Z120" s="219"/>
      <c r="AA120" s="219"/>
      <c r="AB120" s="219"/>
      <c r="AC120" s="219"/>
      <c r="AD120" s="219"/>
      <c r="AE120" s="219"/>
      <c r="AF120" s="219"/>
      <c r="AG120" s="219"/>
    </row>
    <row r="121" spans="1:33" ht="38" customHeight="1" x14ac:dyDescent="0.2">
      <c r="A121" s="142" t="str">
        <f>IF(COUNTA(Control!E17)=0,"",IF(COUNTA(Control!E17)=0,"",Control!E17))</f>
        <v/>
      </c>
      <c r="B121" s="218" t="str">
        <f>IF(COUNTA(Control!E17)=0,"",IF(COUNTA(Control!F17)=0,"—",Control!F17))</f>
        <v/>
      </c>
      <c r="C121" s="219"/>
      <c r="D121" s="219"/>
      <c r="E121" s="219"/>
      <c r="F121" s="219"/>
      <c r="G121" s="218" t="str">
        <f>IF(COUNTA(Control!E17)=0,"",IF(COUNTA(Control!G17)=0,"—",Control!G17))</f>
        <v/>
      </c>
      <c r="H121" s="219"/>
      <c r="I121" s="219"/>
      <c r="J121" s="219"/>
      <c r="K121" s="219"/>
      <c r="L121" s="219"/>
      <c r="M121" s="219"/>
      <c r="N121" s="219"/>
      <c r="O121" s="219"/>
      <c r="P121" s="219"/>
      <c r="Q121" s="218" t="str">
        <f>IF(COUNTA(Control!E17)=0,"",IF(COUNTA(Control!H17)=0,"—",Control!H17))</f>
        <v/>
      </c>
      <c r="R121" s="219"/>
      <c r="S121" s="219"/>
      <c r="T121" s="219"/>
      <c r="U121" s="219"/>
      <c r="V121" s="219"/>
      <c r="W121" s="219"/>
      <c r="X121" s="219"/>
      <c r="Y121" s="219"/>
      <c r="Z121" s="219"/>
      <c r="AA121" s="219"/>
      <c r="AB121" s="219"/>
      <c r="AC121" s="219"/>
      <c r="AD121" s="219"/>
      <c r="AE121" s="219"/>
      <c r="AF121" s="219"/>
      <c r="AG121" s="219"/>
    </row>
    <row r="122" spans="1:33" ht="38" customHeight="1" x14ac:dyDescent="0.2">
      <c r="A122" s="142" t="str">
        <f>IF(COUNTA(Control!E18)=0,"",IF(COUNTA(Control!E18)=0,"",Control!E18))</f>
        <v/>
      </c>
      <c r="B122" s="218" t="str">
        <f>IF(COUNTA(Control!E18)=0,"",IF(COUNTA(Control!F18)=0,"—",Control!F18))</f>
        <v/>
      </c>
      <c r="C122" s="219"/>
      <c r="D122" s="219"/>
      <c r="E122" s="219"/>
      <c r="F122" s="219"/>
      <c r="G122" s="218" t="str">
        <f>IF(COUNTA(Control!E18)=0,"",IF(COUNTA(Control!G18)=0,"—",Control!G18))</f>
        <v/>
      </c>
      <c r="H122" s="219"/>
      <c r="I122" s="219"/>
      <c r="J122" s="219"/>
      <c r="K122" s="219"/>
      <c r="L122" s="219"/>
      <c r="M122" s="219"/>
      <c r="N122" s="219"/>
      <c r="O122" s="219"/>
      <c r="P122" s="219"/>
      <c r="Q122" s="218" t="str">
        <f>IF(COUNTA(Control!E18)=0,"",IF(COUNTA(Control!H18)=0,"—",Control!H18))</f>
        <v/>
      </c>
      <c r="R122" s="219"/>
      <c r="S122" s="219"/>
      <c r="T122" s="219"/>
      <c r="U122" s="219"/>
      <c r="V122" s="219"/>
      <c r="W122" s="219"/>
      <c r="X122" s="219"/>
      <c r="Y122" s="219"/>
      <c r="Z122" s="219"/>
      <c r="AA122" s="219"/>
      <c r="AB122" s="219"/>
      <c r="AC122" s="219"/>
      <c r="AD122" s="219"/>
      <c r="AE122" s="219"/>
      <c r="AF122" s="219"/>
      <c r="AG122" s="219"/>
    </row>
    <row r="123" spans="1:33" ht="38" customHeight="1" x14ac:dyDescent="0.2">
      <c r="A123" s="142" t="str">
        <f>IF(COUNTA(Control!E19)=0,"",IF(COUNTA(Control!E19)=0,"",Control!E19))</f>
        <v/>
      </c>
      <c r="B123" s="218" t="str">
        <f>IF(COUNTA(Control!E19)=0,"",IF(COUNTA(Control!F19)=0,"—",Control!F19))</f>
        <v/>
      </c>
      <c r="C123" s="219"/>
      <c r="D123" s="219"/>
      <c r="E123" s="219"/>
      <c r="F123" s="219"/>
      <c r="G123" s="218" t="str">
        <f>IF(COUNTA(Control!E19)=0,"",IF(COUNTA(Control!G19)=0,"—",Control!G19))</f>
        <v/>
      </c>
      <c r="H123" s="219"/>
      <c r="I123" s="219"/>
      <c r="J123" s="219"/>
      <c r="K123" s="219"/>
      <c r="L123" s="219"/>
      <c r="M123" s="219"/>
      <c r="N123" s="219"/>
      <c r="O123" s="219"/>
      <c r="P123" s="219"/>
      <c r="Q123" s="218" t="str">
        <f>IF(COUNTA(Control!E19)=0,"",IF(COUNTA(Control!H19)=0,"—",Control!H19))</f>
        <v/>
      </c>
      <c r="R123" s="219"/>
      <c r="S123" s="219"/>
      <c r="T123" s="219"/>
      <c r="U123" s="219"/>
      <c r="V123" s="219"/>
      <c r="W123" s="219"/>
      <c r="X123" s="219"/>
      <c r="Y123" s="219"/>
      <c r="Z123" s="219"/>
      <c r="AA123" s="219"/>
      <c r="AB123" s="219"/>
      <c r="AC123" s="219"/>
      <c r="AD123" s="219"/>
      <c r="AE123" s="219"/>
      <c r="AF123" s="219"/>
      <c r="AG123" s="219"/>
    </row>
  </sheetData>
  <mergeCells count="73">
    <mergeCell ref="Q123:AG123"/>
    <mergeCell ref="G112:P112"/>
    <mergeCell ref="B114:F114"/>
    <mergeCell ref="J13:U13"/>
    <mergeCell ref="Q111:AG111"/>
    <mergeCell ref="Q114:AG114"/>
    <mergeCell ref="B122:F122"/>
    <mergeCell ref="G116:P116"/>
    <mergeCell ref="G121:P121"/>
    <mergeCell ref="B123:F123"/>
    <mergeCell ref="B120:F120"/>
    <mergeCell ref="B116:F116"/>
    <mergeCell ref="Q117:AG117"/>
    <mergeCell ref="B7:D7"/>
    <mergeCell ref="B8:D8"/>
    <mergeCell ref="B9:D9"/>
    <mergeCell ref="Q109:AG109"/>
    <mergeCell ref="Q112:AG112"/>
    <mergeCell ref="B108:F108"/>
    <mergeCell ref="J14:L14"/>
    <mergeCell ref="P14:R14"/>
    <mergeCell ref="AB11:AG11"/>
    <mergeCell ref="AB14:AD14"/>
    <mergeCell ref="B107:F107"/>
    <mergeCell ref="G111:P111"/>
    <mergeCell ref="S14:U14"/>
    <mergeCell ref="B109:F109"/>
    <mergeCell ref="G110:P110"/>
    <mergeCell ref="G109:P109"/>
    <mergeCell ref="B119:F119"/>
    <mergeCell ref="G123:P123"/>
    <mergeCell ref="B121:F121"/>
    <mergeCell ref="B115:F115"/>
    <mergeCell ref="G115:P115"/>
    <mergeCell ref="G122:P122"/>
    <mergeCell ref="B118:F118"/>
    <mergeCell ref="B117:F117"/>
    <mergeCell ref="B110:F110"/>
    <mergeCell ref="Q118:AG118"/>
    <mergeCell ref="Q113:AG113"/>
    <mergeCell ref="B112:F112"/>
    <mergeCell ref="Q115:AG115"/>
    <mergeCell ref="Q122:AG122"/>
    <mergeCell ref="G119:P119"/>
    <mergeCell ref="Q107:AG107"/>
    <mergeCell ref="Q120:AG120"/>
    <mergeCell ref="Q119:AG119"/>
    <mergeCell ref="Q116:AG116"/>
    <mergeCell ref="G117:P117"/>
    <mergeCell ref="Q121:AG121"/>
    <mergeCell ref="G120:P120"/>
    <mergeCell ref="G107:P107"/>
    <mergeCell ref="Y14:AA14"/>
    <mergeCell ref="G114:P114"/>
    <mergeCell ref="G118:P118"/>
    <mergeCell ref="V14:X14"/>
    <mergeCell ref="G108:P108"/>
    <mergeCell ref="Q108:AG108"/>
    <mergeCell ref="M14:O14"/>
    <mergeCell ref="A13:B14"/>
    <mergeCell ref="V13:AG13"/>
    <mergeCell ref="Q110:AG110"/>
    <mergeCell ref="G113:P113"/>
    <mergeCell ref="AE14:AG14"/>
    <mergeCell ref="B111:F111"/>
    <mergeCell ref="B113:F113"/>
    <mergeCell ref="L6:M6"/>
    <mergeCell ref="O6:P6"/>
    <mergeCell ref="R6:S6"/>
    <mergeCell ref="U6:V6"/>
    <mergeCell ref="X6:Y6"/>
    <mergeCell ref="AA6:AB6"/>
    <mergeCell ref="AD6:AE6"/>
  </mergeCells>
  <conditionalFormatting sqref="A16:AG89">
    <cfRule type="expression" dxfId="20" priority="9">
      <formula>AND($AH16&lt;&gt;"",$AH16&lt;&gt;$AH15)</formula>
    </cfRule>
    <cfRule type="expression" dxfId="19" priority="10">
      <formula>$B16&lt;&gt;""</formula>
    </cfRule>
  </conditionalFormatting>
  <conditionalFormatting sqref="D16:D89">
    <cfRule type="expression" dxfId="18" priority="11">
      <formula>OR(LEFT($D16,2)="13",LEFT($D16,2)="7.")</formula>
    </cfRule>
    <cfRule type="expression" dxfId="17" priority="12">
      <formula>OR(LEFT($D16,2)="09",LEFT($D16,2)="10",LEFT($D16,2)="11",LEFT($D16,2)="12",LEFT($D16,2)="4.",LEFT($D16,2)="5.")</formula>
    </cfRule>
    <cfRule type="expression" dxfId="16" priority="13">
      <formula>OR(LEFT($D16,2)="00",LEFT($D16,2)="99")</formula>
    </cfRule>
    <cfRule type="expression" dxfId="15" priority="14">
      <formula>$D16&lt;&gt;""</formula>
    </cfRule>
  </conditionalFormatting>
  <conditionalFormatting sqref="G16:G60">
    <cfRule type="cellIs" dxfId="14" priority="15" operator="greaterThan">
      <formula>6</formula>
    </cfRule>
  </conditionalFormatting>
  <conditionalFormatting sqref="J15:AG15">
    <cfRule type="expression" dxfId="13" priority="16">
      <formula>AND(J$12&lt;=TODAY(),EOMONTH(J$12,0)&gt;=TODAY())</formula>
    </cfRule>
  </conditionalFormatting>
  <conditionalFormatting sqref="J16:AG89">
    <cfRule type="expression" dxfId="21" priority="1" stopIfTrue="0">
      <formula>J16="PD"</formula>
    </cfRule>
    <cfRule type="expression" dxfId="22" priority="2" stopIfTrue="0">
      <formula>J16="UX"</formula>
    </cfRule>
    <cfRule type="expression" dxfId="23" priority="3" stopIfTrue="0">
      <formula>J16="DEV"</formula>
    </cfRule>
    <cfRule type="expression" dxfId="24" priority="4" stopIfTrue="0">
      <formula>J16="PD+UX"</formula>
    </cfRule>
    <cfRule type="expression" dxfId="25" priority="5" stopIfTrue="0">
      <formula>J16="PD+DEV"</formula>
    </cfRule>
    <cfRule type="expression" dxfId="26" priority="6" stopIfTrue="0">
      <formula>J16="UX+DEV"</formula>
    </cfRule>
    <cfRule type="expression" dxfId="27" priority="7" stopIfTrue="0">
      <formula>J16="ALL"</formula>
    </cfRule>
    <cfRule type="expression" dxfId="9" priority="8">
      <formula>AND($B16&lt;&gt;"",J$12&lt;=TODAY(),EOMONTH(J$12,0)&gt;=TODAY())</formula>
    </cfRule>
  </conditionalFormatting>
  <dataValidations count="4">
    <dataValidation type="list" allowBlank="1" showInputMessage="1" showErrorMessage="1" sqref="A3" xr:uid="{00000000-0002-0000-0000-000000000000}">
      <formula1>$AJ$1:$AJ$11</formula1>
    </dataValidation>
    <dataValidation type="list" allowBlank="1" showInputMessage="1" showErrorMessage="1" sqref="B3" xr:uid="{00000000-0002-0000-0000-000001000000}">
      <formula1>$AK$1:$AK$20</formula1>
    </dataValidation>
    <dataValidation type="list" allowBlank="1" showInputMessage="1" showErrorMessage="1" sqref="D5:D6 C3" xr:uid="{00000000-0002-0000-0000-000002000000}">
      <formula1>$AL$1:$AL$24</formula1>
    </dataValidation>
    <dataValidation type="list" allowBlank="1" showInputMessage="1" showErrorMessage="1" sqref="F5:G6 D3" xr:uid="{00000000-0002-0000-0000-000003000000}">
      <formula1>$AM$1:$AM$8</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63</v>
      </c>
      <c r="B1" s="2"/>
      <c r="C1" s="2"/>
      <c r="D1" s="2"/>
      <c r="E1" s="2"/>
      <c r="F1" s="2"/>
    </row>
    <row r="2" spans="1:13" ht="17" thickBot="1" x14ac:dyDescent="0.25">
      <c r="A2" s="8"/>
      <c r="B2" s="56" t="s">
        <v>64</v>
      </c>
      <c r="C2" s="56" t="s">
        <v>65</v>
      </c>
      <c r="D2" s="56" t="s">
        <v>66</v>
      </c>
      <c r="E2" s="56" t="s">
        <v>67</v>
      </c>
      <c r="F2" s="109" t="s">
        <v>68</v>
      </c>
      <c r="G2" s="110" t="s">
        <v>69</v>
      </c>
      <c r="H2" s="110" t="s">
        <v>70</v>
      </c>
      <c r="I2" s="111" t="s">
        <v>71</v>
      </c>
      <c r="J2" s="109" t="s">
        <v>72</v>
      </c>
      <c r="K2" s="110" t="s">
        <v>73</v>
      </c>
      <c r="L2" s="110" t="s">
        <v>74</v>
      </c>
      <c r="M2" s="111" t="s">
        <v>75</v>
      </c>
    </row>
    <row r="3" spans="1:13" ht="19" x14ac:dyDescent="0.2">
      <c r="A3" s="8" t="s">
        <v>76</v>
      </c>
      <c r="B3" s="9"/>
      <c r="C3" s="9"/>
      <c r="D3" s="9"/>
      <c r="E3" s="231" t="s">
        <v>77</v>
      </c>
      <c r="F3" s="98"/>
      <c r="I3" s="99"/>
      <c r="J3" s="105"/>
      <c r="M3" s="99"/>
    </row>
    <row r="4" spans="1:13" ht="19" x14ac:dyDescent="0.2">
      <c r="A4" s="10" t="s">
        <v>78</v>
      </c>
      <c r="B4" s="2"/>
      <c r="C4" s="2"/>
      <c r="D4" s="2"/>
      <c r="E4" s="232"/>
      <c r="F4" s="98"/>
      <c r="H4" s="2"/>
      <c r="I4" s="100"/>
      <c r="J4" s="106"/>
      <c r="K4" s="2"/>
      <c r="L4" s="2"/>
      <c r="M4" s="99"/>
    </row>
    <row r="5" spans="1:13" ht="19" x14ac:dyDescent="0.2">
      <c r="A5" s="11" t="s">
        <v>79</v>
      </c>
      <c r="B5" s="6" t="s">
        <v>80</v>
      </c>
      <c r="C5" s="50" t="s">
        <v>81</v>
      </c>
      <c r="D5" s="51" t="s">
        <v>82</v>
      </c>
      <c r="E5" s="232"/>
      <c r="F5" s="98"/>
      <c r="H5" s="2"/>
      <c r="I5" s="99"/>
      <c r="J5" s="105"/>
      <c r="M5" s="99"/>
    </row>
    <row r="6" spans="1:13" ht="19" x14ac:dyDescent="0.2">
      <c r="A6" s="11" t="s">
        <v>83</v>
      </c>
      <c r="B6" s="6" t="s">
        <v>80</v>
      </c>
      <c r="C6" s="50" t="s">
        <v>81</v>
      </c>
      <c r="D6" s="51" t="s">
        <v>82</v>
      </c>
      <c r="E6" s="232"/>
      <c r="F6" s="98"/>
      <c r="I6" s="99"/>
      <c r="J6" s="105"/>
      <c r="M6" s="99"/>
    </row>
    <row r="7" spans="1:13" ht="19" x14ac:dyDescent="0.2">
      <c r="A7" s="11" t="s">
        <v>84</v>
      </c>
      <c r="B7" s="6" t="s">
        <v>85</v>
      </c>
      <c r="C7" s="50" t="s">
        <v>81</v>
      </c>
      <c r="D7" s="51" t="s">
        <v>82</v>
      </c>
      <c r="E7" s="232"/>
      <c r="F7" s="98"/>
      <c r="H7" s="96"/>
      <c r="I7" s="101"/>
      <c r="J7" s="107"/>
      <c r="M7" s="99"/>
    </row>
    <row r="8" spans="1:13" ht="19" x14ac:dyDescent="0.2">
      <c r="A8" s="19" t="s">
        <v>86</v>
      </c>
      <c r="B8" s="2"/>
      <c r="D8" s="52" t="s">
        <v>87</v>
      </c>
      <c r="E8" s="232"/>
      <c r="F8" s="98"/>
      <c r="I8" s="99"/>
      <c r="J8" s="105"/>
      <c r="M8" s="99"/>
    </row>
    <row r="9" spans="1:13" ht="19" x14ac:dyDescent="0.2">
      <c r="A9" s="10" t="s">
        <v>88</v>
      </c>
      <c r="B9" s="2"/>
      <c r="C9" s="2"/>
      <c r="D9" s="2"/>
      <c r="E9" s="232"/>
      <c r="F9" s="98"/>
      <c r="H9" s="21"/>
      <c r="I9" s="99"/>
      <c r="J9" s="105"/>
      <c r="M9" s="99"/>
    </row>
    <row r="10" spans="1:13" ht="19" x14ac:dyDescent="0.2">
      <c r="A10" s="11" t="s">
        <v>89</v>
      </c>
      <c r="B10" s="6" t="s">
        <v>85</v>
      </c>
      <c r="C10" s="51" t="s">
        <v>90</v>
      </c>
      <c r="D10" s="51" t="s">
        <v>82</v>
      </c>
      <c r="E10" s="232"/>
      <c r="F10" s="98"/>
      <c r="H10" s="97"/>
      <c r="I10" s="99"/>
      <c r="J10" s="105"/>
      <c r="M10" s="99"/>
    </row>
    <row r="11" spans="1:13" ht="19" x14ac:dyDescent="0.2">
      <c r="A11" s="11" t="s">
        <v>91</v>
      </c>
      <c r="B11" s="6" t="s">
        <v>85</v>
      </c>
      <c r="C11" s="50" t="s">
        <v>81</v>
      </c>
      <c r="D11" s="51" t="s">
        <v>82</v>
      </c>
      <c r="E11" s="232"/>
      <c r="F11" s="98"/>
      <c r="I11" s="99"/>
      <c r="J11" s="105"/>
      <c r="M11" s="99"/>
    </row>
    <row r="12" spans="1:13" ht="19" x14ac:dyDescent="0.2">
      <c r="A12" s="11" t="s">
        <v>92</v>
      </c>
      <c r="B12" s="6" t="s">
        <v>85</v>
      </c>
      <c r="C12" s="2"/>
      <c r="D12" s="2"/>
      <c r="E12" s="232"/>
      <c r="F12" s="98"/>
      <c r="I12" s="99"/>
      <c r="J12" s="105"/>
      <c r="M12" s="99"/>
    </row>
    <row r="13" spans="1:13" ht="19" x14ac:dyDescent="0.2">
      <c r="A13" s="12" t="s">
        <v>93</v>
      </c>
      <c r="B13" s="53"/>
      <c r="C13" s="53"/>
      <c r="D13" s="53"/>
      <c r="E13" s="232"/>
      <c r="F13" s="98"/>
      <c r="I13" s="99"/>
      <c r="J13" s="105"/>
      <c r="M13" s="99"/>
    </row>
    <row r="14" spans="1:13" ht="19" x14ac:dyDescent="0.2">
      <c r="A14" s="13" t="s">
        <v>94</v>
      </c>
      <c r="B14" s="2"/>
      <c r="C14" s="2"/>
      <c r="D14" s="2"/>
      <c r="E14" s="232"/>
      <c r="F14" s="98"/>
      <c r="I14" s="99"/>
      <c r="J14" s="105"/>
      <c r="M14" s="99"/>
    </row>
    <row r="15" spans="1:13" ht="19" x14ac:dyDescent="0.2">
      <c r="A15" s="11" t="s">
        <v>95</v>
      </c>
      <c r="B15" s="6" t="s">
        <v>85</v>
      </c>
      <c r="C15" s="50" t="s">
        <v>81</v>
      </c>
      <c r="D15" s="51" t="s">
        <v>96</v>
      </c>
      <c r="E15" s="232"/>
      <c r="F15" s="98"/>
      <c r="I15" s="99"/>
      <c r="J15" s="105"/>
      <c r="M15" s="99"/>
    </row>
    <row r="16" spans="1:13" ht="19" x14ac:dyDescent="0.2">
      <c r="A16" s="11" t="s">
        <v>97</v>
      </c>
      <c r="B16" s="6" t="s">
        <v>85</v>
      </c>
      <c r="C16" s="50" t="s">
        <v>81</v>
      </c>
      <c r="D16" s="51" t="s">
        <v>96</v>
      </c>
      <c r="E16" s="232"/>
      <c r="F16" s="98"/>
      <c r="I16" s="99"/>
      <c r="J16" s="105"/>
      <c r="M16" s="99"/>
    </row>
    <row r="17" spans="1:13" ht="19" x14ac:dyDescent="0.2">
      <c r="A17" s="14" t="s">
        <v>98</v>
      </c>
      <c r="B17" s="6" t="s">
        <v>80</v>
      </c>
      <c r="D17" s="51" t="s">
        <v>99</v>
      </c>
      <c r="E17" s="232"/>
      <c r="F17" s="98"/>
      <c r="I17" s="99"/>
      <c r="J17" s="105"/>
      <c r="M17" s="99"/>
    </row>
    <row r="18" spans="1:13" ht="19" x14ac:dyDescent="0.2">
      <c r="A18" s="11" t="s">
        <v>100</v>
      </c>
      <c r="B18" s="2"/>
      <c r="C18" s="6" t="s">
        <v>85</v>
      </c>
      <c r="D18" s="51" t="s">
        <v>99</v>
      </c>
      <c r="E18" s="232"/>
      <c r="F18" s="98"/>
      <c r="I18" s="99"/>
      <c r="J18" s="105"/>
      <c r="M18" s="99"/>
    </row>
    <row r="19" spans="1:13" ht="19" x14ac:dyDescent="0.2">
      <c r="A19" s="13" t="s">
        <v>101</v>
      </c>
      <c r="B19" s="2"/>
      <c r="C19" s="2"/>
      <c r="D19" s="2"/>
      <c r="E19" s="232"/>
      <c r="F19" s="98"/>
      <c r="I19" s="99"/>
      <c r="J19" s="105"/>
      <c r="M19" s="99"/>
    </row>
    <row r="20" spans="1:13" ht="19" x14ac:dyDescent="0.2">
      <c r="A20" s="11" t="s">
        <v>102</v>
      </c>
      <c r="B20" s="6" t="s">
        <v>80</v>
      </c>
      <c r="C20" s="3" t="s">
        <v>103</v>
      </c>
      <c r="D20" s="51" t="s">
        <v>82</v>
      </c>
      <c r="E20" s="232"/>
      <c r="F20" s="98"/>
      <c r="I20" s="99"/>
      <c r="J20" s="105"/>
      <c r="M20" s="99"/>
    </row>
    <row r="21" spans="1:13" ht="19" x14ac:dyDescent="0.2">
      <c r="A21" s="11" t="s">
        <v>104</v>
      </c>
      <c r="B21" s="6" t="s">
        <v>80</v>
      </c>
      <c r="C21" s="3" t="s">
        <v>103</v>
      </c>
      <c r="D21" s="51" t="s">
        <v>82</v>
      </c>
      <c r="E21" s="232"/>
      <c r="F21" s="98"/>
      <c r="I21" s="99"/>
      <c r="J21" s="105"/>
      <c r="M21" s="99"/>
    </row>
    <row r="22" spans="1:13" ht="19" x14ac:dyDescent="0.2">
      <c r="A22" s="11" t="s">
        <v>105</v>
      </c>
      <c r="B22" s="2"/>
      <c r="C22" s="2"/>
      <c r="D22" s="2"/>
      <c r="E22" s="232"/>
      <c r="F22" s="98"/>
      <c r="I22" s="99"/>
      <c r="J22" s="105"/>
      <c r="M22" s="99"/>
    </row>
    <row r="23" spans="1:13" ht="19" x14ac:dyDescent="0.2">
      <c r="A23" s="13" t="s">
        <v>106</v>
      </c>
      <c r="B23" s="4" t="s">
        <v>107</v>
      </c>
      <c r="C23" s="7" t="s">
        <v>108</v>
      </c>
      <c r="D23" s="51" t="s">
        <v>96</v>
      </c>
      <c r="E23" s="232"/>
      <c r="F23" s="98"/>
      <c r="I23" s="99"/>
      <c r="J23" s="105"/>
      <c r="M23" s="99"/>
    </row>
    <row r="24" spans="1:13" ht="19" x14ac:dyDescent="0.2">
      <c r="A24" s="12" t="s">
        <v>109</v>
      </c>
      <c r="B24" s="53"/>
      <c r="C24" s="53"/>
      <c r="D24" s="53"/>
      <c r="E24" s="232"/>
      <c r="F24" s="98"/>
      <c r="I24" s="99"/>
      <c r="J24" s="105"/>
      <c r="M24" s="99"/>
    </row>
    <row r="25" spans="1:13" ht="19" x14ac:dyDescent="0.2">
      <c r="A25" s="20" t="s">
        <v>110</v>
      </c>
      <c r="B25" s="6" t="s">
        <v>85</v>
      </c>
      <c r="C25" s="50" t="s">
        <v>81</v>
      </c>
      <c r="D25" s="51" t="s">
        <v>96</v>
      </c>
      <c r="E25" s="232"/>
      <c r="F25" s="98"/>
      <c r="I25" s="99"/>
      <c r="J25" s="105"/>
      <c r="M25" s="99"/>
    </row>
    <row r="26" spans="1:13" ht="19" x14ac:dyDescent="0.2">
      <c r="A26" s="18" t="s">
        <v>111</v>
      </c>
      <c r="B26" s="54" t="s">
        <v>112</v>
      </c>
      <c r="C26" s="2"/>
      <c r="D26" s="2"/>
      <c r="E26" s="232"/>
      <c r="F26" s="98"/>
      <c r="I26" s="99"/>
      <c r="J26" s="105"/>
      <c r="M26" s="99"/>
    </row>
    <row r="27" spans="1:13" ht="20" thickBot="1" x14ac:dyDescent="0.25">
      <c r="A27" s="15" t="s">
        <v>113</v>
      </c>
      <c r="B27" s="16" t="s">
        <v>114</v>
      </c>
      <c r="C27" s="55" t="s">
        <v>103</v>
      </c>
      <c r="D27" s="17" t="s">
        <v>82</v>
      </c>
      <c r="E27" s="233"/>
      <c r="F27" s="102"/>
      <c r="G27" s="103"/>
      <c r="H27" s="103"/>
      <c r="I27" s="104"/>
      <c r="J27" s="108"/>
      <c r="K27" s="103"/>
      <c r="L27" s="103"/>
      <c r="M27" s="104"/>
    </row>
  </sheetData>
  <mergeCells count="1">
    <mergeCell ref="E3:E27"/>
  </mergeCells>
  <phoneticPr fontId="19"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115</v>
      </c>
      <c r="B2" s="256" t="s">
        <v>20</v>
      </c>
      <c r="C2" s="257"/>
      <c r="D2" s="258"/>
      <c r="E2" s="256" t="s">
        <v>21</v>
      </c>
      <c r="F2" s="257"/>
      <c r="G2" s="258"/>
      <c r="H2" s="256" t="s">
        <v>22</v>
      </c>
      <c r="I2" s="257"/>
      <c r="J2" s="258"/>
      <c r="K2" s="256" t="s">
        <v>23</v>
      </c>
      <c r="L2" s="257"/>
      <c r="M2" s="258"/>
      <c r="N2" s="256" t="s">
        <v>20</v>
      </c>
      <c r="O2" s="257"/>
      <c r="P2" s="258"/>
      <c r="Q2" s="256" t="s">
        <v>21</v>
      </c>
      <c r="R2" s="257"/>
      <c r="S2" s="258"/>
      <c r="T2" s="256" t="s">
        <v>22</v>
      </c>
      <c r="U2" s="257"/>
      <c r="V2" s="258"/>
      <c r="W2" s="256" t="s">
        <v>23</v>
      </c>
      <c r="X2" s="257"/>
      <c r="Y2" s="258"/>
    </row>
    <row r="3" spans="1:25" ht="21" thickBot="1" x14ac:dyDescent="0.3">
      <c r="A3" s="116" t="s">
        <v>116</v>
      </c>
      <c r="B3" s="117" t="s">
        <v>117</v>
      </c>
      <c r="C3" s="118" t="s">
        <v>118</v>
      </c>
      <c r="D3" s="119" t="s">
        <v>119</v>
      </c>
      <c r="E3" s="117" t="s">
        <v>120</v>
      </c>
      <c r="F3" s="118" t="s">
        <v>37</v>
      </c>
      <c r="G3" s="119" t="s">
        <v>121</v>
      </c>
      <c r="H3" s="117" t="s">
        <v>122</v>
      </c>
      <c r="I3" s="118" t="s">
        <v>123</v>
      </c>
      <c r="J3" s="119" t="s">
        <v>124</v>
      </c>
      <c r="K3" s="117" t="s">
        <v>125</v>
      </c>
      <c r="L3" s="118" t="s">
        <v>126</v>
      </c>
      <c r="M3" s="119" t="s">
        <v>127</v>
      </c>
      <c r="N3" s="117" t="s">
        <v>117</v>
      </c>
      <c r="O3" s="118" t="s">
        <v>118</v>
      </c>
      <c r="P3" s="119" t="s">
        <v>119</v>
      </c>
      <c r="Q3" s="117" t="s">
        <v>120</v>
      </c>
      <c r="R3" s="118" t="s">
        <v>37</v>
      </c>
      <c r="S3" s="119" t="s">
        <v>121</v>
      </c>
      <c r="T3" s="117" t="s">
        <v>122</v>
      </c>
      <c r="U3" s="118" t="s">
        <v>123</v>
      </c>
      <c r="V3" s="119" t="s">
        <v>124</v>
      </c>
      <c r="W3" s="117" t="s">
        <v>125</v>
      </c>
      <c r="X3" s="118" t="s">
        <v>126</v>
      </c>
      <c r="Y3" s="119" t="s">
        <v>127</v>
      </c>
    </row>
    <row r="4" spans="1:25" x14ac:dyDescent="0.2">
      <c r="A4" s="22" t="s">
        <v>76</v>
      </c>
      <c r="B4" s="40"/>
      <c r="C4" s="40"/>
      <c r="D4" s="40"/>
      <c r="E4" s="40"/>
      <c r="F4" s="40"/>
      <c r="G4" s="40"/>
      <c r="H4" s="40"/>
      <c r="I4" s="40"/>
      <c r="J4" s="40"/>
      <c r="K4" s="40"/>
      <c r="L4" s="235" t="s">
        <v>77</v>
      </c>
      <c r="M4" s="236"/>
      <c r="N4" s="105"/>
      <c r="Y4" s="99"/>
    </row>
    <row r="5" spans="1:25" x14ac:dyDescent="0.2">
      <c r="A5" s="23" t="s">
        <v>78</v>
      </c>
      <c r="B5" s="40"/>
      <c r="C5" s="40"/>
      <c r="D5" s="40"/>
      <c r="E5" s="40"/>
      <c r="F5" s="40"/>
      <c r="G5" s="40"/>
      <c r="H5" s="40"/>
      <c r="I5" s="40"/>
      <c r="J5" s="40"/>
      <c r="K5" s="40"/>
      <c r="L5" s="235"/>
      <c r="M5" s="236"/>
      <c r="N5" s="105"/>
      <c r="Y5" s="99"/>
    </row>
    <row r="6" spans="1:25" x14ac:dyDescent="0.2">
      <c r="A6" s="24" t="s">
        <v>128</v>
      </c>
      <c r="B6" s="40"/>
      <c r="C6" s="40"/>
      <c r="D6" s="6" t="s">
        <v>85</v>
      </c>
      <c r="E6" s="239" t="s">
        <v>103</v>
      </c>
      <c r="F6" s="240"/>
      <c r="G6" s="245" t="s">
        <v>107</v>
      </c>
      <c r="H6" s="246"/>
      <c r="I6" s="251" t="s">
        <v>96</v>
      </c>
      <c r="J6" s="40"/>
      <c r="K6" s="40"/>
      <c r="L6" s="235"/>
      <c r="M6" s="236"/>
      <c r="N6" s="105"/>
      <c r="Y6" s="99"/>
    </row>
    <row r="7" spans="1:25" x14ac:dyDescent="0.2">
      <c r="A7" s="24" t="s">
        <v>83</v>
      </c>
      <c r="B7" s="40"/>
      <c r="C7" s="40"/>
      <c r="D7" s="6" t="s">
        <v>85</v>
      </c>
      <c r="E7" s="241"/>
      <c r="F7" s="242"/>
      <c r="G7" s="247"/>
      <c r="H7" s="248"/>
      <c r="I7" s="252"/>
      <c r="J7" s="40"/>
      <c r="K7" s="40"/>
      <c r="L7" s="235"/>
      <c r="M7" s="236"/>
      <c r="N7" s="105"/>
      <c r="Y7" s="99"/>
    </row>
    <row r="8" spans="1:25" x14ac:dyDescent="0.2">
      <c r="A8" s="24" t="s">
        <v>84</v>
      </c>
      <c r="B8" s="40"/>
      <c r="C8" s="40"/>
      <c r="D8" s="6" t="s">
        <v>85</v>
      </c>
      <c r="E8" s="243"/>
      <c r="F8" s="244"/>
      <c r="G8" s="249"/>
      <c r="H8" s="250"/>
      <c r="I8" s="253"/>
      <c r="J8" s="40"/>
      <c r="K8" s="40"/>
      <c r="L8" s="235"/>
      <c r="M8" s="236"/>
      <c r="N8" s="105"/>
      <c r="Y8" s="99"/>
    </row>
    <row r="9" spans="1:25" x14ac:dyDescent="0.2">
      <c r="A9" s="25" t="s">
        <v>86</v>
      </c>
      <c r="B9" s="40"/>
      <c r="C9" s="40"/>
      <c r="D9" s="40"/>
      <c r="E9" s="6" t="s">
        <v>80</v>
      </c>
      <c r="F9" s="5" t="s">
        <v>129</v>
      </c>
      <c r="G9" s="4" t="s">
        <v>107</v>
      </c>
      <c r="H9" s="41" t="s">
        <v>96</v>
      </c>
      <c r="I9" s="40"/>
      <c r="J9" s="40"/>
      <c r="K9" s="40"/>
      <c r="L9" s="235"/>
      <c r="M9" s="236"/>
      <c r="N9" s="105"/>
      <c r="Y9" s="99"/>
    </row>
    <row r="10" spans="1:25" x14ac:dyDescent="0.2">
      <c r="A10" s="23" t="s">
        <v>88</v>
      </c>
      <c r="B10" s="40"/>
      <c r="C10" s="40"/>
      <c r="D10" s="40"/>
      <c r="E10" s="40"/>
      <c r="F10" s="40"/>
      <c r="G10" s="40"/>
      <c r="H10" s="40"/>
      <c r="I10" s="40"/>
      <c r="J10" s="40"/>
      <c r="K10" s="40"/>
      <c r="L10" s="235"/>
      <c r="M10" s="236"/>
      <c r="N10" s="105"/>
      <c r="Y10" s="99"/>
    </row>
    <row r="11" spans="1:25" x14ac:dyDescent="0.2">
      <c r="A11" s="24" t="s">
        <v>89</v>
      </c>
      <c r="B11" s="40"/>
      <c r="C11" s="40"/>
      <c r="D11" s="6" t="s">
        <v>85</v>
      </c>
      <c r="E11" s="3" t="s">
        <v>103</v>
      </c>
      <c r="F11" s="4" t="s">
        <v>107</v>
      </c>
      <c r="G11" s="40"/>
      <c r="H11" s="40"/>
      <c r="I11" s="40"/>
      <c r="J11" s="40"/>
      <c r="K11" s="40"/>
      <c r="L11" s="235"/>
      <c r="M11" s="236"/>
      <c r="N11" s="105"/>
      <c r="Y11" s="99"/>
    </row>
    <row r="12" spans="1:25" x14ac:dyDescent="0.2">
      <c r="A12" s="24" t="s">
        <v>91</v>
      </c>
      <c r="B12" s="40"/>
      <c r="C12" s="40"/>
      <c r="D12" s="6" t="s">
        <v>80</v>
      </c>
      <c r="E12" s="6" t="s">
        <v>129</v>
      </c>
      <c r="F12" s="3" t="s">
        <v>103</v>
      </c>
      <c r="G12" s="4" t="s">
        <v>107</v>
      </c>
      <c r="H12" s="40"/>
      <c r="I12" s="40"/>
      <c r="J12" s="40"/>
      <c r="K12" s="40"/>
      <c r="L12" s="235"/>
      <c r="M12" s="236"/>
      <c r="N12" s="105"/>
      <c r="Y12" s="99"/>
    </row>
    <row r="13" spans="1:25" x14ac:dyDescent="0.2">
      <c r="A13" s="24" t="s">
        <v>92</v>
      </c>
      <c r="B13" s="40"/>
      <c r="C13" s="40"/>
      <c r="D13" s="40"/>
      <c r="E13" s="40"/>
      <c r="F13" s="40"/>
      <c r="G13" s="3" t="s">
        <v>103</v>
      </c>
      <c r="H13" s="4" t="s">
        <v>107</v>
      </c>
      <c r="I13" s="4" t="s">
        <v>107</v>
      </c>
      <c r="J13" s="41" t="s">
        <v>96</v>
      </c>
      <c r="K13" s="40"/>
      <c r="L13" s="235"/>
      <c r="M13" s="236"/>
      <c r="N13" s="105"/>
      <c r="Y13" s="99"/>
    </row>
    <row r="14" spans="1:25" x14ac:dyDescent="0.2">
      <c r="A14" s="28" t="s">
        <v>130</v>
      </c>
      <c r="B14" s="234" t="s">
        <v>103</v>
      </c>
      <c r="C14" s="234"/>
      <c r="D14" s="40"/>
      <c r="E14" s="40"/>
      <c r="F14" s="4" t="s">
        <v>107</v>
      </c>
      <c r="G14" s="41" t="s">
        <v>96</v>
      </c>
      <c r="H14" s="2"/>
      <c r="I14" s="2"/>
      <c r="J14" s="2"/>
      <c r="K14" s="40"/>
      <c r="L14" s="235"/>
      <c r="M14" s="236"/>
      <c r="N14" s="105"/>
      <c r="Y14" s="99"/>
    </row>
    <row r="15" spans="1:25" x14ac:dyDescent="0.2">
      <c r="A15" s="22" t="s">
        <v>93</v>
      </c>
      <c r="B15" s="40"/>
      <c r="C15" s="40"/>
      <c r="D15" s="40"/>
      <c r="E15" s="40"/>
      <c r="F15" s="40"/>
      <c r="G15" s="40"/>
      <c r="H15" s="40"/>
      <c r="I15" s="40"/>
      <c r="J15" s="40"/>
      <c r="K15" s="40"/>
      <c r="L15" s="235"/>
      <c r="M15" s="236"/>
      <c r="N15" s="105"/>
      <c r="Y15" s="99"/>
    </row>
    <row r="16" spans="1:25" x14ac:dyDescent="0.2">
      <c r="A16" s="26" t="s">
        <v>94</v>
      </c>
      <c r="B16" s="40"/>
      <c r="C16" s="40"/>
      <c r="D16" s="40"/>
      <c r="E16" s="40"/>
      <c r="F16" s="40"/>
      <c r="G16" s="40"/>
      <c r="H16" s="40"/>
      <c r="I16" s="40"/>
      <c r="J16" s="40"/>
      <c r="K16" s="40"/>
      <c r="L16" s="235"/>
      <c r="M16" s="236"/>
      <c r="N16" s="105"/>
      <c r="Y16" s="99"/>
    </row>
    <row r="17" spans="1:25" x14ac:dyDescent="0.2">
      <c r="A17" s="24" t="s">
        <v>95</v>
      </c>
      <c r="B17" s="40"/>
      <c r="C17" s="40"/>
      <c r="D17" s="6" t="s">
        <v>85</v>
      </c>
      <c r="E17" s="3" t="s">
        <v>103</v>
      </c>
      <c r="F17" s="3" t="s">
        <v>103</v>
      </c>
      <c r="G17" s="4" t="s">
        <v>107</v>
      </c>
      <c r="H17" s="4" t="s">
        <v>107</v>
      </c>
      <c r="I17" s="41" t="s">
        <v>96</v>
      </c>
      <c r="J17" s="40"/>
      <c r="K17" s="40"/>
      <c r="L17" s="235"/>
      <c r="M17" s="236"/>
      <c r="N17" s="105"/>
      <c r="Y17" s="99"/>
    </row>
    <row r="18" spans="1:25" x14ac:dyDescent="0.2">
      <c r="A18" s="24" t="s">
        <v>97</v>
      </c>
      <c r="B18" s="40"/>
      <c r="C18" s="40"/>
      <c r="D18" s="6" t="s">
        <v>85</v>
      </c>
      <c r="E18" s="40"/>
      <c r="F18" s="3" t="s">
        <v>103</v>
      </c>
      <c r="G18" s="4" t="s">
        <v>107</v>
      </c>
      <c r="H18" s="41" t="s">
        <v>99</v>
      </c>
      <c r="I18" s="40"/>
      <c r="J18" s="40"/>
      <c r="K18" s="40"/>
      <c r="L18" s="235"/>
      <c r="M18" s="236"/>
      <c r="N18" s="105"/>
      <c r="Y18" s="99"/>
    </row>
    <row r="19" spans="1:25" x14ac:dyDescent="0.2">
      <c r="A19" s="27" t="s">
        <v>98</v>
      </c>
      <c r="B19" s="40"/>
      <c r="C19" s="40"/>
      <c r="D19" s="6" t="s">
        <v>80</v>
      </c>
      <c r="E19" s="3" t="s">
        <v>103</v>
      </c>
      <c r="F19" s="4" t="s">
        <v>107</v>
      </c>
      <c r="G19" s="41" t="s">
        <v>96</v>
      </c>
      <c r="H19" s="40"/>
      <c r="I19" s="40"/>
      <c r="J19" s="40"/>
      <c r="K19" s="40"/>
      <c r="L19" s="235"/>
      <c r="M19" s="236"/>
      <c r="N19" s="105"/>
      <c r="Y19" s="99"/>
    </row>
    <row r="20" spans="1:25" x14ac:dyDescent="0.2">
      <c r="A20" s="24" t="s">
        <v>100</v>
      </c>
      <c r="B20" s="40"/>
      <c r="C20" s="40"/>
      <c r="D20" s="40"/>
      <c r="E20" s="40"/>
      <c r="F20" s="6" t="s">
        <v>85</v>
      </c>
      <c r="G20" s="4" t="s">
        <v>107</v>
      </c>
      <c r="H20" s="41" t="s">
        <v>96</v>
      </c>
      <c r="I20" s="40"/>
      <c r="J20" s="40"/>
      <c r="K20" s="40"/>
      <c r="L20" s="235"/>
      <c r="M20" s="236"/>
      <c r="N20" s="105"/>
      <c r="Y20" s="99"/>
    </row>
    <row r="21" spans="1:25" x14ac:dyDescent="0.2">
      <c r="A21" s="26" t="s">
        <v>101</v>
      </c>
      <c r="B21" s="40"/>
      <c r="C21" s="40"/>
      <c r="D21" s="40"/>
      <c r="E21" s="40"/>
      <c r="F21" s="40"/>
      <c r="G21" s="40"/>
      <c r="H21" s="40"/>
      <c r="I21" s="40"/>
      <c r="J21" s="40"/>
      <c r="K21" s="40"/>
      <c r="L21" s="235"/>
      <c r="M21" s="236"/>
      <c r="N21" s="105"/>
      <c r="Y21" s="99"/>
    </row>
    <row r="22" spans="1:25" x14ac:dyDescent="0.2">
      <c r="A22" s="24" t="s">
        <v>102</v>
      </c>
      <c r="B22" s="6" t="s">
        <v>80</v>
      </c>
      <c r="C22" s="6" t="s">
        <v>129</v>
      </c>
      <c r="D22" s="6" t="s">
        <v>131</v>
      </c>
      <c r="E22" s="6" t="s">
        <v>131</v>
      </c>
      <c r="F22" s="4" t="s">
        <v>107</v>
      </c>
      <c r="G22" s="41" t="s">
        <v>96</v>
      </c>
      <c r="H22" s="40"/>
      <c r="I22" s="40"/>
      <c r="J22" s="40"/>
      <c r="K22" s="40"/>
      <c r="L22" s="235"/>
      <c r="M22" s="236"/>
      <c r="N22" s="105"/>
      <c r="Y22" s="99"/>
    </row>
    <row r="23" spans="1:25" x14ac:dyDescent="0.2">
      <c r="A23" s="24" t="s">
        <v>104</v>
      </c>
      <c r="B23" s="40"/>
      <c r="C23" s="40"/>
      <c r="D23" s="40"/>
      <c r="E23" s="3" t="s">
        <v>103</v>
      </c>
      <c r="F23" s="41" t="s">
        <v>99</v>
      </c>
      <c r="G23" s="40"/>
      <c r="H23" s="40"/>
      <c r="I23" s="40"/>
      <c r="J23" s="40"/>
      <c r="K23" s="40"/>
      <c r="L23" s="235"/>
      <c r="M23" s="236"/>
      <c r="N23" s="105"/>
      <c r="Y23" s="99"/>
    </row>
    <row r="24" spans="1:25" x14ac:dyDescent="0.2">
      <c r="A24" s="24" t="s">
        <v>105</v>
      </c>
      <c r="B24" s="40"/>
      <c r="C24" s="40"/>
      <c r="D24" s="40"/>
      <c r="E24" s="40"/>
      <c r="F24" s="40"/>
      <c r="G24" s="40"/>
      <c r="H24" s="6" t="s">
        <v>80</v>
      </c>
      <c r="I24" s="6" t="s">
        <v>129</v>
      </c>
      <c r="J24" s="41" t="s">
        <v>96</v>
      </c>
      <c r="K24" s="40"/>
      <c r="L24" s="235"/>
      <c r="M24" s="236"/>
      <c r="N24" s="105"/>
      <c r="Y24" s="99"/>
    </row>
    <row r="25" spans="1:25" x14ac:dyDescent="0.2">
      <c r="A25" s="26" t="s">
        <v>106</v>
      </c>
      <c r="B25" s="40"/>
      <c r="C25" s="40"/>
      <c r="D25" s="40"/>
      <c r="E25" s="3" t="s">
        <v>103</v>
      </c>
      <c r="F25" s="4" t="s">
        <v>107</v>
      </c>
      <c r="G25" s="42" t="s">
        <v>108</v>
      </c>
      <c r="H25" s="42" t="s">
        <v>108</v>
      </c>
      <c r="I25" s="41" t="s">
        <v>96</v>
      </c>
      <c r="J25" s="40"/>
      <c r="K25" s="40"/>
      <c r="L25" s="235"/>
      <c r="M25" s="236"/>
      <c r="N25" s="105"/>
      <c r="Y25" s="99"/>
    </row>
    <row r="26" spans="1:25" ht="32" x14ac:dyDescent="0.2">
      <c r="A26" s="22" t="s">
        <v>109</v>
      </c>
      <c r="B26" s="40"/>
      <c r="C26" s="40"/>
      <c r="D26" s="40"/>
      <c r="E26" s="40"/>
      <c r="F26" s="40"/>
      <c r="G26" s="40"/>
      <c r="H26" s="40"/>
      <c r="I26" s="40"/>
      <c r="J26" s="40"/>
      <c r="K26" s="40"/>
      <c r="L26" s="235"/>
      <c r="M26" s="236"/>
      <c r="N26" s="105"/>
      <c r="Y26" s="99"/>
    </row>
    <row r="27" spans="1:25" x14ac:dyDescent="0.2">
      <c r="A27" s="28" t="s">
        <v>110</v>
      </c>
      <c r="B27" s="6" t="s">
        <v>80</v>
      </c>
      <c r="C27" s="6" t="s">
        <v>129</v>
      </c>
      <c r="D27" s="254" t="s">
        <v>103</v>
      </c>
      <c r="E27" s="254"/>
      <c r="F27" s="41" t="s">
        <v>99</v>
      </c>
      <c r="G27" s="40"/>
      <c r="H27" s="40"/>
      <c r="I27" s="40"/>
      <c r="J27" s="40"/>
      <c r="K27" s="40"/>
      <c r="L27" s="235"/>
      <c r="M27" s="236"/>
      <c r="N27" s="105"/>
      <c r="Y27" s="99"/>
    </row>
    <row r="28" spans="1:25" ht="17" thickBot="1" x14ac:dyDescent="0.25">
      <c r="A28" s="29" t="s">
        <v>113</v>
      </c>
      <c r="B28" s="43" t="s">
        <v>80</v>
      </c>
      <c r="C28" s="43" t="s">
        <v>129</v>
      </c>
      <c r="D28" s="255" t="s">
        <v>103</v>
      </c>
      <c r="E28" s="255"/>
      <c r="F28" s="44" t="s">
        <v>107</v>
      </c>
      <c r="G28" s="45" t="s">
        <v>96</v>
      </c>
      <c r="H28" s="46"/>
      <c r="I28" s="46"/>
      <c r="J28" s="46"/>
      <c r="K28" s="46"/>
      <c r="L28" s="237"/>
      <c r="M28" s="238"/>
      <c r="N28" s="108"/>
      <c r="O28" s="103"/>
      <c r="P28" s="103"/>
      <c r="Q28" s="103"/>
      <c r="R28" s="103"/>
      <c r="S28" s="103"/>
      <c r="T28" s="103"/>
      <c r="U28" s="103"/>
      <c r="V28" s="103"/>
      <c r="W28" s="103"/>
      <c r="X28" s="103"/>
      <c r="Y28" s="104"/>
    </row>
  </sheetData>
  <mergeCells count="15">
    <mergeCell ref="Q2:S2"/>
    <mergeCell ref="T2:V2"/>
    <mergeCell ref="W2:Y2"/>
    <mergeCell ref="B2:D2"/>
    <mergeCell ref="E2:G2"/>
    <mergeCell ref="H2:J2"/>
    <mergeCell ref="K2:M2"/>
    <mergeCell ref="N2:P2"/>
    <mergeCell ref="B14:C14"/>
    <mergeCell ref="L4:M28"/>
    <mergeCell ref="E6:F8"/>
    <mergeCell ref="G6:H8"/>
    <mergeCell ref="I6:I8"/>
    <mergeCell ref="D27:E27"/>
    <mergeCell ref="D28:E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tabColor theme="5"/>
    <pageSetUpPr fitToPage="1"/>
  </sheetPr>
  <dimension ref="A1:DN132"/>
  <sheetViews>
    <sheetView tabSelected="1" zoomScale="152" zoomScaleNormal="152" workbookViewId="0">
      <pane xSplit="7" ySplit="1" topLeftCell="K2" activePane="bottomRight" state="frozen"/>
      <selection activeCell="B1" sqref="B1"/>
      <selection pane="topRight" activeCell="H1" sqref="H1"/>
      <selection pane="bottomLeft" activeCell="B2" sqref="B2"/>
      <selection pane="bottomRight" activeCell="U1" sqref="U1:U1048576"/>
    </sheetView>
  </sheetViews>
  <sheetFormatPr baseColWidth="10" defaultColWidth="11" defaultRowHeight="16" outlineLevelCol="1" x14ac:dyDescent="0.2"/>
  <cols>
    <col min="1" max="1" width="10.5" hidden="1" customWidth="1"/>
    <col min="2" max="2" width="10.83203125" bestFit="1" customWidth="1"/>
    <col min="3" max="3" width="38.83203125" hidden="1" customWidth="1"/>
    <col min="4" max="4" width="22.83203125" hidden="1" customWidth="1"/>
    <col min="5" max="5" width="40.5" customWidth="1"/>
    <col min="6" max="6" width="11.83203125" bestFit="1" customWidth="1"/>
    <col min="7" max="7" width="28.5" bestFit="1" customWidth="1"/>
    <col min="8" max="8" width="13" customWidth="1" outlineLevel="1"/>
    <col min="9" max="9" width="22" customWidth="1" outlineLevel="1"/>
    <col min="10" max="10" width="20" customWidth="1" outlineLevel="1"/>
    <col min="11" max="11" width="26" customWidth="1" outlineLevel="1"/>
    <col min="12" max="20" width="5.5" customWidth="1" outlineLevel="1"/>
    <col min="24" max="25" width="12" customWidth="1" outlineLevel="1"/>
    <col min="26" max="26" width="30" customWidth="1" outlineLevel="1"/>
    <col min="27" max="27" width="15" customWidth="1" outlineLevel="1"/>
    <col min="28" max="42" width="0" hidden="1" customWidth="1"/>
    <col min="43" max="43" width="11" hidden="1" customWidth="1"/>
    <col min="44" max="45" width="0" hidden="1" customWidth="1"/>
    <col min="46" max="47" width="12" hidden="1" customWidth="1"/>
    <col min="48" max="48" width="12" bestFit="1" customWidth="1"/>
    <col min="21" max="21" width="15" customWidth="1"/>
    <col min="22" max="22" width="15" customWidth="1"/>
    <col min="23" max="23" width="15" customWidth="1"/>
  </cols>
  <sheetData>
    <row r="1" spans="1:118" s="21" customFormat="1" ht="17" thickBot="1" x14ac:dyDescent="0.25">
      <c r="A1" s="79" t="s">
        <v>132</v>
      </c>
      <c r="B1" s="76" t="s">
        <v>133</v>
      </c>
      <c r="C1" s="76" t="s">
        <v>134</v>
      </c>
      <c r="D1" s="76" t="s">
        <v>135</v>
      </c>
      <c r="E1" s="76" t="s">
        <v>136</v>
      </c>
      <c r="F1" s="76" t="s">
        <v>26</v>
      </c>
      <c r="G1" s="76" t="s">
        <v>27</v>
      </c>
      <c r="H1" s="37" t="s">
        <v>909</v>
      </c>
      <c r="I1" s="37" t="s">
        <v>910</v>
      </c>
      <c r="J1" s="37" t="s">
        <v>911</v>
      </c>
      <c r="K1" s="37" t="s">
        <v>257</v>
      </c>
      <c r="L1" s="37" t="s">
        <v>912</v>
      </c>
      <c r="M1" s="37" t="s">
        <v>262</v>
      </c>
      <c r="N1" s="37" t="s">
        <v>913</v>
      </c>
      <c r="O1" s="37" t="s">
        <v>272</v>
      </c>
      <c r="P1" s="37" t="s">
        <v>274</v>
      </c>
      <c r="Q1" s="37" t="s">
        <v>914</v>
      </c>
      <c r="R1" s="37" t="s">
        <v>287</v>
      </c>
      <c r="S1" s="37" t="s">
        <v>915</v>
      </c>
      <c r="T1" s="37" t="s">
        <v>916</v>
      </c>
      <c r="U1" s="37" t="inlineStr">
        <is>
          <t>Discovery Start</t>
        </is>
      </c>
      <c r="V1" s="37" t="inlineStr">
        <is>
          <t>Discovery End</t>
        </is>
      </c>
      <c r="W1" s="37" t="inlineStr">
        <is>
          <t>Discovery Days</t>
        </is>
      </c>
      <c r="X1" s="37" t="s">
        <v>258</v>
      </c>
      <c r="Y1" s="37" t="s">
        <v>259</v>
      </c>
      <c r="Z1" s="210" t="s">
        <v>260</v>
      </c>
      <c r="AA1" s="69" t="s">
        <v>261</v>
      </c>
      <c r="AB1" s="125">
        <v>46125</v>
      </c>
      <c r="AC1" s="125">
        <v>46132</v>
      </c>
      <c r="AD1" s="125">
        <v>46139</v>
      </c>
      <c r="AE1" s="125">
        <v>46146</v>
      </c>
      <c r="AF1" s="125">
        <v>46153</v>
      </c>
      <c r="AG1" s="125">
        <v>46160</v>
      </c>
      <c r="AH1" s="125">
        <v>46167</v>
      </c>
      <c r="AI1" s="126">
        <v>46174</v>
      </c>
      <c r="AJ1" s="126">
        <v>46181</v>
      </c>
      <c r="AK1" s="126">
        <v>46188</v>
      </c>
      <c r="AL1" s="126">
        <v>46195</v>
      </c>
      <c r="AM1" s="126">
        <v>46202</v>
      </c>
      <c r="AN1" s="126">
        <v>46209</v>
      </c>
      <c r="AO1" s="126">
        <v>46216</v>
      </c>
      <c r="AP1" s="127">
        <v>46223</v>
      </c>
      <c r="AQ1" s="127">
        <v>46230</v>
      </c>
      <c r="AR1" s="127">
        <v>46237</v>
      </c>
      <c r="AS1" s="127">
        <v>46244</v>
      </c>
      <c r="AT1" s="127">
        <v>46251</v>
      </c>
      <c r="AU1" s="127">
        <v>46258</v>
      </c>
      <c r="AV1" s="127">
        <v>46265</v>
      </c>
      <c r="AW1" s="127">
        <v>46272</v>
      </c>
      <c r="AX1" s="127">
        <v>46279</v>
      </c>
      <c r="AY1" s="127">
        <v>46286</v>
      </c>
      <c r="AZ1" s="127">
        <v>46293</v>
      </c>
      <c r="BA1" s="127">
        <v>46300</v>
      </c>
      <c r="BB1" s="127">
        <v>46307</v>
      </c>
      <c r="BC1" s="127">
        <v>46314</v>
      </c>
      <c r="BD1" s="127">
        <v>46321</v>
      </c>
      <c r="BE1" s="127">
        <v>46328</v>
      </c>
      <c r="BF1" s="127">
        <v>46335</v>
      </c>
      <c r="BG1" s="127">
        <v>46342</v>
      </c>
      <c r="BH1" s="127">
        <v>46349</v>
      </c>
      <c r="BI1" s="127">
        <v>46356</v>
      </c>
      <c r="BJ1" s="127">
        <v>46363</v>
      </c>
      <c r="BK1" s="127">
        <v>46370</v>
      </c>
      <c r="BL1" s="127">
        <v>46377</v>
      </c>
      <c r="BM1" s="127">
        <v>46384</v>
      </c>
      <c r="BN1" s="127">
        <v>46391</v>
      </c>
      <c r="BO1" s="127">
        <v>46398</v>
      </c>
      <c r="BP1" s="127">
        <v>46405</v>
      </c>
      <c r="BQ1" s="127">
        <v>46412</v>
      </c>
      <c r="BR1" s="127">
        <v>46419</v>
      </c>
      <c r="BS1" s="127">
        <v>46426</v>
      </c>
      <c r="BT1" s="127">
        <v>46433</v>
      </c>
      <c r="BU1" s="127">
        <v>46440</v>
      </c>
      <c r="BV1" s="127">
        <v>46447</v>
      </c>
      <c r="BW1" s="127">
        <v>46454</v>
      </c>
      <c r="BX1" s="127">
        <v>46461</v>
      </c>
      <c r="BY1" s="127">
        <v>46468</v>
      </c>
      <c r="BZ1" s="127">
        <v>46475</v>
      </c>
      <c r="CA1" s="127">
        <v>46482</v>
      </c>
      <c r="CB1" s="127">
        <v>46489</v>
      </c>
      <c r="CC1" s="127">
        <v>46496</v>
      </c>
      <c r="CD1" s="127">
        <v>46503</v>
      </c>
      <c r="CE1" s="127">
        <v>46510</v>
      </c>
      <c r="CF1" s="127">
        <v>46517</v>
      </c>
      <c r="CG1" s="127">
        <v>46524</v>
      </c>
      <c r="CH1" s="127">
        <v>46531</v>
      </c>
      <c r="CI1" s="127">
        <v>46538</v>
      </c>
      <c r="CJ1" s="127">
        <v>46545</v>
      </c>
      <c r="CK1" s="127">
        <v>46552</v>
      </c>
      <c r="CL1" s="127">
        <v>46559</v>
      </c>
      <c r="CM1" s="127">
        <v>46566</v>
      </c>
      <c r="CN1" s="127">
        <v>46573</v>
      </c>
      <c r="CO1" s="127">
        <v>46580</v>
      </c>
      <c r="CP1" s="127">
        <v>46587</v>
      </c>
      <c r="CQ1" s="127">
        <v>46594</v>
      </c>
      <c r="CR1" s="127">
        <v>46601</v>
      </c>
      <c r="CS1" s="127">
        <v>46608</v>
      </c>
      <c r="CT1" s="127">
        <v>46615</v>
      </c>
      <c r="CU1" s="127">
        <v>46622</v>
      </c>
      <c r="CV1" s="127">
        <v>46629</v>
      </c>
      <c r="CW1" s="127">
        <v>46636</v>
      </c>
      <c r="CX1" s="127">
        <v>46643</v>
      </c>
      <c r="CY1" s="127">
        <v>46650</v>
      </c>
      <c r="CZ1" s="127">
        <v>46657</v>
      </c>
      <c r="DA1" s="127">
        <v>46664</v>
      </c>
      <c r="DB1" s="127">
        <v>46671</v>
      </c>
      <c r="DC1" s="127">
        <v>46678</v>
      </c>
      <c r="DD1" s="127">
        <v>46685</v>
      </c>
      <c r="DE1" s="127">
        <v>46692</v>
      </c>
      <c r="DF1" s="127">
        <v>46699</v>
      </c>
      <c r="DG1" s="127">
        <v>46706</v>
      </c>
      <c r="DH1" s="127">
        <v>46713</v>
      </c>
      <c r="DI1" s="127">
        <v>46720</v>
      </c>
      <c r="DJ1" s="127">
        <v>46727</v>
      </c>
      <c r="DK1" s="127">
        <v>46734</v>
      </c>
      <c r="DL1" s="127">
        <v>46741</v>
      </c>
      <c r="DM1" s="127">
        <v>46748</v>
      </c>
      <c r="DN1" s="128">
        <v>46755</v>
      </c>
    </row>
    <row r="2" spans="1:118" x14ac:dyDescent="0.2">
      <c r="A2" s="68" t="s">
        <v>137</v>
      </c>
      <c r="B2" s="37" t="s">
        <v>138</v>
      </c>
      <c r="C2" s="39" t="s">
        <v>139</v>
      </c>
      <c r="D2" s="39" t="s">
        <v>140</v>
      </c>
      <c r="E2" s="39" t="s">
        <v>141</v>
      </c>
      <c r="F2" s="39" t="s">
        <v>142</v>
      </c>
      <c r="G2" s="37" t="s">
        <v>143</v>
      </c>
      <c r="H2" s="37" t="s">
        <v>815</v>
      </c>
      <c r="I2" s="37"/>
      <c r="J2" s="37"/>
      <c r="K2" s="37" t="str">
        <f>IF(COUNTA($L2:$T2)=0,"",SUBSTITUTE(TRIM(IF($L2&lt;&gt;"","BHUX ","")&amp;IF($M2&lt;&gt;"","BHJ ","")&amp;IF($N2&lt;&gt;"","BHIA ","")&amp;IF($O2&lt;&gt;"","UNIX ","")&amp;IF($P2&lt;&gt;"","BIDW ","")&amp;IF($Q2&lt;&gt;"","BHUR ","")&amp;IF($R2&lt;&gt;"","DBA ","")&amp;IF($S2&lt;&gt;"","WEBC ","")&amp;IF($T2&lt;&gt;"","SEARCH ",""))," ",", "))</f>
        <v>BHJ, BHIA, UNIX</v>
      </c>
      <c r="L2" s="37"/>
      <c r="M2" s="37" t="s">
        <v>917</v>
      </c>
      <c r="N2" s="37" t="s">
        <v>917</v>
      </c>
      <c r="O2" s="37" t="s">
        <v>917</v>
      </c>
      <c r="P2" s="37"/>
      <c r="Q2" s="37"/>
      <c r="R2" s="37"/>
      <c r="S2" s="37"/>
      <c r="T2" s="37"/>
      <c r="U2" s="310"/>
      <c r="V2" s="310"/>
      <c r="W2" s="37">
        <f>IF(OR($U2="",$V2=""),"",$V2-$U2+1)</f>
      </c>
      <c r="X2" s="37" t="s">
        <v>263</v>
      </c>
      <c r="Y2" s="37" t="s">
        <v>263</v>
      </c>
      <c r="Z2" s="211"/>
      <c r="AA2" s="69" t="s">
        <v>264</v>
      </c>
      <c r="AB2" s="120"/>
      <c r="AC2" s="120"/>
      <c r="AD2" s="120"/>
      <c r="AE2" s="121"/>
      <c r="AF2" s="121"/>
      <c r="AG2" s="121"/>
      <c r="AH2" s="121"/>
      <c r="AI2" s="122" t="s">
        <v>144</v>
      </c>
      <c r="AJ2" s="122" t="s">
        <v>144</v>
      </c>
      <c r="AK2" s="122" t="s">
        <v>144</v>
      </c>
      <c r="AL2" s="122"/>
      <c r="AM2" s="122"/>
      <c r="AN2" s="122"/>
      <c r="AO2" s="122"/>
      <c r="AP2" s="123"/>
      <c r="AQ2" s="123"/>
      <c r="AR2" s="123"/>
      <c r="AS2" s="123"/>
      <c r="AT2" s="123"/>
      <c r="AU2" s="123"/>
      <c r="AV2" s="123"/>
      <c r="AW2" s="123"/>
      <c r="AX2" s="123"/>
      <c r="AY2" s="123"/>
      <c r="AZ2" s="123"/>
      <c r="BA2" s="123"/>
      <c r="BB2" s="123"/>
      <c r="BC2" s="124"/>
      <c r="BD2" s="124"/>
      <c r="BE2" s="124"/>
      <c r="BF2" s="124"/>
      <c r="BG2" s="124"/>
      <c r="BH2" s="124"/>
      <c r="BI2" s="124"/>
      <c r="BJ2" s="124"/>
      <c r="BK2" s="124"/>
      <c r="BL2" s="124"/>
      <c r="BM2" s="124"/>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row>
    <row r="3" spans="1:118" x14ac:dyDescent="0.2">
      <c r="A3" s="68" t="s">
        <v>137</v>
      </c>
      <c r="B3" s="37" t="s">
        <v>145</v>
      </c>
      <c r="C3" s="39" t="s">
        <v>146</v>
      </c>
      <c r="D3" s="37"/>
      <c r="E3" s="39" t="s">
        <v>147</v>
      </c>
      <c r="F3" s="39" t="s">
        <v>148</v>
      </c>
      <c r="G3" s="37" t="s">
        <v>143</v>
      </c>
      <c r="H3" s="37" t="s">
        <v>919</v>
      </c>
      <c r="I3" s="37"/>
      <c r="J3" s="37"/>
      <c r="K3" s="37" t="str">
        <f>IF(COUNTA($L3:$T3)=0,"",SUBSTITUTE(TRIM(IF($L3&lt;&gt;"","BHUX ","")&amp;IF($M3&lt;&gt;"","BHJ ","")&amp;IF($N3&lt;&gt;"","BHIA ","")&amp;IF($O3&lt;&gt;"","UNIX ","")&amp;IF($P3&lt;&gt;"","BIDW ","")&amp;IF($Q3&lt;&gt;"","BHUR ","")&amp;IF($R3&lt;&gt;"","DBA ","")&amp;IF($S3&lt;&gt;"","WEBC ","")&amp;IF($T3&lt;&gt;"","SEARCH ",""))," ",", "))</f>
        <v>BHJ</v>
      </c>
      <c r="L3" s="37"/>
      <c r="M3" s="37" t="s">
        <v>917</v>
      </c>
      <c r="N3" s="37"/>
      <c r="O3" s="37"/>
      <c r="P3" s="37"/>
      <c r="Q3" s="37"/>
      <c r="R3" s="37"/>
      <c r="S3" s="37"/>
      <c r="T3" s="37"/>
      <c r="U3" s="310"/>
      <c r="V3" s="310"/>
      <c r="W3" s="37">
        <f>IF(OR($U3="",$V3=""),"",$V3-$U3+1)</f>
      </c>
      <c r="X3" s="37" t="s">
        <v>265</v>
      </c>
      <c r="Y3" s="37" t="s">
        <v>266</v>
      </c>
      <c r="Z3" s="211"/>
      <c r="AA3" s="69" t="s">
        <v>148</v>
      </c>
      <c r="AB3" s="33"/>
      <c r="AC3" s="33"/>
      <c r="AD3" s="33"/>
      <c r="AE3" s="33"/>
      <c r="AF3" s="32"/>
      <c r="AG3" s="33"/>
      <c r="AH3" s="33"/>
      <c r="AI3" s="36"/>
      <c r="AJ3" s="61" t="s">
        <v>149</v>
      </c>
      <c r="AK3" s="61"/>
      <c r="AL3" s="36"/>
      <c r="AM3" s="36"/>
      <c r="AN3" s="36"/>
      <c r="AO3" s="36"/>
      <c r="AP3" s="34"/>
      <c r="AQ3" s="34"/>
      <c r="AR3" s="34"/>
      <c r="AS3" s="34"/>
      <c r="AT3" s="34"/>
      <c r="AU3" s="34"/>
      <c r="AV3" s="34"/>
      <c r="AW3" s="34"/>
      <c r="AX3" s="34"/>
      <c r="AY3" s="34"/>
      <c r="AZ3" s="34"/>
      <c r="BA3" s="67" t="s">
        <v>149</v>
      </c>
      <c r="BB3" s="67" t="s">
        <v>149</v>
      </c>
      <c r="BC3" s="67" t="s">
        <v>149</v>
      </c>
      <c r="BD3" s="67" t="s">
        <v>149</v>
      </c>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row>
    <row r="4" spans="1:118" x14ac:dyDescent="0.2">
      <c r="A4" s="68" t="s">
        <v>137</v>
      </c>
      <c r="B4" s="37" t="s">
        <v>138</v>
      </c>
      <c r="C4" s="39" t="s">
        <v>139</v>
      </c>
      <c r="D4" s="39" t="s">
        <v>140</v>
      </c>
      <c r="E4" s="39" t="s">
        <v>223</v>
      </c>
      <c r="F4" s="39" t="s">
        <v>224</v>
      </c>
      <c r="G4" s="37" t="s">
        <v>143</v>
      </c>
      <c r="H4" s="37"/>
      <c r="I4" s="37"/>
      <c r="J4" s="37"/>
      <c r="K4" s="37" t="str">
        <f>IF(COUNTA($L4:$T4)=0,"",SUBSTITUTE(TRIM(IF($L4&lt;&gt;"","BHUX ","")&amp;IF($M4&lt;&gt;"","BHJ ","")&amp;IF($N4&lt;&gt;"","BHIA ","")&amp;IF($O4&lt;&gt;"","UNIX ","")&amp;IF($P4&lt;&gt;"","BIDW ","")&amp;IF($Q4&lt;&gt;"","BHUR ","")&amp;IF($R4&lt;&gt;"","DBA ","")&amp;IF($S4&lt;&gt;"","WEBC ","")&amp;IF($T4&lt;&gt;"","SEARCH ",""))," ",", "))</f>
        <v>DBA</v>
      </c>
      <c r="L4" s="37"/>
      <c r="M4" s="37"/>
      <c r="N4" s="37"/>
      <c r="O4" s="37"/>
      <c r="P4" s="37"/>
      <c r="Q4" s="37"/>
      <c r="R4" s="37" t="s">
        <v>917</v>
      </c>
      <c r="S4" s="37"/>
      <c r="T4" s="37"/>
      <c r="U4" s="310"/>
      <c r="V4" s="310"/>
      <c r="W4" s="37">
        <f>IF(OR($U4="",$V4=""),"",$V4-$U4+1)</f>
      </c>
      <c r="X4" s="37" t="s">
        <v>273</v>
      </c>
      <c r="Y4" s="37" t="s">
        <v>273</v>
      </c>
      <c r="Z4" s="211"/>
      <c r="AA4" s="69" t="s">
        <v>288</v>
      </c>
      <c r="AB4" s="33"/>
      <c r="AC4" s="33"/>
      <c r="AD4" s="33"/>
      <c r="AE4" s="32"/>
      <c r="AF4" s="32"/>
      <c r="AG4" s="32"/>
      <c r="AH4" s="32"/>
      <c r="AI4" s="36"/>
      <c r="AJ4" s="36"/>
      <c r="AK4" s="36"/>
      <c r="AL4" s="36"/>
      <c r="AM4" s="36"/>
      <c r="AN4" s="36"/>
      <c r="AO4" s="36"/>
      <c r="AP4" s="35"/>
      <c r="AQ4" s="35"/>
      <c r="AR4" s="35"/>
      <c r="AS4" s="35"/>
      <c r="AT4" s="35"/>
      <c r="AU4" s="35"/>
      <c r="AV4" s="35"/>
      <c r="AW4" s="35"/>
      <c r="AX4" s="35"/>
      <c r="AY4" s="35"/>
      <c r="AZ4" s="35"/>
      <c r="BA4" s="35"/>
      <c r="BB4" s="35"/>
      <c r="BC4" s="57"/>
      <c r="BD4" s="57"/>
      <c r="BE4" s="57"/>
      <c r="BF4" s="57"/>
      <c r="BG4" s="57"/>
      <c r="BH4" s="57"/>
      <c r="BI4" s="57"/>
      <c r="BJ4" s="57"/>
      <c r="BK4" s="57"/>
      <c r="BL4" s="57"/>
      <c r="BM4" s="5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row>
    <row r="5" spans="1:118" x14ac:dyDescent="0.2">
      <c r="A5" s="68" t="s">
        <v>137</v>
      </c>
      <c r="B5" s="37" t="s">
        <v>145</v>
      </c>
      <c r="C5" s="39" t="s">
        <v>150</v>
      </c>
      <c r="D5" s="37"/>
      <c r="E5" s="39" t="s">
        <v>151</v>
      </c>
      <c r="F5" s="200" t="s">
        <v>152</v>
      </c>
      <c r="G5" s="37" t="s">
        <v>153</v>
      </c>
      <c r="H5" s="37" t="s">
        <v>919</v>
      </c>
      <c r="I5" s="37"/>
      <c r="J5" s="37"/>
      <c r="K5" s="37" t="str">
        <f>IF(COUNTA($L5:$T5)=0,"",SUBSTITUTE(TRIM(IF($L5&lt;&gt;"","BHUX ","")&amp;IF($M5&lt;&gt;"","BHJ ","")&amp;IF($N5&lt;&gt;"","BHIA ","")&amp;IF($O5&lt;&gt;"","UNIX ","")&amp;IF($P5&lt;&gt;"","BIDW ","")&amp;IF($Q5&lt;&gt;"","BHUR ","")&amp;IF($R5&lt;&gt;"","DBA ","")&amp;IF($S5&lt;&gt;"","WEBC ","")&amp;IF($T5&lt;&gt;"","SEARCH ",""))," ",", "))</f>
        <v>BHJ</v>
      </c>
      <c r="L5" s="37"/>
      <c r="M5" s="37" t="s">
        <v>917</v>
      </c>
      <c r="N5" s="37"/>
      <c r="O5" s="37"/>
      <c r="P5" s="37"/>
      <c r="Q5" s="37"/>
      <c r="R5" s="37"/>
      <c r="S5" s="37"/>
      <c r="T5" s="37"/>
      <c r="U5" s="310"/>
      <c r="V5" s="310"/>
      <c r="W5" s="37">
        <f>IF(OR($U5="",$V5=""),"",$V5-$U5+1)</f>
      </c>
      <c r="X5" s="37" t="s">
        <v>267</v>
      </c>
      <c r="Y5" s="37" t="s">
        <v>263</v>
      </c>
      <c r="Z5" s="211"/>
      <c r="AA5" s="260" t="s">
        <v>268</v>
      </c>
      <c r="AB5" s="33"/>
      <c r="AC5" s="33" t="s">
        <v>154</v>
      </c>
      <c r="AD5" s="33"/>
      <c r="AE5" s="33" t="s">
        <v>154</v>
      </c>
      <c r="AF5" s="32"/>
      <c r="AG5" s="33"/>
      <c r="AH5" s="32"/>
      <c r="AI5" s="36"/>
      <c r="AJ5" s="61" t="s">
        <v>154</v>
      </c>
      <c r="AK5" s="36"/>
      <c r="AL5" s="36"/>
      <c r="AM5" s="36"/>
      <c r="AN5" s="36"/>
      <c r="AO5" s="36"/>
      <c r="AP5" s="34"/>
      <c r="AQ5" s="34"/>
      <c r="AR5" s="34"/>
      <c r="AS5" s="34"/>
      <c r="AT5" s="34"/>
      <c r="AU5" s="34"/>
      <c r="AV5" s="67" t="s">
        <v>154</v>
      </c>
      <c r="AW5" s="67" t="s">
        <v>154</v>
      </c>
      <c r="AX5" s="67" t="s">
        <v>154</v>
      </c>
      <c r="AY5" s="34"/>
      <c r="AZ5" s="34"/>
      <c r="BA5" s="34"/>
      <c r="BB5" s="34"/>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row>
    <row r="6" spans="1:118" x14ac:dyDescent="0.2">
      <c r="A6" s="68" t="s">
        <v>137</v>
      </c>
      <c r="B6" s="37" t="s">
        <v>145</v>
      </c>
      <c r="C6" s="39" t="s">
        <v>155</v>
      </c>
      <c r="D6" s="37"/>
      <c r="E6" s="37" t="s">
        <v>156</v>
      </c>
      <c r="F6" s="39"/>
      <c r="G6" s="37" t="s">
        <v>153</v>
      </c>
      <c r="H6" s="37"/>
      <c r="I6" s="37"/>
      <c r="J6" s="37"/>
      <c r="K6" s="37" t="str">
        <f>IF(COUNTA($L6:$T6)=0,"",SUBSTITUTE(TRIM(IF($L6&lt;&gt;"","BHUX ","")&amp;IF($M6&lt;&gt;"","BHJ ","")&amp;IF($N6&lt;&gt;"","BHIA ","")&amp;IF($O6&lt;&gt;"","UNIX ","")&amp;IF($P6&lt;&gt;"","BIDW ","")&amp;IF($Q6&lt;&gt;"","BHUR ","")&amp;IF($R6&lt;&gt;"","DBA ","")&amp;IF($S6&lt;&gt;"","WEBC ","")&amp;IF($T6&lt;&gt;"","SEARCH ",""))," ",", "))</f>
        <v>BHJ</v>
      </c>
      <c r="L6" s="37"/>
      <c r="M6" s="37" t="s">
        <v>917</v>
      </c>
      <c r="N6" s="37"/>
      <c r="O6" s="37"/>
      <c r="P6" s="37"/>
      <c r="Q6" s="37"/>
      <c r="R6" s="37"/>
      <c r="S6" s="37"/>
      <c r="T6" s="37"/>
      <c r="U6" s="310"/>
      <c r="V6" s="310"/>
      <c r="W6" s="37">
        <f>IF(OR($U6="",$V6=""),"",$V6-$U6+1)</f>
      </c>
      <c r="X6" s="37" t="s">
        <v>263</v>
      </c>
      <c r="Y6" s="37" t="s">
        <v>265</v>
      </c>
      <c r="Z6" s="211"/>
      <c r="AA6" s="69"/>
      <c r="AB6" s="37"/>
      <c r="AC6" s="37"/>
      <c r="AD6" s="37"/>
      <c r="AE6" s="37"/>
      <c r="AF6" s="37"/>
      <c r="AG6" s="37"/>
      <c r="AH6" s="37"/>
      <c r="AI6" s="37"/>
      <c r="AJ6" s="37"/>
      <c r="AK6" s="37"/>
      <c r="AL6" s="37"/>
      <c r="AM6" s="37"/>
      <c r="AN6" s="37"/>
      <c r="AO6" s="37"/>
      <c r="AP6" s="37"/>
      <c r="AQ6" s="34"/>
      <c r="AR6" s="34"/>
      <c r="AS6" s="34"/>
      <c r="AT6" s="37"/>
      <c r="AU6" s="37"/>
      <c r="AV6" s="37"/>
      <c r="AW6" s="67" t="s">
        <v>157</v>
      </c>
      <c r="AX6" s="67" t="s">
        <v>157</v>
      </c>
      <c r="AY6" s="67" t="s">
        <v>157</v>
      </c>
      <c r="AZ6" s="34"/>
      <c r="BA6" s="34"/>
      <c r="BB6" s="34"/>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row>
    <row r="7" spans="1:118" x14ac:dyDescent="0.2">
      <c r="A7" s="68" t="s">
        <v>137</v>
      </c>
      <c r="B7" s="37" t="s">
        <v>145</v>
      </c>
      <c r="C7" s="39" t="s">
        <v>146</v>
      </c>
      <c r="D7" s="37"/>
      <c r="E7" s="39" t="s">
        <v>922</v>
      </c>
      <c r="F7" s="39" t="s">
        <v>158</v>
      </c>
      <c r="G7" s="37" t="s">
        <v>153</v>
      </c>
      <c r="H7" s="37"/>
      <c r="I7" s="37"/>
      <c r="J7" s="37"/>
      <c r="K7" s="37" t="str">
        <f>IF(COUNTA($L7:$T7)=0,"",SUBSTITUTE(TRIM(IF($L7&lt;&gt;"","BHUX ","")&amp;IF($M7&lt;&gt;"","BHJ ","")&amp;IF($N7&lt;&gt;"","BHIA ","")&amp;IF($O7&lt;&gt;"","UNIX ","")&amp;IF($P7&lt;&gt;"","BIDW ","")&amp;IF($Q7&lt;&gt;"","BHUR ","")&amp;IF($R7&lt;&gt;"","DBA ","")&amp;IF($S7&lt;&gt;"","WEBC ","")&amp;IF($T7&lt;&gt;"","SEARCH ",""))," ",", "))</f>
        <v>BHJ</v>
      </c>
      <c r="L7" s="37"/>
      <c r="M7" s="37" t="s">
        <v>917</v>
      </c>
      <c r="N7" s="37"/>
      <c r="O7" s="37"/>
      <c r="P7" s="37"/>
      <c r="Q7" s="37"/>
      <c r="R7" s="37"/>
      <c r="S7" s="37"/>
      <c r="T7" s="37"/>
      <c r="U7" s="310"/>
      <c r="V7" s="310"/>
      <c r="W7" s="37">
        <f>IF(OR($U7="",$V7=""),"",$V7-$U7+1)</f>
      </c>
      <c r="X7" s="37" t="s">
        <v>271</v>
      </c>
      <c r="Y7" s="37" t="s">
        <v>271</v>
      </c>
      <c r="Z7" s="211"/>
      <c r="AA7" s="69" t="s">
        <v>158</v>
      </c>
      <c r="AB7" s="37"/>
      <c r="AC7" s="37"/>
      <c r="AD7" s="37"/>
      <c r="AE7" s="37"/>
      <c r="AF7" s="37"/>
      <c r="AG7" s="37"/>
      <c r="AH7" s="37"/>
      <c r="AI7" s="37"/>
      <c r="AJ7" s="37"/>
      <c r="AK7" s="37"/>
      <c r="AL7" s="37"/>
      <c r="AM7" s="37"/>
      <c r="AN7" s="37"/>
      <c r="AO7" s="37"/>
      <c r="AP7" s="37"/>
      <c r="AQ7" s="34"/>
      <c r="AR7" s="34"/>
      <c r="AS7" s="34"/>
      <c r="AT7" s="34"/>
      <c r="AU7" s="34"/>
      <c r="AV7" s="34"/>
      <c r="AW7" s="34"/>
      <c r="AX7" s="34"/>
      <c r="AY7" s="34"/>
      <c r="AZ7" s="34"/>
      <c r="BA7" s="34"/>
      <c r="BB7" s="34"/>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row>
    <row r="8" spans="1:118" x14ac:dyDescent="0.2">
      <c r="A8" s="68"/>
      <c r="B8" s="37" t="s">
        <v>138</v>
      </c>
      <c r="C8" s="39" t="s">
        <v>159</v>
      </c>
      <c r="D8" s="37"/>
      <c r="E8" s="39" t="s">
        <v>160</v>
      </c>
      <c r="F8" s="39" t="s">
        <v>161</v>
      </c>
      <c r="G8" s="37" t="s">
        <v>153</v>
      </c>
      <c r="H8" s="37"/>
      <c r="I8" s="37"/>
      <c r="J8" s="37"/>
      <c r="K8" s="37" t="str">
        <f>IF(COUNTA($L8:$T8)=0,"",SUBSTITUTE(TRIM(IF($L8&lt;&gt;"","BHUX ","")&amp;IF($M8&lt;&gt;"","BHJ ","")&amp;IF($N8&lt;&gt;"","BHIA ","")&amp;IF($O8&lt;&gt;"","UNIX ","")&amp;IF($P8&lt;&gt;"","BIDW ","")&amp;IF($Q8&lt;&gt;"","BHUR ","")&amp;IF($R8&lt;&gt;"","DBA ","")&amp;IF($S8&lt;&gt;"","WEBC ","")&amp;IF($T8&lt;&gt;"","SEARCH ",""))," ",", "))</f>
        <v>BHJ, BHIA, BIDW</v>
      </c>
      <c r="L8" s="37"/>
      <c r="M8" s="37" t="s">
        <v>917</v>
      </c>
      <c r="N8" s="37" t="s">
        <v>917</v>
      </c>
      <c r="O8" s="37"/>
      <c r="P8" s="37" t="s">
        <v>917</v>
      </c>
      <c r="Q8" s="37"/>
      <c r="R8" s="37"/>
      <c r="S8" s="37"/>
      <c r="T8" s="37"/>
      <c r="U8" s="310"/>
      <c r="V8" s="310"/>
      <c r="W8" s="37">
        <f>IF(OR($U8="",$V8=""),"",$V8-$U8+1)</f>
      </c>
      <c r="X8" s="37" t="s">
        <v>271</v>
      </c>
      <c r="Y8" s="37" t="s">
        <v>271</v>
      </c>
      <c r="Z8" s="211"/>
      <c r="AA8" s="69" t="s">
        <v>161</v>
      </c>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row>
    <row r="9" spans="1:118" x14ac:dyDescent="0.2">
      <c r="A9" s="68"/>
      <c r="B9" s="37" t="s">
        <v>138</v>
      </c>
      <c r="C9" s="39" t="s">
        <v>159</v>
      </c>
      <c r="D9" s="37"/>
      <c r="E9" s="39" t="s">
        <v>923</v>
      </c>
      <c r="F9" s="39" t="s">
        <v>924</v>
      </c>
      <c r="G9" s="37" t="s">
        <v>153</v>
      </c>
      <c r="H9" s="37"/>
      <c r="I9" s="37"/>
      <c r="J9" s="37"/>
      <c r="K9" s="37"/>
      <c r="L9" s="37"/>
      <c r="M9" s="37"/>
      <c r="N9" s="37"/>
      <c r="O9" s="37"/>
      <c r="P9" s="37"/>
      <c r="Q9" s="37"/>
      <c r="R9" s="37"/>
      <c r="S9" s="37"/>
      <c r="T9" s="37"/>
      <c r="U9" s="310"/>
      <c r="V9" s="310"/>
      <c r="W9" s="37">
        <f>IF(OR($U9="",$V9=""),"",$V9-$U9+1)</f>
      </c>
      <c r="X9" s="37"/>
      <c r="Y9" s="37"/>
      <c r="Z9" s="211"/>
      <c r="AA9" s="69"/>
      <c r="AB9" s="37"/>
      <c r="AC9" s="37"/>
      <c r="AD9" s="37"/>
      <c r="AE9" s="37"/>
      <c r="AF9" s="37"/>
      <c r="AG9" s="37"/>
      <c r="AH9" s="37"/>
      <c r="AI9" s="37"/>
      <c r="AJ9" s="37"/>
      <c r="AK9" s="37"/>
      <c r="AL9" s="37"/>
      <c r="AM9" s="37"/>
      <c r="AN9" s="37"/>
      <c r="AO9" s="37"/>
      <c r="AP9" s="37"/>
      <c r="AQ9" s="37"/>
      <c r="AR9" s="37"/>
      <c r="AS9" s="37"/>
      <c r="AT9" s="37"/>
      <c r="AU9" s="37"/>
      <c r="AV9" s="37"/>
      <c r="AW9" s="37"/>
      <c r="AX9" s="37"/>
      <c r="AY9" s="60" t="s">
        <v>157</v>
      </c>
      <c r="AZ9" s="60" t="s">
        <v>157</v>
      </c>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row>
    <row r="10" spans="1:118" x14ac:dyDescent="0.2">
      <c r="A10" s="68"/>
      <c r="B10" s="37" t="s">
        <v>138</v>
      </c>
      <c r="C10" s="39" t="s">
        <v>139</v>
      </c>
      <c r="D10" s="37"/>
      <c r="E10" s="39" t="s">
        <v>925</v>
      </c>
      <c r="F10" s="39" t="s">
        <v>926</v>
      </c>
      <c r="G10" s="37" t="s">
        <v>153</v>
      </c>
      <c r="H10" s="37"/>
      <c r="I10" s="37"/>
      <c r="J10" s="37"/>
      <c r="K10" s="37"/>
      <c r="L10" s="37"/>
      <c r="M10" s="37"/>
      <c r="N10" s="37"/>
      <c r="O10" s="37"/>
      <c r="P10" s="37"/>
      <c r="Q10" s="37"/>
      <c r="R10" s="37"/>
      <c r="S10" s="37"/>
      <c r="T10" s="37"/>
      <c r="U10" s="310"/>
      <c r="V10" s="310"/>
      <c r="W10" s="37">
        <f>IF(OR($U10="",$V10=""),"",$V10-$U10+1)</f>
      </c>
      <c r="X10" s="37" t="s">
        <v>267</v>
      </c>
      <c r="Y10" s="37" t="s">
        <v>271</v>
      </c>
      <c r="Z10" s="211"/>
      <c r="AA10" s="69"/>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row>
    <row r="11" spans="1:118" x14ac:dyDescent="0.2">
      <c r="A11" s="68" t="s">
        <v>137</v>
      </c>
      <c r="B11" s="37" t="s">
        <v>138</v>
      </c>
      <c r="C11" s="39" t="s">
        <v>140</v>
      </c>
      <c r="D11" s="39"/>
      <c r="E11" s="39" t="s">
        <v>162</v>
      </c>
      <c r="F11" s="39" t="s">
        <v>163</v>
      </c>
      <c r="G11" s="76" t="s">
        <v>164</v>
      </c>
      <c r="H11" s="37"/>
      <c r="I11" s="37"/>
      <c r="J11" s="37"/>
      <c r="K11" s="37" t="str">
        <f>IF(COUNTA($L11:$T11)=0,"",SUBSTITUTE(TRIM(IF($L11&lt;&gt;"","BHUX ","")&amp;IF($M11&lt;&gt;"","BHJ ","")&amp;IF($N11&lt;&gt;"","BHIA ","")&amp;IF($O11&lt;&gt;"","UNIX ","")&amp;IF($P11&lt;&gt;"","BIDW ","")&amp;IF($Q11&lt;&gt;"","BHUR ","")&amp;IF($R11&lt;&gt;"","DBA ","")&amp;IF($S11&lt;&gt;"","WEBC ","")&amp;IF($T11&lt;&gt;"","SEARCH ",""))," ",", "))</f>
        <v>BHJ, BHIA, SEARCH</v>
      </c>
      <c r="L11" s="37"/>
      <c r="M11" s="37" t="s">
        <v>917</v>
      </c>
      <c r="N11" s="37" t="s">
        <v>917</v>
      </c>
      <c r="O11" s="37"/>
      <c r="P11" s="37"/>
      <c r="Q11" s="37"/>
      <c r="R11" s="37"/>
      <c r="S11" s="37"/>
      <c r="T11" s="37" t="s">
        <v>917</v>
      </c>
      <c r="U11" s="310"/>
      <c r="V11" s="310"/>
      <c r="W11" s="37">
        <f>IF(OR($U11="",$V11=""),"",$V11-$U11+1)</f>
      </c>
      <c r="X11" s="37" t="s">
        <v>270</v>
      </c>
      <c r="Y11" s="37" t="s">
        <v>263</v>
      </c>
      <c r="Z11" s="211"/>
      <c r="AA11" s="69" t="s">
        <v>163</v>
      </c>
      <c r="AB11" s="37"/>
      <c r="AC11" s="37"/>
      <c r="AD11" s="37"/>
      <c r="AE11" s="37"/>
      <c r="AF11" s="37"/>
      <c r="AG11" s="37"/>
      <c r="AH11" s="37"/>
      <c r="AI11" s="37"/>
      <c r="AJ11" s="37"/>
      <c r="AK11" s="37"/>
      <c r="AL11" s="37"/>
      <c r="AM11" s="37"/>
      <c r="AN11" s="37"/>
      <c r="AO11" s="37"/>
      <c r="AP11" s="37"/>
      <c r="AQ11" s="34"/>
      <c r="AR11" s="34"/>
      <c r="AS11" s="34"/>
      <c r="AT11" s="34"/>
      <c r="AU11" s="60" t="s">
        <v>165</v>
      </c>
      <c r="AV11" s="60" t="s">
        <v>165</v>
      </c>
      <c r="AW11" s="60" t="s">
        <v>165</v>
      </c>
      <c r="AX11" s="34"/>
      <c r="AY11" s="34"/>
      <c r="AZ11" s="34"/>
      <c r="BA11" s="34"/>
      <c r="BB11" s="34"/>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row>
    <row r="12" spans="1:118" x14ac:dyDescent="0.2">
      <c r="A12" s="68" t="s">
        <v>137</v>
      </c>
      <c r="B12" s="37" t="s">
        <v>138</v>
      </c>
      <c r="C12" s="39" t="s">
        <v>159</v>
      </c>
      <c r="D12" s="39"/>
      <c r="E12" s="39" t="s">
        <v>166</v>
      </c>
      <c r="F12" s="39" t="s">
        <v>167</v>
      </c>
      <c r="G12" s="76" t="s">
        <v>164</v>
      </c>
      <c r="H12" s="37" t="s">
        <v>920</v>
      </c>
      <c r="I12" s="37"/>
      <c r="J12" s="37"/>
      <c r="K12" s="37" t="str">
        <f>IF(COUNTA($L12:$T12)=0,"",SUBSTITUTE(TRIM(IF($L12&lt;&gt;"","BHUX ","")&amp;IF($M12&lt;&gt;"","BHJ ","")&amp;IF($N12&lt;&gt;"","BHIA ","")&amp;IF($O12&lt;&gt;"","UNIX ","")&amp;IF($P12&lt;&gt;"","BIDW ","")&amp;IF($Q12&lt;&gt;"","BHUR ","")&amp;IF($R12&lt;&gt;"","DBA ","")&amp;IF($S12&lt;&gt;"","WEBC ","")&amp;IF($T12&lt;&gt;"","SEARCH ",""))," ",", "))</f>
        <v>BHJ, UNIX, SEARCH</v>
      </c>
      <c r="L12" s="37"/>
      <c r="M12" s="37" t="s">
        <v>917</v>
      </c>
      <c r="N12" s="37"/>
      <c r="O12" s="37" t="s">
        <v>917</v>
      </c>
      <c r="P12" s="37"/>
      <c r="Q12" s="37"/>
      <c r="R12" s="37"/>
      <c r="S12" s="37"/>
      <c r="T12" s="37" t="s">
        <v>917</v>
      </c>
      <c r="U12" s="310"/>
      <c r="V12" s="310"/>
      <c r="W12" s="37">
        <f>IF(OR($U12="",$V12=""),"",$V12-$U12+1)</f>
      </c>
      <c r="X12" s="37" t="s">
        <v>267</v>
      </c>
      <c r="Y12" s="37" t="s">
        <v>263</v>
      </c>
      <c r="Z12" s="211"/>
      <c r="AA12" s="69" t="s">
        <v>167</v>
      </c>
      <c r="AB12" s="37"/>
      <c r="AC12" s="37"/>
      <c r="AD12" s="37"/>
      <c r="AE12" s="37"/>
      <c r="AF12" s="37"/>
      <c r="AG12" s="37"/>
      <c r="AH12" s="37"/>
      <c r="AI12" s="37"/>
      <c r="AJ12" s="37"/>
      <c r="AK12" s="37"/>
      <c r="AL12" s="37"/>
      <c r="AM12" s="37"/>
      <c r="AN12" s="37"/>
      <c r="AO12" s="37"/>
      <c r="AP12" s="37"/>
      <c r="AQ12" s="34"/>
      <c r="AR12" s="34"/>
      <c r="AS12" s="34"/>
      <c r="AT12" s="34"/>
      <c r="AU12" s="34"/>
      <c r="AV12" s="34"/>
      <c r="AW12" s="34"/>
      <c r="AX12" s="60" t="s">
        <v>165</v>
      </c>
      <c r="AY12" s="60" t="s">
        <v>165</v>
      </c>
      <c r="AZ12" s="60" t="s">
        <v>165</v>
      </c>
      <c r="BA12" s="34"/>
      <c r="BB12" s="34"/>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row>
    <row r="13" spans="1:118" x14ac:dyDescent="0.2">
      <c r="A13" s="68" t="s">
        <v>137</v>
      </c>
      <c r="B13" s="37" t="s">
        <v>145</v>
      </c>
      <c r="C13" s="39" t="s">
        <v>150</v>
      </c>
      <c r="D13" s="37"/>
      <c r="E13" s="39" t="s">
        <v>168</v>
      </c>
      <c r="F13" s="39" t="s">
        <v>169</v>
      </c>
      <c r="G13" s="76" t="s">
        <v>164</v>
      </c>
      <c r="H13" s="37" t="s">
        <v>919</v>
      </c>
      <c r="I13" s="37"/>
      <c r="J13" s="37"/>
      <c r="K13" s="37" t="str">
        <f>IF(COUNTA($L13:$T13)=0,"",SUBSTITUTE(TRIM(IF($L13&lt;&gt;"","BHUX ","")&amp;IF($M13&lt;&gt;"","BHJ ","")&amp;IF($N13&lt;&gt;"","BHIA ","")&amp;IF($O13&lt;&gt;"","UNIX ","")&amp;IF($P13&lt;&gt;"","BIDW ","")&amp;IF($Q13&lt;&gt;"","BHUR ","")&amp;IF($R13&lt;&gt;"","DBA ","")&amp;IF($S13&lt;&gt;"","WEBC ","")&amp;IF($T13&lt;&gt;"","SEARCH ",""))," ",", "))</f>
        <v>BHJ, UNIX</v>
      </c>
      <c r="L13" s="37"/>
      <c r="M13" s="37" t="s">
        <v>917</v>
      </c>
      <c r="N13" s="37"/>
      <c r="O13" s="37" t="s">
        <v>917</v>
      </c>
      <c r="P13" s="37"/>
      <c r="Q13" s="37"/>
      <c r="R13" s="37"/>
      <c r="S13" s="37"/>
      <c r="T13" s="37"/>
      <c r="U13" s="310"/>
      <c r="V13" s="310"/>
      <c r="W13" s="37">
        <f>IF(OR($U13="",$V13=""),"",$V13-$U13+1)</f>
      </c>
      <c r="X13" s="37" t="s">
        <v>263</v>
      </c>
      <c r="Y13" s="37" t="s">
        <v>263</v>
      </c>
      <c r="Z13" s="211"/>
      <c r="AA13" s="69" t="s">
        <v>169</v>
      </c>
      <c r="AB13" s="37"/>
      <c r="AC13" s="37"/>
      <c r="AD13" s="37"/>
      <c r="AE13" s="37"/>
      <c r="AF13" s="37"/>
      <c r="AG13" s="37"/>
      <c r="AH13" s="37"/>
      <c r="AI13" s="37"/>
      <c r="AJ13" s="37"/>
      <c r="AK13" s="37"/>
      <c r="AL13" s="37"/>
      <c r="AM13" s="37"/>
      <c r="AN13" s="37"/>
      <c r="AO13" s="37"/>
      <c r="AP13" s="37"/>
      <c r="AQ13" s="34"/>
      <c r="AR13" s="34"/>
      <c r="AS13" s="34"/>
      <c r="AT13" s="37"/>
      <c r="AU13" s="37"/>
      <c r="AV13" s="37"/>
      <c r="AW13" s="67" t="s">
        <v>157</v>
      </c>
      <c r="AX13" s="67" t="s">
        <v>157</v>
      </c>
      <c r="AY13" s="67" t="s">
        <v>157</v>
      </c>
      <c r="AZ13" s="34"/>
      <c r="BA13" s="34"/>
      <c r="BB13" s="34"/>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row>
    <row r="14" spans="1:118" x14ac:dyDescent="0.2">
      <c r="A14" s="68" t="s">
        <v>137</v>
      </c>
      <c r="B14" s="37" t="s">
        <v>138</v>
      </c>
      <c r="C14" s="39" t="s">
        <v>170</v>
      </c>
      <c r="D14" s="39"/>
      <c r="E14" s="39" t="s">
        <v>171</v>
      </c>
      <c r="F14" s="39" t="s">
        <v>172</v>
      </c>
      <c r="G14" s="76" t="s">
        <v>164</v>
      </c>
      <c r="H14" s="37"/>
      <c r="I14" s="37"/>
      <c r="J14" s="37"/>
      <c r="K14" s="37" t="str">
        <f>IF(COUNTA($L14:$T14)=0,"",SUBSTITUTE(TRIM(IF($L14&lt;&gt;"","BHUX ","")&amp;IF($M14&lt;&gt;"","BHJ ","")&amp;IF($N14&lt;&gt;"","BHIA ","")&amp;IF($O14&lt;&gt;"","UNIX ","")&amp;IF($P14&lt;&gt;"","BIDW ","")&amp;IF($Q14&lt;&gt;"","BHUR ","")&amp;IF($R14&lt;&gt;"","DBA ","")&amp;IF($S14&lt;&gt;"","WEBC ","")&amp;IF($T14&lt;&gt;"","SEARCH ",""))," ",", "))</f>
        <v>BHJ, BHIA</v>
      </c>
      <c r="L14" s="37"/>
      <c r="M14" s="37" t="s">
        <v>917</v>
      </c>
      <c r="N14" s="37" t="s">
        <v>917</v>
      </c>
      <c r="O14" s="37"/>
      <c r="P14" s="37"/>
      <c r="Q14" s="37"/>
      <c r="R14" s="37"/>
      <c r="S14" s="37"/>
      <c r="T14" s="37"/>
      <c r="U14" s="310"/>
      <c r="V14" s="310"/>
      <c r="W14" s="37">
        <f>IF(OR($U14="",$V14=""),"",$V14-$U14+1)</f>
      </c>
      <c r="X14" s="37" t="s">
        <v>271</v>
      </c>
      <c r="Y14" s="37" t="s">
        <v>271</v>
      </c>
      <c r="Z14" s="211"/>
      <c r="AA14" s="69" t="s">
        <v>172</v>
      </c>
      <c r="AB14" s="37"/>
      <c r="AC14" s="37"/>
      <c r="AD14" s="37"/>
      <c r="AE14" s="37"/>
      <c r="AF14" s="37"/>
      <c r="AG14" s="37"/>
      <c r="AH14" s="37"/>
      <c r="AI14" s="37"/>
      <c r="AJ14" s="37"/>
      <c r="AK14" s="37"/>
      <c r="AL14" s="37"/>
      <c r="AM14" s="37"/>
      <c r="AN14" s="37"/>
      <c r="AO14" s="37"/>
      <c r="AP14" s="37"/>
      <c r="AQ14" s="34"/>
      <c r="AR14" s="34"/>
      <c r="AS14" s="60" t="s">
        <v>165</v>
      </c>
      <c r="AT14" s="37"/>
      <c r="AU14" s="37"/>
      <c r="AV14" s="34"/>
      <c r="AW14" s="60" t="s">
        <v>165</v>
      </c>
      <c r="AX14" s="60" t="s">
        <v>165</v>
      </c>
      <c r="AY14" s="34"/>
      <c r="AZ14" s="34"/>
      <c r="BA14" s="34"/>
      <c r="BB14" s="34"/>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row>
    <row r="15" spans="1:118" s="31" customFormat="1" x14ac:dyDescent="0.2">
      <c r="A15" s="68" t="s">
        <v>137</v>
      </c>
      <c r="B15" s="37" t="s">
        <v>138</v>
      </c>
      <c r="C15" s="39" t="s">
        <v>170</v>
      </c>
      <c r="D15" s="39"/>
      <c r="E15" s="39" t="s">
        <v>175</v>
      </c>
      <c r="F15" s="39" t="s">
        <v>176</v>
      </c>
      <c r="G15" s="76" t="s">
        <v>164</v>
      </c>
      <c r="H15" s="37"/>
      <c r="I15" s="37"/>
      <c r="J15" s="37"/>
      <c r="K15" s="37" t="str">
        <f>IF(COUNTA($L15:$T15)=0,"",SUBSTITUTE(TRIM(IF($L15&lt;&gt;"","BHUX ","")&amp;IF($M15&lt;&gt;"","BHJ ","")&amp;IF($N15&lt;&gt;"","BHIA ","")&amp;IF($O15&lt;&gt;"","UNIX ","")&amp;IF($P15&lt;&gt;"","BIDW ","")&amp;IF($Q15&lt;&gt;"","BHUR ","")&amp;IF($R15&lt;&gt;"","DBA ","")&amp;IF($S15&lt;&gt;"","WEBC ","")&amp;IF($T15&lt;&gt;"","SEARCH ",""))," ",", "))</f>
        <v>BIDW</v>
      </c>
      <c r="L15" s="37"/>
      <c r="M15" s="37"/>
      <c r="N15" s="37"/>
      <c r="O15" s="37"/>
      <c r="P15" s="37" t="s">
        <v>917</v>
      </c>
      <c r="Q15" s="37"/>
      <c r="R15" s="37"/>
      <c r="S15" s="37"/>
      <c r="T15" s="37"/>
      <c r="U15" s="310"/>
      <c r="V15" s="310"/>
      <c r="W15" s="37">
        <f>IF(OR($U15="",$V15=""),"",$V15-$U15+1)</f>
      </c>
      <c r="X15" s="37" t="s">
        <v>271</v>
      </c>
      <c r="Y15" s="37" t="s">
        <v>271</v>
      </c>
      <c r="Z15" s="211"/>
      <c r="AA15" s="69" t="s">
        <v>176</v>
      </c>
      <c r="AB15" s="34"/>
      <c r="AC15" s="37"/>
      <c r="AD15" s="37"/>
      <c r="AE15" s="34"/>
      <c r="AF15" s="34"/>
      <c r="AG15" s="60" t="s">
        <v>177</v>
      </c>
      <c r="AH15" s="60" t="s">
        <v>177</v>
      </c>
      <c r="AI15" s="37"/>
      <c r="AJ15" s="37"/>
      <c r="AK15" s="37"/>
      <c r="AL15" s="37"/>
      <c r="AM15" s="37"/>
      <c r="AN15" s="37"/>
      <c r="AO15" s="37"/>
      <c r="AP15" s="37"/>
      <c r="AQ15" s="34"/>
      <c r="AR15" s="34"/>
      <c r="AS15" s="34"/>
      <c r="AT15" s="34"/>
      <c r="AU15" s="34"/>
      <c r="AV15" s="37"/>
      <c r="AW15" s="37"/>
      <c r="AX15" s="34"/>
      <c r="AY15" s="34"/>
      <c r="AZ15" s="34"/>
      <c r="BA15" s="60" t="s">
        <v>177</v>
      </c>
      <c r="BB15" s="60" t="s">
        <v>177</v>
      </c>
      <c r="BC15" s="37"/>
      <c r="BD15" s="37"/>
      <c r="BE15" s="37"/>
      <c r="BF15" s="37"/>
      <c r="BG15" s="37"/>
      <c r="BH15" s="37"/>
      <c r="BI15" s="37"/>
      <c r="BJ15" s="37"/>
      <c r="BK15" s="37"/>
      <c r="BL15" s="37"/>
      <c r="BM15" s="3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row>
    <row r="16" spans="1:118" s="31" customFormat="1" x14ac:dyDescent="0.2">
      <c r="A16" s="68" t="s">
        <v>137</v>
      </c>
      <c r="B16" s="37" t="s">
        <v>138</v>
      </c>
      <c r="C16" s="39" t="s">
        <v>159</v>
      </c>
      <c r="D16" s="39"/>
      <c r="E16" s="39" t="s">
        <v>178</v>
      </c>
      <c r="F16" s="39" t="s">
        <v>179</v>
      </c>
      <c r="G16" s="76" t="s">
        <v>182</v>
      </c>
      <c r="H16" s="37"/>
      <c r="I16" s="37"/>
      <c r="J16" s="37"/>
      <c r="K16" s="37" t="str">
        <f>IF(COUNTA($L16:$T16)=0,"",SUBSTITUTE(TRIM(IF($L16&lt;&gt;"","BHUX ","")&amp;IF($M16&lt;&gt;"","BHJ ","")&amp;IF($N16&lt;&gt;"","BHIA ","")&amp;IF($O16&lt;&gt;"","UNIX ","")&amp;IF($P16&lt;&gt;"","BIDW ","")&amp;IF($Q16&lt;&gt;"","BHUR ","")&amp;IF($R16&lt;&gt;"","DBA ","")&amp;IF($S16&lt;&gt;"","WEBC ","")&amp;IF($T16&lt;&gt;"","SEARCH ",""))," ",", "))</f>
        <v>BHJ, BHIA, SEARCH</v>
      </c>
      <c r="L16" s="37"/>
      <c r="M16" s="37" t="s">
        <v>917</v>
      </c>
      <c r="N16" s="37" t="s">
        <v>917</v>
      </c>
      <c r="O16" s="37"/>
      <c r="P16" s="37"/>
      <c r="Q16" s="37"/>
      <c r="R16" s="37"/>
      <c r="S16" s="37"/>
      <c r="T16" s="37" t="s">
        <v>917</v>
      </c>
      <c r="U16" s="310"/>
      <c r="V16" s="310"/>
      <c r="W16" s="37">
        <f>IF(OR($U16="",$V16=""),"",$V16-$U16+1)</f>
      </c>
      <c r="X16" s="37" t="s">
        <v>273</v>
      </c>
      <c r="Y16" s="37" t="s">
        <v>273</v>
      </c>
      <c r="Z16" s="211"/>
      <c r="AA16" s="69" t="s">
        <v>179</v>
      </c>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row>
    <row r="17" spans="1:118" x14ac:dyDescent="0.2">
      <c r="A17" s="68" t="s">
        <v>137</v>
      </c>
      <c r="B17" s="37" t="s">
        <v>138</v>
      </c>
      <c r="C17" s="39" t="s">
        <v>170</v>
      </c>
      <c r="D17" s="39"/>
      <c r="E17" s="39" t="s">
        <v>180</v>
      </c>
      <c r="F17" s="39" t="s">
        <v>181</v>
      </c>
      <c r="G17" s="37" t="s">
        <v>182</v>
      </c>
      <c r="H17" s="57" t="s">
        <v>815</v>
      </c>
      <c r="I17" s="57"/>
      <c r="J17" s="37"/>
      <c r="K17" s="37" t="str">
        <f>IF(COUNTA($L17:$T17)=0,"",SUBSTITUTE(TRIM(IF($L17&lt;&gt;"","BHUX ","")&amp;IF($M17&lt;&gt;"","BHJ ","")&amp;IF($N17&lt;&gt;"","BHIA ","")&amp;IF($O17&lt;&gt;"","UNIX ","")&amp;IF($P17&lt;&gt;"","BIDW ","")&amp;IF($Q17&lt;&gt;"","BHUR ","")&amp;IF($R17&lt;&gt;"","DBA ","")&amp;IF($S17&lt;&gt;"","WEBC ","")&amp;IF($T17&lt;&gt;"","SEARCH ",""))," ",", "))</f>
        <v>BHJ, BHIA, SEARCH</v>
      </c>
      <c r="L17" s="57"/>
      <c r="M17" s="37" t="s">
        <v>917</v>
      </c>
      <c r="N17" s="37" t="s">
        <v>917</v>
      </c>
      <c r="O17" s="57"/>
      <c r="P17" s="57"/>
      <c r="Q17" s="57"/>
      <c r="R17" s="57"/>
      <c r="S17" s="57"/>
      <c r="T17" s="37" t="s">
        <v>917</v>
      </c>
      <c r="U17" s="310"/>
      <c r="V17" s="310"/>
      <c r="W17" s="37">
        <f>IF(OR($U17="",$V17=""),"",$V17-$U17+1)</f>
      </c>
      <c r="X17" s="37" t="s">
        <v>273</v>
      </c>
      <c r="Y17" s="37" t="s">
        <v>273</v>
      </c>
      <c r="Z17" s="212"/>
      <c r="AA17" s="69" t="s">
        <v>275</v>
      </c>
      <c r="AB17" s="37"/>
      <c r="AC17" s="37"/>
      <c r="AD17" s="37"/>
      <c r="AE17" s="37"/>
      <c r="AF17" s="37"/>
      <c r="AG17" s="37"/>
      <c r="AH17" s="37"/>
      <c r="AI17" s="37"/>
      <c r="AJ17" s="37"/>
      <c r="AK17" s="37"/>
      <c r="AL17" s="37"/>
      <c r="AM17" s="37"/>
      <c r="AN17" s="37"/>
      <c r="AO17" s="37"/>
      <c r="AP17" s="37"/>
      <c r="AQ17" s="34"/>
      <c r="AR17" s="60" t="s">
        <v>144</v>
      </c>
      <c r="AS17" s="60" t="s">
        <v>144</v>
      </c>
      <c r="AT17" s="60" t="s">
        <v>144</v>
      </c>
      <c r="AU17" s="60" t="s">
        <v>144</v>
      </c>
      <c r="AV17" s="34"/>
      <c r="AW17" s="34"/>
      <c r="AX17" s="34"/>
      <c r="AY17" s="34"/>
      <c r="AZ17" s="34"/>
      <c r="BA17" s="34"/>
      <c r="BB17" s="34"/>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row>
    <row r="18" spans="1:118" x14ac:dyDescent="0.2">
      <c r="A18" s="68" t="s">
        <v>137</v>
      </c>
      <c r="B18" s="37" t="s">
        <v>145</v>
      </c>
      <c r="C18" s="39" t="s">
        <v>155</v>
      </c>
      <c r="D18" s="37"/>
      <c r="E18" s="39" t="s">
        <v>183</v>
      </c>
      <c r="F18" s="39" t="s">
        <v>184</v>
      </c>
      <c r="G18" s="37" t="s">
        <v>182</v>
      </c>
      <c r="H18" s="57" t="s">
        <v>815</v>
      </c>
      <c r="I18" s="57"/>
      <c r="J18" s="37"/>
      <c r="K18" s="37" t="str">
        <f>IF(COUNTA($L18:$T18)=0,"",SUBSTITUTE(TRIM(IF($L18&lt;&gt;"","BHUX ","")&amp;IF($M18&lt;&gt;"","BHJ ","")&amp;IF($N18&lt;&gt;"","BHIA ","")&amp;IF($O18&lt;&gt;"","UNIX ","")&amp;IF($P18&lt;&gt;"","BIDW ","")&amp;IF($Q18&lt;&gt;"","BHUR ","")&amp;IF($R18&lt;&gt;"","DBA ","")&amp;IF($S18&lt;&gt;"","WEBC ","")&amp;IF($T18&lt;&gt;"","SEARCH ",""))," ",", "))</f>
        <v>BHJ</v>
      </c>
      <c r="L18" s="57"/>
      <c r="M18" s="37" t="s">
        <v>917</v>
      </c>
      <c r="N18" s="57"/>
      <c r="O18" s="57"/>
      <c r="P18" s="57"/>
      <c r="Q18" s="57"/>
      <c r="R18" s="57"/>
      <c r="S18" s="57"/>
      <c r="T18" s="57"/>
      <c r="U18" s="310"/>
      <c r="V18" s="310"/>
      <c r="W18" s="37">
        <f>IF(OR($U18="",$V18=""),"",$V18-$U18+1)</f>
      </c>
      <c r="X18" s="37" t="s">
        <v>273</v>
      </c>
      <c r="Y18" s="37" t="s">
        <v>273</v>
      </c>
      <c r="Z18" s="212"/>
      <c r="AA18" s="69" t="s">
        <v>276</v>
      </c>
      <c r="AB18" s="37"/>
      <c r="AC18" s="37"/>
      <c r="AD18" s="37"/>
      <c r="AE18" s="37"/>
      <c r="AF18" s="37"/>
      <c r="AG18" s="37"/>
      <c r="AH18" s="37"/>
      <c r="AI18" s="37"/>
      <c r="AJ18" s="37"/>
      <c r="AK18" s="37"/>
      <c r="AL18" s="37"/>
      <c r="AM18" s="37"/>
      <c r="AN18" s="37"/>
      <c r="AO18" s="37"/>
      <c r="AP18" s="37"/>
      <c r="AQ18" s="34"/>
      <c r="AR18" s="34"/>
      <c r="AS18" s="34"/>
      <c r="AT18" s="67" t="s">
        <v>144</v>
      </c>
      <c r="AU18" s="67" t="s">
        <v>144</v>
      </c>
      <c r="AV18" s="67" t="s">
        <v>144</v>
      </c>
      <c r="AW18" s="67" t="s">
        <v>144</v>
      </c>
      <c r="AX18" s="34"/>
      <c r="AY18" s="34"/>
      <c r="AZ18" s="34"/>
      <c r="BA18" s="34"/>
      <c r="BB18" s="34"/>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row>
    <row r="19" spans="1:118" x14ac:dyDescent="0.2">
      <c r="A19" s="68" t="s">
        <v>137</v>
      </c>
      <c r="B19" s="37" t="s">
        <v>138</v>
      </c>
      <c r="C19" s="39" t="s">
        <v>170</v>
      </c>
      <c r="D19" s="37" t="s">
        <v>185</v>
      </c>
      <c r="E19" s="39" t="s">
        <v>186</v>
      </c>
      <c r="F19" s="39" t="s">
        <v>187</v>
      </c>
      <c r="G19" s="37" t="s">
        <v>182</v>
      </c>
      <c r="H19" s="37" t="s">
        <v>703</v>
      </c>
      <c r="I19" s="37"/>
      <c r="J19" s="37"/>
      <c r="K19" s="37" t="str">
        <f>IF(COUNTA($L19:$T19)=0,"",SUBSTITUTE(TRIM(IF($L19&lt;&gt;"","BHUX ","")&amp;IF($M19&lt;&gt;"","BHJ ","")&amp;IF($N19&lt;&gt;"","BHIA ","")&amp;IF($O19&lt;&gt;"","UNIX ","")&amp;IF($P19&lt;&gt;"","BIDW ","")&amp;IF($Q19&lt;&gt;"","BHUR ","")&amp;IF($R19&lt;&gt;"","DBA ","")&amp;IF($S19&lt;&gt;"","WEBC ","")&amp;IF($T19&lt;&gt;"","SEARCH ",""))," ",", "))</f>
        <v>BHJ, BHIA</v>
      </c>
      <c r="L19" s="37"/>
      <c r="M19" s="37" t="s">
        <v>917</v>
      </c>
      <c r="N19" s="37" t="s">
        <v>917</v>
      </c>
      <c r="O19" s="37"/>
      <c r="P19" s="37"/>
      <c r="Q19" s="37"/>
      <c r="R19" s="37"/>
      <c r="S19" s="37"/>
      <c r="T19" s="37"/>
      <c r="U19" s="310"/>
      <c r="V19" s="310"/>
      <c r="W19" s="37">
        <f>IF(OR($U19="",$V19=""),"",$V19-$U19+1)</f>
      </c>
      <c r="X19" s="37" t="s">
        <v>270</v>
      </c>
      <c r="Y19" s="37" t="s">
        <v>270</v>
      </c>
      <c r="Z19" s="211"/>
      <c r="AA19" s="69" t="s">
        <v>277</v>
      </c>
      <c r="AB19" s="37"/>
      <c r="AC19" s="37"/>
      <c r="AD19" s="37"/>
      <c r="AE19" s="37"/>
      <c r="AF19" s="37"/>
      <c r="AG19" s="37"/>
      <c r="AH19" s="37"/>
      <c r="AI19" s="37"/>
      <c r="AJ19" s="37"/>
      <c r="AK19" s="37"/>
      <c r="AL19" s="37"/>
      <c r="AM19" s="37"/>
      <c r="AN19" s="37"/>
      <c r="AO19" s="37"/>
      <c r="AP19" s="37"/>
      <c r="AQ19" s="37"/>
      <c r="AR19" s="37"/>
      <c r="AS19" s="37"/>
      <c r="AT19" s="37"/>
      <c r="AU19" s="60" t="s">
        <v>157</v>
      </c>
      <c r="AV19" s="60" t="s">
        <v>157</v>
      </c>
      <c r="AW19" s="60" t="s">
        <v>157</v>
      </c>
      <c r="AX19" s="60" t="s">
        <v>157</v>
      </c>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row>
    <row r="20" spans="1:118" x14ac:dyDescent="0.2">
      <c r="A20" s="68" t="s">
        <v>137</v>
      </c>
      <c r="B20" s="37" t="s">
        <v>145</v>
      </c>
      <c r="C20" s="39" t="s">
        <v>155</v>
      </c>
      <c r="D20" s="37"/>
      <c r="E20" s="39" t="s">
        <v>173</v>
      </c>
      <c r="F20" s="39" t="s">
        <v>174</v>
      </c>
      <c r="G20" s="213" t="s">
        <v>191</v>
      </c>
      <c r="H20" s="37" t="s">
        <v>703</v>
      </c>
      <c r="I20" s="37"/>
      <c r="J20" s="37"/>
      <c r="K20" s="37" t="str">
        <f>IF(COUNTA($L20:$T20)=0,"",SUBSTITUTE(TRIM(IF($L20&lt;&gt;"","BHUX ","")&amp;IF($M20&lt;&gt;"","BHJ ","")&amp;IF($N20&lt;&gt;"","BHIA ","")&amp;IF($O20&lt;&gt;"","UNIX ","")&amp;IF($P20&lt;&gt;"","BIDW ","")&amp;IF($Q20&lt;&gt;"","BHUR ","")&amp;IF($R20&lt;&gt;"","DBA ","")&amp;IF($S20&lt;&gt;"","WEBC ","")&amp;IF($T20&lt;&gt;"","SEARCH ",""))," ",", "))</f>
        <v>UNIX</v>
      </c>
      <c r="L20" s="37"/>
      <c r="M20" s="37"/>
      <c r="N20" s="37"/>
      <c r="O20" s="37" t="s">
        <v>917</v>
      </c>
      <c r="P20" s="37"/>
      <c r="Q20" s="37"/>
      <c r="R20" s="37"/>
      <c r="S20" s="37"/>
      <c r="T20" s="37"/>
      <c r="U20" s="310"/>
      <c r="V20" s="310"/>
      <c r="W20" s="37">
        <f>IF(OR($U20="",$V20=""),"",$V20-$U20+1)</f>
      </c>
      <c r="X20" s="37" t="s">
        <v>273</v>
      </c>
      <c r="Y20" s="37" t="s">
        <v>273</v>
      </c>
      <c r="Z20" s="211"/>
      <c r="AA20" s="69" t="s">
        <v>174</v>
      </c>
      <c r="AB20" s="37"/>
      <c r="AC20" s="37"/>
      <c r="AD20" s="37"/>
      <c r="AE20" s="37"/>
      <c r="AF20" s="37"/>
      <c r="AG20" s="37"/>
      <c r="AH20" s="37"/>
      <c r="AI20" s="37"/>
      <c r="AJ20" s="37"/>
      <c r="AK20" s="37"/>
      <c r="AL20" s="37"/>
      <c r="AM20" s="37"/>
      <c r="AN20" s="37"/>
      <c r="AO20" s="37"/>
      <c r="AP20" s="37"/>
      <c r="AQ20" s="37"/>
      <c r="AR20" s="37"/>
      <c r="AS20" s="67" t="s">
        <v>157</v>
      </c>
      <c r="AT20" s="34"/>
      <c r="AU20" s="67" t="s">
        <v>157</v>
      </c>
      <c r="AV20" s="67" t="s">
        <v>157</v>
      </c>
      <c r="AW20" s="67" t="s">
        <v>157</v>
      </c>
      <c r="AX20" s="34"/>
      <c r="AY20" s="34"/>
      <c r="AZ20" s="34"/>
      <c r="BA20" s="34"/>
      <c r="BB20" s="34"/>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row>
    <row r="21" spans="1:118" x14ac:dyDescent="0.2">
      <c r="A21" s="68" t="s">
        <v>137</v>
      </c>
      <c r="B21" s="37" t="s">
        <v>188</v>
      </c>
      <c r="C21" s="39" t="s">
        <v>185</v>
      </c>
      <c r="D21" s="37"/>
      <c r="E21" s="39" t="s">
        <v>189</v>
      </c>
      <c r="F21" s="39" t="s">
        <v>190</v>
      </c>
      <c r="G21" s="37" t="s">
        <v>191</v>
      </c>
      <c r="H21" s="37" t="s">
        <v>703</v>
      </c>
      <c r="I21" s="37" t="s">
        <v>737</v>
      </c>
      <c r="J21" s="37"/>
      <c r="K21" s="37" t="str">
        <f>IF(COUNTA($L21:$T21)=0,"",SUBSTITUTE(TRIM(IF($L21&lt;&gt;"","BHUX ","")&amp;IF($M21&lt;&gt;"","BHJ ","")&amp;IF($N21&lt;&gt;"","BHIA ","")&amp;IF($O21&lt;&gt;"","UNIX ","")&amp;IF($P21&lt;&gt;"","BIDW ","")&amp;IF($Q21&lt;&gt;"","BHUR ","")&amp;IF($R21&lt;&gt;"","DBA ","")&amp;IF($S21&lt;&gt;"","WEBC ","")&amp;IF($T21&lt;&gt;"","SEARCH ",""))," ",", "))</f>
        <v>BHJ, BHIA, SEARCH</v>
      </c>
      <c r="L21" s="37"/>
      <c r="M21" s="37" t="s">
        <v>917</v>
      </c>
      <c r="N21" s="37" t="s">
        <v>917</v>
      </c>
      <c r="O21" s="37"/>
      <c r="P21" s="37"/>
      <c r="Q21" s="37"/>
      <c r="R21" s="37"/>
      <c r="S21" s="37"/>
      <c r="T21" s="37" t="s">
        <v>917</v>
      </c>
      <c r="U21" s="310"/>
      <c r="V21" s="310"/>
      <c r="W21" s="37">
        <f>IF(OR($U21="",$V21=""),"",$V21-$U21+1)</f>
      </c>
      <c r="X21" s="37" t="s">
        <v>273</v>
      </c>
      <c r="Y21" s="37" t="s">
        <v>273</v>
      </c>
      <c r="Z21" s="211"/>
      <c r="AA21" s="69" t="s">
        <v>278</v>
      </c>
      <c r="AB21" s="37"/>
      <c r="AC21" s="37"/>
      <c r="AD21" s="37"/>
      <c r="AE21" s="37"/>
      <c r="AF21" s="37"/>
      <c r="AG21" s="37"/>
      <c r="AH21" s="37"/>
      <c r="AI21" s="37"/>
      <c r="AJ21" s="37"/>
      <c r="AK21" s="37"/>
      <c r="AL21" s="37"/>
      <c r="AM21" s="37"/>
      <c r="AN21" s="37"/>
      <c r="AO21" s="37"/>
      <c r="AP21" s="37"/>
      <c r="AQ21" s="34"/>
      <c r="AR21" s="34"/>
      <c r="AS21" s="34"/>
      <c r="AT21" s="34"/>
      <c r="AU21" s="78" t="s">
        <v>157</v>
      </c>
      <c r="AV21" s="78" t="s">
        <v>157</v>
      </c>
      <c r="AW21" s="78" t="s">
        <v>157</v>
      </c>
      <c r="AX21" s="78" t="s">
        <v>157</v>
      </c>
      <c r="AY21" s="34"/>
      <c r="AZ21" s="34"/>
      <c r="BA21" s="34"/>
      <c r="BB21" s="34"/>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row>
    <row r="22" spans="1:118" x14ac:dyDescent="0.2">
      <c r="A22" s="68" t="s">
        <v>137</v>
      </c>
      <c r="B22" s="37" t="s">
        <v>138</v>
      </c>
      <c r="C22" s="39" t="s">
        <v>140</v>
      </c>
      <c r="D22" s="39"/>
      <c r="E22" s="39" t="s">
        <v>192</v>
      </c>
      <c r="F22" s="39" t="s">
        <v>193</v>
      </c>
      <c r="G22" s="37" t="s">
        <v>191</v>
      </c>
      <c r="H22" s="37"/>
      <c r="I22" s="37"/>
      <c r="J22" s="37"/>
      <c r="K22" s="37" t="str">
        <f>IF(COUNTA($L22:$T22)=0,"",SUBSTITUTE(TRIM(IF($L22&lt;&gt;"","BHUX ","")&amp;IF($M22&lt;&gt;"","BHJ ","")&amp;IF($N22&lt;&gt;"","BHIA ","")&amp;IF($O22&lt;&gt;"","UNIX ","")&amp;IF($P22&lt;&gt;"","BIDW ","")&amp;IF($Q22&lt;&gt;"","BHUR ","")&amp;IF($R22&lt;&gt;"","DBA ","")&amp;IF($S22&lt;&gt;"","WEBC ","")&amp;IF($T22&lt;&gt;"","SEARCH ",""))," ",", "))</f>
        <v>BHJ</v>
      </c>
      <c r="L22" s="37"/>
      <c r="M22" s="37" t="s">
        <v>917</v>
      </c>
      <c r="N22" s="37"/>
      <c r="O22" s="37"/>
      <c r="P22" s="37"/>
      <c r="Q22" s="37"/>
      <c r="R22" s="37"/>
      <c r="S22" s="37"/>
      <c r="T22" s="37"/>
      <c r="U22" s="310"/>
      <c r="V22" s="310"/>
      <c r="W22" s="37">
        <f>IF(OR($U22="",$V22=""),"",$V22-$U22+1)</f>
      </c>
      <c r="X22" s="37" t="s">
        <v>273</v>
      </c>
      <c r="Y22" s="37" t="s">
        <v>273</v>
      </c>
      <c r="Z22" s="211"/>
      <c r="AA22" s="69" t="s">
        <v>279</v>
      </c>
      <c r="AB22" s="37"/>
      <c r="AC22" s="37"/>
      <c r="AD22" s="37"/>
      <c r="AE22" s="37"/>
      <c r="AF22" s="37"/>
      <c r="AG22" s="37"/>
      <c r="AH22" s="37"/>
      <c r="AI22" s="37"/>
      <c r="AJ22" s="37"/>
      <c r="AK22" s="37"/>
      <c r="AL22" s="37"/>
      <c r="AM22" s="37"/>
      <c r="AN22" s="37"/>
      <c r="AO22" s="36" t="s">
        <v>165</v>
      </c>
      <c r="AP22" s="60" t="s">
        <v>165</v>
      </c>
      <c r="AQ22" s="60" t="s">
        <v>165</v>
      </c>
      <c r="AR22" s="60" t="s">
        <v>165</v>
      </c>
      <c r="AS22" s="34"/>
      <c r="AT22" s="34"/>
      <c r="AU22" s="34"/>
      <c r="AV22" s="34"/>
      <c r="AW22" s="34"/>
      <c r="AX22" s="34"/>
      <c r="AY22" s="34"/>
      <c r="AZ22" s="34"/>
      <c r="BA22" s="34"/>
      <c r="BB22" s="34"/>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row>
    <row r="23" spans="1:118" x14ac:dyDescent="0.2">
      <c r="A23" s="68" t="s">
        <v>137</v>
      </c>
      <c r="B23" s="37" t="s">
        <v>138</v>
      </c>
      <c r="C23" s="39" t="s">
        <v>140</v>
      </c>
      <c r="D23" s="39"/>
      <c r="E23" s="39" t="s">
        <v>194</v>
      </c>
      <c r="F23" s="39" t="s">
        <v>195</v>
      </c>
      <c r="G23" s="37" t="s">
        <v>191</v>
      </c>
      <c r="H23" s="37"/>
      <c r="I23" s="37"/>
      <c r="J23" s="37"/>
      <c r="K23" s="37" t="str">
        <f>IF(COUNTA($L23:$T23)=0,"",SUBSTITUTE(TRIM(IF($L23&lt;&gt;"","BHUX ","")&amp;IF($M23&lt;&gt;"","BHJ ","")&amp;IF($N23&lt;&gt;"","BHIA ","")&amp;IF($O23&lt;&gt;"","UNIX ","")&amp;IF($P23&lt;&gt;"","BIDW ","")&amp;IF($Q23&lt;&gt;"","BHUR ","")&amp;IF($R23&lt;&gt;"","DBA ","")&amp;IF($S23&lt;&gt;"","WEBC ","")&amp;IF($T23&lt;&gt;"","SEARCH ",""))," ",", "))</f>
        <v>BHJ</v>
      </c>
      <c r="L23" s="37"/>
      <c r="M23" s="37" t="s">
        <v>917</v>
      </c>
      <c r="N23" s="37"/>
      <c r="O23" s="37"/>
      <c r="P23" s="37"/>
      <c r="Q23" s="37"/>
      <c r="R23" s="37"/>
      <c r="S23" s="37"/>
      <c r="T23" s="37"/>
      <c r="U23" s="310"/>
      <c r="V23" s="310"/>
      <c r="W23" s="37">
        <f>IF(OR($U23="",$V23=""),"",$V23-$U23+1)</f>
      </c>
      <c r="X23" s="37" t="s">
        <v>263</v>
      </c>
      <c r="Y23" s="37" t="s">
        <v>265</v>
      </c>
      <c r="Z23" s="211"/>
      <c r="AA23" s="69" t="s">
        <v>280</v>
      </c>
      <c r="AB23" s="33"/>
      <c r="AC23" s="33" t="s">
        <v>165</v>
      </c>
      <c r="AD23" s="33" t="s">
        <v>165</v>
      </c>
      <c r="AE23" s="33" t="s">
        <v>165</v>
      </c>
      <c r="AF23" s="33" t="s">
        <v>165</v>
      </c>
      <c r="AG23" s="33" t="s">
        <v>165</v>
      </c>
      <c r="AH23" s="33" t="s">
        <v>165</v>
      </c>
      <c r="AI23" s="36" t="s">
        <v>165</v>
      </c>
      <c r="AJ23" s="36" t="s">
        <v>165</v>
      </c>
      <c r="AK23" s="36" t="s">
        <v>165</v>
      </c>
      <c r="AL23" s="36" t="s">
        <v>165</v>
      </c>
      <c r="AM23" s="36" t="s">
        <v>165</v>
      </c>
      <c r="AN23" s="36" t="s">
        <v>165</v>
      </c>
      <c r="AO23" s="36" t="s">
        <v>165</v>
      </c>
      <c r="AP23" s="60" t="s">
        <v>165</v>
      </c>
      <c r="AQ23" s="60" t="s">
        <v>165</v>
      </c>
      <c r="AR23" s="60" t="s">
        <v>165</v>
      </c>
      <c r="AS23" s="60" t="s">
        <v>165</v>
      </c>
      <c r="AT23" s="60" t="s">
        <v>165</v>
      </c>
      <c r="AU23" s="60" t="s">
        <v>165</v>
      </c>
      <c r="AV23" s="60" t="s">
        <v>165</v>
      </c>
      <c r="AW23" s="60" t="s">
        <v>165</v>
      </c>
      <c r="AX23" s="60" t="s">
        <v>165</v>
      </c>
      <c r="AY23" s="60" t="s">
        <v>165</v>
      </c>
      <c r="AZ23" s="60" t="s">
        <v>165</v>
      </c>
      <c r="BA23" s="34"/>
      <c r="BB23" s="34"/>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row>
    <row r="24" spans="1:118" x14ac:dyDescent="0.2">
      <c r="A24" s="68" t="s">
        <v>137</v>
      </c>
      <c r="B24" s="37" t="s">
        <v>138</v>
      </c>
      <c r="C24" s="39" t="s">
        <v>170</v>
      </c>
      <c r="D24" s="39"/>
      <c r="E24" s="39" t="s">
        <v>196</v>
      </c>
      <c r="F24" s="39" t="s">
        <v>197</v>
      </c>
      <c r="G24" s="37" t="s">
        <v>191</v>
      </c>
      <c r="H24" s="37" t="s">
        <v>721</v>
      </c>
      <c r="I24" s="37"/>
      <c r="J24" s="37"/>
      <c r="K24" s="37" t="str">
        <f>IF(COUNTA($L24:$T24)=0,"",SUBSTITUTE(TRIM(IF($L24&lt;&gt;"","BHUX ","")&amp;IF($M24&lt;&gt;"","BHJ ","")&amp;IF($N24&lt;&gt;"","BHIA ","")&amp;IF($O24&lt;&gt;"","UNIX ","")&amp;IF($P24&lt;&gt;"","BIDW ","")&amp;IF($Q24&lt;&gt;"","BHUR ","")&amp;IF($R24&lt;&gt;"","DBA ","")&amp;IF($S24&lt;&gt;"","WEBC ","")&amp;IF($T24&lt;&gt;"","SEARCH ",""))," ",", "))</f>
        <v>BHJ</v>
      </c>
      <c r="L24" s="37"/>
      <c r="M24" s="37" t="s">
        <v>917</v>
      </c>
      <c r="N24" s="37"/>
      <c r="O24" s="37"/>
      <c r="P24" s="37"/>
      <c r="Q24" s="37"/>
      <c r="R24" s="37"/>
      <c r="S24" s="37"/>
      <c r="T24" s="37"/>
      <c r="U24" s="310"/>
      <c r="V24" s="310"/>
      <c r="W24" s="37">
        <f>IF(OR($U24="",$V24=""),"",$V24-$U24+1)</f>
      </c>
      <c r="X24" s="37" t="s">
        <v>270</v>
      </c>
      <c r="Y24" s="37" t="s">
        <v>263</v>
      </c>
      <c r="Z24" s="211"/>
      <c r="AA24" s="69" t="s">
        <v>281</v>
      </c>
      <c r="AB24" s="37"/>
      <c r="AC24" s="37"/>
      <c r="AD24" s="37"/>
      <c r="AE24" s="37"/>
      <c r="AF24" s="37"/>
      <c r="AG24" s="37"/>
      <c r="AH24" s="37"/>
      <c r="AI24" s="37"/>
      <c r="AJ24" s="37"/>
      <c r="AK24" s="37"/>
      <c r="AL24" s="37"/>
      <c r="AM24" s="37"/>
      <c r="AN24" s="37"/>
      <c r="AO24" s="38"/>
      <c r="AP24" s="60" t="s">
        <v>165</v>
      </c>
      <c r="AQ24" s="60" t="s">
        <v>165</v>
      </c>
      <c r="AR24" s="60" t="s">
        <v>165</v>
      </c>
      <c r="AS24" s="60" t="s">
        <v>165</v>
      </c>
      <c r="AT24" s="60" t="s">
        <v>165</v>
      </c>
      <c r="AU24" s="60" t="s">
        <v>165</v>
      </c>
      <c r="AV24" s="60" t="s">
        <v>165</v>
      </c>
      <c r="AW24" s="60" t="s">
        <v>165</v>
      </c>
      <c r="AX24" s="34"/>
      <c r="AY24" s="34"/>
      <c r="AZ24" s="34"/>
      <c r="BA24" s="34"/>
      <c r="BB24" s="34"/>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row>
    <row r="25" spans="1:118" x14ac:dyDescent="0.2">
      <c r="A25" s="68" t="s">
        <v>137</v>
      </c>
      <c r="B25" s="37" t="s">
        <v>138</v>
      </c>
      <c r="C25" s="39" t="s">
        <v>170</v>
      </c>
      <c r="D25" s="39"/>
      <c r="E25" s="93" t="s">
        <v>198</v>
      </c>
      <c r="F25" s="91" t="s">
        <v>199</v>
      </c>
      <c r="G25" s="37" t="s">
        <v>191</v>
      </c>
      <c r="H25" s="37" t="s">
        <v>703</v>
      </c>
      <c r="I25" s="37"/>
      <c r="J25" s="37"/>
      <c r="K25" s="37" t="str">
        <f>IF(COUNTA($L25:$T25)=0,"",SUBSTITUTE(TRIM(IF($L25&lt;&gt;"","BHUX ","")&amp;IF($M25&lt;&gt;"","BHJ ","")&amp;IF($N25&lt;&gt;"","BHIA ","")&amp;IF($O25&lt;&gt;"","UNIX ","")&amp;IF($P25&lt;&gt;"","BIDW ","")&amp;IF($Q25&lt;&gt;"","BHUR ","")&amp;IF($R25&lt;&gt;"","DBA ","")&amp;IF($S25&lt;&gt;"","WEBC ","")&amp;IF($T25&lt;&gt;"","SEARCH ",""))," ",", "))</f>
        <v>BHJ</v>
      </c>
      <c r="L25" s="37"/>
      <c r="M25" s="37" t="s">
        <v>917</v>
      </c>
      <c r="N25" s="37"/>
      <c r="O25" s="37"/>
      <c r="P25" s="37"/>
      <c r="Q25" s="37"/>
      <c r="R25" s="37"/>
      <c r="S25" s="37"/>
      <c r="T25" s="37"/>
      <c r="U25" s="310"/>
      <c r="V25" s="310"/>
      <c r="W25" s="37">
        <f>IF(OR($U25="",$V25=""),"",$V25-$U25+1)</f>
      </c>
      <c r="X25" s="37" t="s">
        <v>270</v>
      </c>
      <c r="Y25" s="37" t="s">
        <v>263</v>
      </c>
      <c r="Z25" s="211"/>
      <c r="AA25" s="69" t="s">
        <v>281</v>
      </c>
      <c r="AB25" s="63"/>
      <c r="AC25" s="37"/>
      <c r="AD25" s="37"/>
      <c r="AE25" s="37"/>
      <c r="AF25" s="37"/>
      <c r="AG25" s="37"/>
      <c r="AH25" s="37"/>
      <c r="AI25" s="37"/>
      <c r="AJ25" s="37"/>
      <c r="AK25" s="37"/>
      <c r="AL25" s="37"/>
      <c r="AM25" s="37"/>
      <c r="AN25" s="37"/>
      <c r="AO25" s="37"/>
      <c r="AP25" s="37"/>
      <c r="AQ25" s="60" t="s">
        <v>157</v>
      </c>
      <c r="AR25" s="60" t="s">
        <v>157</v>
      </c>
      <c r="AS25" s="60" t="s">
        <v>157</v>
      </c>
      <c r="AT25" s="60" t="s">
        <v>157</v>
      </c>
      <c r="AU25" s="60" t="s">
        <v>157</v>
      </c>
      <c r="AV25" s="60" t="s">
        <v>157</v>
      </c>
      <c r="AW25" s="60" t="s">
        <v>157</v>
      </c>
      <c r="AX25" s="34"/>
      <c r="AY25" s="34"/>
      <c r="AZ25" s="34"/>
      <c r="BA25" s="34"/>
      <c r="BB25" s="34"/>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row>
    <row r="26" spans="1:118" x14ac:dyDescent="0.2">
      <c r="A26" s="68" t="s">
        <v>137</v>
      </c>
      <c r="B26" s="37" t="s">
        <v>138</v>
      </c>
      <c r="C26" s="39" t="s">
        <v>170</v>
      </c>
      <c r="D26" s="39"/>
      <c r="E26" s="39" t="s">
        <v>200</v>
      </c>
      <c r="F26" s="39" t="s">
        <v>201</v>
      </c>
      <c r="G26" s="37" t="s">
        <v>191</v>
      </c>
      <c r="H26" s="37" t="s">
        <v>920</v>
      </c>
      <c r="I26" s="37" t="s">
        <v>921</v>
      </c>
      <c r="J26" s="37"/>
      <c r="K26" s="37" t="str">
        <f>IF(COUNTA($L26:$T26)=0,"",SUBSTITUTE(TRIM(IF($L26&lt;&gt;"","BHUX ","")&amp;IF($M26&lt;&gt;"","BHJ ","")&amp;IF($N26&lt;&gt;"","BHIA ","")&amp;IF($O26&lt;&gt;"","UNIX ","")&amp;IF($P26&lt;&gt;"","BIDW ","")&amp;IF($Q26&lt;&gt;"","BHUR ","")&amp;IF($R26&lt;&gt;"","DBA ","")&amp;IF($S26&lt;&gt;"","WEBC ","")&amp;IF($T26&lt;&gt;"","SEARCH ",""))," ",", "))</f>
        <v>BHJ, UNIX</v>
      </c>
      <c r="L26" s="37"/>
      <c r="M26" s="37" t="s">
        <v>917</v>
      </c>
      <c r="N26" s="37"/>
      <c r="O26" s="37" t="s">
        <v>917</v>
      </c>
      <c r="P26" s="37"/>
      <c r="Q26" s="37"/>
      <c r="R26" s="37"/>
      <c r="S26" s="37"/>
      <c r="T26" s="37"/>
      <c r="U26" s="310"/>
      <c r="V26" s="310"/>
      <c r="W26" s="37">
        <f>IF(OR($U26="",$V26=""),"",$V26-$U26+1)</f>
      </c>
      <c r="X26" s="37" t="s">
        <v>267</v>
      </c>
      <c r="Y26" s="37" t="s">
        <v>267</v>
      </c>
      <c r="Z26" s="211"/>
      <c r="AA26" s="69" t="s">
        <v>283</v>
      </c>
      <c r="AB26" s="37"/>
      <c r="AC26" s="37"/>
      <c r="AD26" s="37"/>
      <c r="AE26" s="37"/>
      <c r="AF26" s="37"/>
      <c r="AG26" s="37"/>
      <c r="AH26" s="37"/>
      <c r="AI26" s="37"/>
      <c r="AJ26" s="37"/>
      <c r="AK26" s="37"/>
      <c r="AL26" s="37"/>
      <c r="AM26" s="37"/>
      <c r="AN26" s="37"/>
      <c r="AO26" s="37"/>
      <c r="AP26" s="37"/>
      <c r="AQ26" s="34"/>
      <c r="AR26" s="34"/>
      <c r="AS26" s="60" t="s">
        <v>202</v>
      </c>
      <c r="AT26" s="60" t="s">
        <v>202</v>
      </c>
      <c r="AU26" s="60" t="s">
        <v>202</v>
      </c>
      <c r="AV26" s="34"/>
      <c r="AW26" s="34"/>
      <c r="AX26" s="34"/>
      <c r="AY26" s="34"/>
      <c r="AZ26" s="34"/>
      <c r="BA26" s="34"/>
      <c r="BB26" s="34"/>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row>
    <row r="27" spans="1:118" x14ac:dyDescent="0.2">
      <c r="A27" s="68" t="s">
        <v>137</v>
      </c>
      <c r="B27" s="94" t="s">
        <v>203</v>
      </c>
      <c r="C27" s="39" t="s">
        <v>159</v>
      </c>
      <c r="D27" s="37" t="s">
        <v>146</v>
      </c>
      <c r="E27" s="95" t="s">
        <v>204</v>
      </c>
      <c r="F27" s="39" t="s">
        <v>205</v>
      </c>
      <c r="G27" s="37" t="s">
        <v>191</v>
      </c>
      <c r="H27" s="37"/>
      <c r="I27" s="37"/>
      <c r="J27" s="37"/>
      <c r="K27" s="37" t="str">
        <f>IF(COUNTA($L27:$T27)=0,"",SUBSTITUTE(TRIM(IF($L27&lt;&gt;"","BHUX ","")&amp;IF($M27&lt;&gt;"","BHJ ","")&amp;IF($N27&lt;&gt;"","BHIA ","")&amp;IF($O27&lt;&gt;"","UNIX ","")&amp;IF($P27&lt;&gt;"","BIDW ","")&amp;IF($Q27&lt;&gt;"","BHUR ","")&amp;IF($R27&lt;&gt;"","DBA ","")&amp;IF($S27&lt;&gt;"","WEBC ","")&amp;IF($T27&lt;&gt;"","SEARCH ",""))," ",", "))</f>
        <v>BHJ, BHIA</v>
      </c>
      <c r="L27" s="37"/>
      <c r="M27" s="37" t="s">
        <v>917</v>
      </c>
      <c r="N27" s="37" t="s">
        <v>917</v>
      </c>
      <c r="O27" s="37"/>
      <c r="P27" s="37"/>
      <c r="Q27" s="37"/>
      <c r="R27" s="37"/>
      <c r="S27" s="37"/>
      <c r="T27" s="37"/>
      <c r="U27" s="310"/>
      <c r="V27" s="310"/>
      <c r="W27" s="37">
        <f>IF(OR($U27="",$V27=""),"",$V27-$U27+1)</f>
      </c>
      <c r="X27" s="37" t="s">
        <v>271</v>
      </c>
      <c r="Y27" s="37" t="s">
        <v>271</v>
      </c>
      <c r="Z27" s="211"/>
      <c r="AA27" s="69" t="s">
        <v>284</v>
      </c>
      <c r="AB27" s="32"/>
      <c r="AC27" s="32"/>
      <c r="AD27" s="32"/>
      <c r="AE27" s="32"/>
      <c r="AF27" s="32"/>
      <c r="AG27" s="32"/>
      <c r="AH27" s="32"/>
      <c r="AI27" s="36" t="s">
        <v>157</v>
      </c>
      <c r="AJ27" s="36" t="s">
        <v>157</v>
      </c>
      <c r="AK27" s="36" t="s">
        <v>157</v>
      </c>
      <c r="AL27" s="36" t="s">
        <v>157</v>
      </c>
      <c r="AM27" s="36" t="s">
        <v>157</v>
      </c>
      <c r="AN27" s="36" t="s">
        <v>157</v>
      </c>
      <c r="AO27" s="36" t="s">
        <v>157</v>
      </c>
      <c r="AP27" s="58" t="s">
        <v>157</v>
      </c>
      <c r="AQ27" s="58" t="s">
        <v>157</v>
      </c>
      <c r="AR27" s="58" t="s">
        <v>157</v>
      </c>
      <c r="AS27" s="58" t="s">
        <v>157</v>
      </c>
      <c r="AT27" s="78" t="s">
        <v>157</v>
      </c>
      <c r="AU27" s="78" t="s">
        <v>157</v>
      </c>
      <c r="AV27" s="78" t="s">
        <v>157</v>
      </c>
      <c r="AW27" s="78" t="s">
        <v>157</v>
      </c>
      <c r="AX27" s="78" t="s">
        <v>157</v>
      </c>
      <c r="AY27" s="78" t="s">
        <v>157</v>
      </c>
      <c r="AZ27" s="78" t="s">
        <v>157</v>
      </c>
      <c r="BA27" s="34"/>
      <c r="BB27" s="34"/>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row>
    <row r="28" spans="1:118" x14ac:dyDescent="0.2">
      <c r="A28" s="68" t="s">
        <v>137</v>
      </c>
      <c r="B28" s="37" t="s">
        <v>138</v>
      </c>
      <c r="C28" s="39" t="s">
        <v>140</v>
      </c>
      <c r="D28" s="39"/>
      <c r="E28" s="39" t="s">
        <v>206</v>
      </c>
      <c r="F28" s="39" t="s">
        <v>207</v>
      </c>
      <c r="G28" s="37" t="s">
        <v>208</v>
      </c>
      <c r="H28" s="37"/>
      <c r="I28" s="37"/>
      <c r="J28" s="37"/>
      <c r="K28" s="37" t="str">
        <f>IF(COUNTA($L28:$T28)=0,"",SUBSTITUTE(TRIM(IF($L28&lt;&gt;"","BHUX ","")&amp;IF($M28&lt;&gt;"","BHJ ","")&amp;IF($N28&lt;&gt;"","BHIA ","")&amp;IF($O28&lt;&gt;"","UNIX ","")&amp;IF($P28&lt;&gt;"","BIDW ","")&amp;IF($Q28&lt;&gt;"","BHUR ","")&amp;IF($R28&lt;&gt;"","DBA ","")&amp;IF($S28&lt;&gt;"","WEBC ","")&amp;IF($T28&lt;&gt;"","SEARCH ",""))," ",", "))</f>
        <v>BHJ</v>
      </c>
      <c r="L28" s="37"/>
      <c r="M28" s="37" t="s">
        <v>917</v>
      </c>
      <c r="N28" s="37"/>
      <c r="O28" s="37"/>
      <c r="P28" s="37"/>
      <c r="Q28" s="37"/>
      <c r="R28" s="37"/>
      <c r="S28" s="37"/>
      <c r="T28" s="37"/>
      <c r="U28" s="310"/>
      <c r="V28" s="310"/>
      <c r="W28" s="37">
        <f>IF(OR($U28="",$V28=""),"",$V28-$U28+1)</f>
      </c>
      <c r="X28" s="37"/>
      <c r="Y28" s="37"/>
      <c r="Z28" s="211"/>
      <c r="AA28" s="260" t="s">
        <v>280</v>
      </c>
      <c r="AB28" s="38"/>
      <c r="AC28" s="38"/>
      <c r="AD28" s="38"/>
      <c r="AE28" s="38"/>
      <c r="AF28" s="38"/>
      <c r="AG28" s="38"/>
      <c r="AH28" s="38"/>
      <c r="AI28" s="38"/>
      <c r="AJ28" s="38"/>
      <c r="AK28" s="38"/>
      <c r="AL28" s="38"/>
      <c r="AM28" s="38"/>
      <c r="AN28" s="36" t="s">
        <v>209</v>
      </c>
      <c r="AO28" s="61" t="s">
        <v>209</v>
      </c>
      <c r="AP28" s="62" t="s">
        <v>209</v>
      </c>
      <c r="AQ28" s="62" t="s">
        <v>209</v>
      </c>
      <c r="AR28" s="62" t="s">
        <v>209</v>
      </c>
      <c r="AS28" s="62" t="s">
        <v>209</v>
      </c>
      <c r="AT28" s="62" t="s">
        <v>209</v>
      </c>
      <c r="AU28" s="62" t="s">
        <v>209</v>
      </c>
      <c r="AV28" s="62" t="s">
        <v>209</v>
      </c>
      <c r="AW28" s="62" t="s">
        <v>209</v>
      </c>
      <c r="AX28" s="34"/>
      <c r="AY28" s="34"/>
      <c r="AZ28" s="34"/>
      <c r="BA28" s="34"/>
      <c r="BB28" s="34"/>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row>
    <row r="29" spans="1:118" x14ac:dyDescent="0.2">
      <c r="A29" s="68" t="s">
        <v>137</v>
      </c>
      <c r="B29" s="37" t="s">
        <v>138</v>
      </c>
      <c r="C29" s="39" t="s">
        <v>140</v>
      </c>
      <c r="D29" s="39"/>
      <c r="E29" s="39" t="s">
        <v>210</v>
      </c>
      <c r="F29" s="39" t="s">
        <v>211</v>
      </c>
      <c r="G29" s="37" t="s">
        <v>212</v>
      </c>
      <c r="H29" s="37"/>
      <c r="I29" s="37"/>
      <c r="J29" s="37"/>
      <c r="K29" s="37" t="str">
        <f>IF(COUNTA($L29:$T29)=0,"",SUBSTITUTE(TRIM(IF($L29&lt;&gt;"","BHUX ","")&amp;IF($M29&lt;&gt;"","BHJ ","")&amp;IF($N29&lt;&gt;"","BHIA ","")&amp;IF($O29&lt;&gt;"","UNIX ","")&amp;IF($P29&lt;&gt;"","BIDW ","")&amp;IF($Q29&lt;&gt;"","BHUR ","")&amp;IF($R29&lt;&gt;"","DBA ","")&amp;IF($S29&lt;&gt;"","WEBC ","")&amp;IF($T29&lt;&gt;"","SEARCH ",""))," ",", "))</f>
        <v>BHJ, UNIX</v>
      </c>
      <c r="L29" s="37"/>
      <c r="M29" s="37" t="s">
        <v>917</v>
      </c>
      <c r="N29" s="37"/>
      <c r="O29" s="37" t="s">
        <v>917</v>
      </c>
      <c r="P29" s="37"/>
      <c r="Q29" s="37"/>
      <c r="R29" s="37"/>
      <c r="S29" s="37"/>
      <c r="T29" s="37"/>
      <c r="U29" s="310"/>
      <c r="V29" s="310"/>
      <c r="W29" s="37">
        <f>IF(OR($U29="",$V29=""),"",$V29-$U29+1)</f>
      </c>
      <c r="X29" s="37" t="s">
        <v>273</v>
      </c>
      <c r="Y29" s="37" t="s">
        <v>273</v>
      </c>
      <c r="Z29" s="211"/>
      <c r="AA29" s="260" t="s">
        <v>285</v>
      </c>
      <c r="AB29" s="37"/>
      <c r="AC29" s="37"/>
      <c r="AD29" s="37"/>
      <c r="AE29" s="37"/>
      <c r="AF29" s="37"/>
      <c r="AG29" s="37"/>
      <c r="AH29" s="37"/>
      <c r="AI29" s="37"/>
      <c r="AJ29" s="37"/>
      <c r="AK29" s="37"/>
      <c r="AL29" s="37"/>
      <c r="AM29" s="37"/>
      <c r="AN29" s="38"/>
      <c r="AO29" s="36" t="s">
        <v>165</v>
      </c>
      <c r="AP29" s="37"/>
      <c r="AQ29" s="34"/>
      <c r="AR29" s="34"/>
      <c r="AS29" s="34"/>
      <c r="AT29" s="34"/>
      <c r="AU29" s="34"/>
      <c r="AV29" s="34"/>
      <c r="AW29" s="34"/>
      <c r="AX29" s="34"/>
      <c r="AY29" s="34"/>
      <c r="AZ29" s="34"/>
      <c r="BA29" s="34"/>
      <c r="BB29" s="34"/>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row>
    <row r="30" spans="1:118" x14ac:dyDescent="0.2">
      <c r="A30" s="68" t="s">
        <v>137</v>
      </c>
      <c r="B30" s="37" t="s">
        <v>138</v>
      </c>
      <c r="C30" s="39" t="s">
        <v>159</v>
      </c>
      <c r="D30" s="39"/>
      <c r="E30" s="39" t="s">
        <v>213</v>
      </c>
      <c r="F30" s="39" t="s">
        <v>214</v>
      </c>
      <c r="G30" s="37" t="s">
        <v>212</v>
      </c>
      <c r="H30" s="37" t="s">
        <v>815</v>
      </c>
      <c r="I30" s="37"/>
      <c r="J30" s="37"/>
      <c r="K30" s="37" t="str">
        <f>IF(COUNTA($L30:$T30)=0,"",SUBSTITUTE(TRIM(IF($L30&lt;&gt;"","BHUX ","")&amp;IF($M30&lt;&gt;"","BHJ ","")&amp;IF($N30&lt;&gt;"","BHIA ","")&amp;IF($O30&lt;&gt;"","UNIX ","")&amp;IF($P30&lt;&gt;"","BIDW ","")&amp;IF($Q30&lt;&gt;"","BHUR ","")&amp;IF($R30&lt;&gt;"","DBA ","")&amp;IF($S30&lt;&gt;"","WEBC ","")&amp;IF($T30&lt;&gt;"","SEARCH ",""))," ",", "))</f>
        <v>BHJ</v>
      </c>
      <c r="L30" s="37"/>
      <c r="M30" s="37" t="s">
        <v>917</v>
      </c>
      <c r="N30" s="37"/>
      <c r="O30" s="37"/>
      <c r="P30" s="37"/>
      <c r="Q30" s="37"/>
      <c r="R30" s="37"/>
      <c r="S30" s="37"/>
      <c r="T30" s="37"/>
      <c r="U30" s="310"/>
      <c r="V30" s="310"/>
      <c r="W30" s="37">
        <f>IF(OR($U30="",$V30=""),"",$V30-$U30+1)</f>
      </c>
      <c r="X30" s="37" t="s">
        <v>273</v>
      </c>
      <c r="Y30" s="37" t="s">
        <v>273</v>
      </c>
      <c r="Z30" s="211"/>
      <c r="AA30" s="260" t="s">
        <v>286</v>
      </c>
      <c r="AB30" s="37"/>
      <c r="AC30" s="37"/>
      <c r="AD30" s="37"/>
      <c r="AE30" s="37"/>
      <c r="AF30" s="37"/>
      <c r="AG30" s="37"/>
      <c r="AH30" s="37"/>
      <c r="AI30" s="37"/>
      <c r="AJ30" s="37"/>
      <c r="AK30" s="37"/>
      <c r="AL30" s="37"/>
      <c r="AM30" s="37"/>
      <c r="AN30" s="37"/>
      <c r="AO30" s="37"/>
      <c r="AP30" s="37"/>
      <c r="AQ30" s="34"/>
      <c r="AR30" s="34"/>
      <c r="AS30" s="34"/>
      <c r="AT30" s="60" t="s">
        <v>215</v>
      </c>
      <c r="AU30" s="34"/>
      <c r="AV30" s="37"/>
      <c r="AW30" s="37"/>
      <c r="AX30" s="34"/>
      <c r="AY30" s="34"/>
      <c r="AZ30" s="34"/>
      <c r="BA30" s="34"/>
      <c r="BB30" s="34"/>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row>
    <row r="31" spans="1:118" x14ac:dyDescent="0.2">
      <c r="A31" s="68" t="s">
        <v>137</v>
      </c>
      <c r="B31" s="37" t="s">
        <v>145</v>
      </c>
      <c r="C31" s="39" t="s">
        <v>146</v>
      </c>
      <c r="D31" s="37"/>
      <c r="E31" s="37" t="s">
        <v>216</v>
      </c>
      <c r="F31" s="39" t="s">
        <v>217</v>
      </c>
      <c r="G31" s="37" t="s">
        <v>218</v>
      </c>
      <c r="H31" s="37" t="s">
        <v>919</v>
      </c>
      <c r="I31" s="37"/>
      <c r="J31" s="37"/>
      <c r="K31" s="37" t="str">
        <f>IF(COUNTA($L31:$T31)=0,"",SUBSTITUTE(TRIM(IF($L31&lt;&gt;"","BHUX ","")&amp;IF($M31&lt;&gt;"","BHJ ","")&amp;IF($N31&lt;&gt;"","BHIA ","")&amp;IF($O31&lt;&gt;"","UNIX ","")&amp;IF($P31&lt;&gt;"","BIDW ","")&amp;IF($Q31&lt;&gt;"","BHUR ","")&amp;IF($R31&lt;&gt;"","DBA ","")&amp;IF($S31&lt;&gt;"","WEBC ","")&amp;IF($T31&lt;&gt;"","SEARCH ",""))," ",", "))</f>
        <v>BHJ</v>
      </c>
      <c r="L31" s="37"/>
      <c r="M31" s="37" t="s">
        <v>917</v>
      </c>
      <c r="N31" s="37"/>
      <c r="O31" s="37"/>
      <c r="P31" s="37"/>
      <c r="Q31" s="37"/>
      <c r="R31" s="37"/>
      <c r="S31" s="37"/>
      <c r="T31" s="37"/>
      <c r="U31" s="310"/>
      <c r="V31" s="310"/>
      <c r="W31" s="37">
        <f>IF(OR($U31="",$V31=""),"",$V31-$U31+1)</f>
      </c>
      <c r="X31" s="37" t="s">
        <v>273</v>
      </c>
      <c r="Y31" s="37" t="s">
        <v>267</v>
      </c>
      <c r="Z31" s="211"/>
      <c r="AA31" s="69"/>
      <c r="AB31" s="33" t="s">
        <v>149</v>
      </c>
      <c r="AC31" s="33" t="s">
        <v>149</v>
      </c>
      <c r="AD31" s="33" t="s">
        <v>149</v>
      </c>
      <c r="AE31" s="33" t="s">
        <v>149</v>
      </c>
      <c r="AF31" s="33" t="s">
        <v>149</v>
      </c>
      <c r="AG31" s="33"/>
      <c r="AH31" s="32"/>
      <c r="AI31" s="36"/>
      <c r="AJ31" s="36"/>
      <c r="AK31" s="36"/>
      <c r="AL31" s="36"/>
      <c r="AM31" s="36"/>
      <c r="AN31" s="36"/>
      <c r="AO31" s="36"/>
      <c r="AP31" s="34"/>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row>
    <row r="32" spans="1:118" x14ac:dyDescent="0.2">
      <c r="A32" s="68" t="s">
        <v>137</v>
      </c>
      <c r="B32" s="37" t="s">
        <v>145</v>
      </c>
      <c r="C32" s="39" t="s">
        <v>146</v>
      </c>
      <c r="D32" s="37"/>
      <c r="E32" s="37" t="s">
        <v>219</v>
      </c>
      <c r="F32" s="39" t="s">
        <v>220</v>
      </c>
      <c r="G32" s="37" t="s">
        <v>218</v>
      </c>
      <c r="H32" s="37" t="s">
        <v>919</v>
      </c>
      <c r="I32" s="37"/>
      <c r="J32" s="37"/>
      <c r="K32" s="37" t="str">
        <f>IF(COUNTA($L32:$T32)=0,"",SUBSTITUTE(TRIM(IF($L32&lt;&gt;"","BHUX ","")&amp;IF($M32&lt;&gt;"","BHJ ","")&amp;IF($N32&lt;&gt;"","BHIA ","")&amp;IF($O32&lt;&gt;"","UNIX ","")&amp;IF($P32&lt;&gt;"","BIDW ","")&amp;IF($Q32&lt;&gt;"","BHUR ","")&amp;IF($R32&lt;&gt;"","DBA ","")&amp;IF($S32&lt;&gt;"","WEBC ","")&amp;IF($T32&lt;&gt;"","SEARCH ",""))," ",", "))</f>
        <v>BHJ</v>
      </c>
      <c r="L32" s="37"/>
      <c r="M32" s="37" t="s">
        <v>917</v>
      </c>
      <c r="N32" s="37"/>
      <c r="O32" s="37"/>
      <c r="P32" s="37"/>
      <c r="Q32" s="37"/>
      <c r="R32" s="37"/>
      <c r="S32" s="37"/>
      <c r="T32" s="37"/>
      <c r="U32" s="310"/>
      <c r="V32" s="310"/>
      <c r="W32" s="37">
        <f>IF(OR($U32="",$V32=""),"",$V32-$U32+1)</f>
      </c>
      <c r="X32" s="37" t="s">
        <v>273</v>
      </c>
      <c r="Y32" s="37" t="s">
        <v>267</v>
      </c>
      <c r="Z32" s="211"/>
      <c r="AA32" s="69"/>
      <c r="AB32" s="33" t="s">
        <v>149</v>
      </c>
      <c r="AC32" s="33" t="s">
        <v>149</v>
      </c>
      <c r="AD32" s="33" t="s">
        <v>149</v>
      </c>
      <c r="AE32" s="33" t="s">
        <v>149</v>
      </c>
      <c r="AF32" s="33" t="s">
        <v>149</v>
      </c>
      <c r="AG32" s="65" t="s">
        <v>149</v>
      </c>
      <c r="AH32" s="33" t="s">
        <v>149</v>
      </c>
      <c r="AI32" s="36"/>
      <c r="AJ32" s="36"/>
      <c r="AK32" s="36"/>
      <c r="AL32" s="36"/>
      <c r="AM32" s="36"/>
      <c r="AN32" s="36"/>
      <c r="AO32" s="36"/>
      <c r="AP32" s="34"/>
      <c r="AQ32" s="34"/>
      <c r="AR32" s="34"/>
      <c r="AS32" s="34"/>
      <c r="AT32" s="34"/>
      <c r="AU32" s="34"/>
      <c r="AV32" s="34"/>
      <c r="AW32" s="34"/>
      <c r="AX32" s="34"/>
      <c r="AY32" s="34"/>
      <c r="AZ32" s="34"/>
      <c r="BA32" s="34"/>
      <c r="BB32" s="34"/>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row>
    <row r="33" spans="1:118" x14ac:dyDescent="0.2">
      <c r="A33" s="68" t="s">
        <v>137</v>
      </c>
      <c r="B33" s="37" t="s">
        <v>145</v>
      </c>
      <c r="C33" s="39" t="s">
        <v>146</v>
      </c>
      <c r="D33" s="37"/>
      <c r="E33" s="37" t="s">
        <v>221</v>
      </c>
      <c r="F33" s="39" t="s">
        <v>222</v>
      </c>
      <c r="G33" s="37" t="s">
        <v>218</v>
      </c>
      <c r="H33" s="37" t="s">
        <v>919</v>
      </c>
      <c r="I33" s="37"/>
      <c r="J33" s="37"/>
      <c r="K33" s="37"/>
      <c r="L33" s="37"/>
      <c r="M33" s="37"/>
      <c r="N33" s="37"/>
      <c r="O33" s="37"/>
      <c r="P33" s="37"/>
      <c r="Q33" s="37"/>
      <c r="R33" s="37"/>
      <c r="S33" s="37"/>
      <c r="T33" s="37"/>
      <c r="U33" s="310"/>
      <c r="V33" s="310"/>
      <c r="W33" s="37">
        <f>IF(OR($U33="",$V33=""),"",$V33-$U33+1)</f>
      </c>
      <c r="X33" s="37" t="s">
        <v>273</v>
      </c>
      <c r="Y33" s="37" t="s">
        <v>267</v>
      </c>
      <c r="Z33" s="211"/>
      <c r="AA33" s="69"/>
      <c r="AB33" s="33"/>
      <c r="AC33" s="33" t="s">
        <v>149</v>
      </c>
      <c r="AD33" s="33" t="s">
        <v>149</v>
      </c>
      <c r="AE33" s="33" t="s">
        <v>149</v>
      </c>
      <c r="AF33" s="33" t="s">
        <v>149</v>
      </c>
      <c r="AG33" s="33"/>
      <c r="AH33" s="32"/>
      <c r="AI33" s="36"/>
      <c r="AJ33" s="36"/>
      <c r="AK33" s="36"/>
      <c r="AL33" s="36"/>
      <c r="AM33" s="36"/>
      <c r="AN33" s="36"/>
      <c r="AO33" s="36"/>
      <c r="AP33" s="34"/>
      <c r="AQ33" s="34"/>
      <c r="AR33" s="34"/>
      <c r="AS33" s="34"/>
      <c r="AT33" s="34"/>
      <c r="AU33" s="34"/>
      <c r="AV33" s="34"/>
      <c r="AW33" s="34"/>
      <c r="AX33" s="34"/>
      <c r="AY33" s="34"/>
      <c r="AZ33" s="34"/>
      <c r="BA33" s="34"/>
      <c r="BB33" s="34"/>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row>
    <row r="34" spans="1:118" x14ac:dyDescent="0.2">
      <c r="A34" s="68" t="s">
        <v>137</v>
      </c>
      <c r="B34" s="37" t="s">
        <v>188</v>
      </c>
      <c r="C34" s="39" t="s">
        <v>185</v>
      </c>
      <c r="D34" s="37"/>
      <c r="E34" s="39" t="s">
        <v>113</v>
      </c>
      <c r="F34" s="39" t="s">
        <v>230</v>
      </c>
      <c r="G34" s="37" t="s">
        <v>226</v>
      </c>
      <c r="H34" s="37" t="s">
        <v>703</v>
      </c>
      <c r="I34" s="37" t="s">
        <v>737</v>
      </c>
      <c r="J34" s="37"/>
      <c r="K34" s="37"/>
      <c r="L34" s="37"/>
      <c r="M34" s="37"/>
      <c r="N34" s="37"/>
      <c r="O34" s="37"/>
      <c r="P34" s="37"/>
      <c r="Q34" s="37"/>
      <c r="R34" s="37"/>
      <c r="S34" s="37"/>
      <c r="T34" s="37"/>
      <c r="U34" s="310"/>
      <c r="V34" s="310"/>
      <c r="W34" s="37">
        <f>IF(OR($U34="",$V34=""),"",$V34-$U34+1)</f>
      </c>
      <c r="X34" s="37" t="s">
        <v>273</v>
      </c>
      <c r="Y34" s="37" t="s">
        <v>273</v>
      </c>
      <c r="Z34" s="211"/>
      <c r="AA34" s="69" t="s">
        <v>291</v>
      </c>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row>
    <row r="35" spans="1:118" x14ac:dyDescent="0.2">
      <c r="A35" s="73" t="s">
        <v>137</v>
      </c>
      <c r="B35" s="37" t="s">
        <v>188</v>
      </c>
      <c r="C35" s="39" t="s">
        <v>185</v>
      </c>
      <c r="D35" s="37"/>
      <c r="E35" s="91" t="s">
        <v>110</v>
      </c>
      <c r="F35" s="39" t="s">
        <v>225</v>
      </c>
      <c r="G35" s="37" t="s">
        <v>233</v>
      </c>
      <c r="H35" s="37"/>
      <c r="I35" s="37" t="s">
        <v>719</v>
      </c>
      <c r="J35" s="37"/>
      <c r="K35" s="37" t="str">
        <f>IF(COUNTA($L35:$T35)=0,"",SUBSTITUTE(TRIM(IF($L35&lt;&gt;"","BHUX ","")&amp;IF($M35&lt;&gt;"","BHJ ","")&amp;IF($N35&lt;&gt;"","BHIA ","")&amp;IF($O35&lt;&gt;"","UNIX ","")&amp;IF($P35&lt;&gt;"","BIDW ","")&amp;IF($Q35&lt;&gt;"","BHUR ","")&amp;IF($R35&lt;&gt;"","DBA ","")&amp;IF($S35&lt;&gt;"","WEBC ","")&amp;IF($T35&lt;&gt;"","SEARCH ",""))," ",", "))</f>
        <v>BHJ, BHIA, BIDW</v>
      </c>
      <c r="L35" s="37"/>
      <c r="M35" s="37" t="s">
        <v>917</v>
      </c>
      <c r="N35" s="37" t="s">
        <v>917</v>
      </c>
      <c r="O35" s="37"/>
      <c r="P35" s="37" t="s">
        <v>917</v>
      </c>
      <c r="Q35" s="37"/>
      <c r="R35" s="37"/>
      <c r="S35" s="37"/>
      <c r="T35" s="37"/>
      <c r="U35" s="310"/>
      <c r="V35" s="310"/>
      <c r="W35" s="37">
        <f>IF(OR($U35="",$V35=""),"",$V35-$U35+1)</f>
      </c>
      <c r="X35" s="37" t="s">
        <v>289</v>
      </c>
      <c r="Y35" s="37" t="s">
        <v>289</v>
      </c>
      <c r="Z35" s="211"/>
      <c r="AA35" s="69" t="s">
        <v>225</v>
      </c>
      <c r="AB35" s="32"/>
      <c r="AC35" s="32"/>
      <c r="AD35" s="33" t="s">
        <v>227</v>
      </c>
      <c r="AE35" s="66" t="s">
        <v>227</v>
      </c>
      <c r="AF35" s="32"/>
      <c r="AG35" s="32"/>
      <c r="AH35" s="32"/>
      <c r="AI35" s="36" t="s">
        <v>157</v>
      </c>
      <c r="AJ35" s="36"/>
      <c r="AK35" s="36"/>
      <c r="AL35" s="36"/>
      <c r="AM35" s="36"/>
      <c r="AN35" s="36"/>
      <c r="AO35" s="36"/>
      <c r="AP35" s="34"/>
      <c r="AQ35" s="34"/>
      <c r="AR35" s="34"/>
      <c r="AS35" s="34"/>
      <c r="AT35" s="34"/>
      <c r="AU35" s="34"/>
      <c r="AV35" s="34"/>
      <c r="AW35" s="34"/>
      <c r="AX35" s="34"/>
      <c r="AY35" s="34"/>
      <c r="AZ35" s="34"/>
      <c r="BA35" s="34"/>
      <c r="BB35" s="34"/>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row>
    <row r="36" spans="1:118" x14ac:dyDescent="0.2">
      <c r="A36" s="68" t="s">
        <v>137</v>
      </c>
      <c r="B36" s="37" t="s">
        <v>145</v>
      </c>
      <c r="C36" s="39" t="s">
        <v>146</v>
      </c>
      <c r="D36" s="37"/>
      <c r="E36" s="39" t="s">
        <v>228</v>
      </c>
      <c r="F36" s="39" t="s">
        <v>229</v>
      </c>
      <c r="G36" s="37" t="s">
        <v>233</v>
      </c>
      <c r="H36" s="37"/>
      <c r="I36" s="37"/>
      <c r="J36" s="37"/>
      <c r="K36" s="37" t="str">
        <f>IF(COUNTA($L36:$T36)=0,"",SUBSTITUTE(TRIM(IF($L36&lt;&gt;"","BHUX ","")&amp;IF($M36&lt;&gt;"","BHJ ","")&amp;IF($N36&lt;&gt;"","BHIA ","")&amp;IF($O36&lt;&gt;"","UNIX ","")&amp;IF($P36&lt;&gt;"","BIDW ","")&amp;IF($Q36&lt;&gt;"","BHUR ","")&amp;IF($R36&lt;&gt;"","DBA ","")&amp;IF($S36&lt;&gt;"","WEBC ","")&amp;IF($T36&lt;&gt;"","SEARCH ",""))," ",", "))</f>
        <v>BHJ</v>
      </c>
      <c r="L36" s="37"/>
      <c r="M36" s="37" t="s">
        <v>917</v>
      </c>
      <c r="N36" s="37"/>
      <c r="O36" s="37"/>
      <c r="P36" s="37"/>
      <c r="Q36" s="37"/>
      <c r="R36" s="37"/>
      <c r="S36" s="37"/>
      <c r="T36" s="37"/>
      <c r="U36" s="310"/>
      <c r="V36" s="310"/>
      <c r="W36" s="37">
        <f>IF(OR($U36="",$V36=""),"",$V36-$U36+1)</f>
      </c>
      <c r="X36" s="37" t="s">
        <v>289</v>
      </c>
      <c r="Y36" s="37" t="s">
        <v>289</v>
      </c>
      <c r="Z36" s="211"/>
      <c r="AA36" s="260" t="s">
        <v>290</v>
      </c>
      <c r="AB36" s="38"/>
      <c r="AC36" s="38"/>
      <c r="AD36" s="38"/>
      <c r="AE36" s="38"/>
      <c r="AF36" s="38"/>
      <c r="AG36" s="38"/>
      <c r="AH36" s="38"/>
      <c r="AI36" s="38"/>
      <c r="AJ36" s="38"/>
      <c r="AK36" s="36" t="s">
        <v>154</v>
      </c>
      <c r="AL36" s="36" t="s">
        <v>154</v>
      </c>
      <c r="AM36" s="36" t="s">
        <v>154</v>
      </c>
      <c r="AN36" s="61" t="s">
        <v>154</v>
      </c>
      <c r="AO36" s="61" t="s">
        <v>154</v>
      </c>
      <c r="AP36" s="59" t="s">
        <v>154</v>
      </c>
      <c r="AQ36" s="59" t="s">
        <v>154</v>
      </c>
      <c r="AR36" s="59" t="s">
        <v>154</v>
      </c>
      <c r="AS36" s="67" t="s">
        <v>154</v>
      </c>
      <c r="AT36" s="34"/>
      <c r="AU36" s="34"/>
      <c r="AV36" s="34"/>
      <c r="AW36" s="34"/>
      <c r="AX36" s="34"/>
      <c r="AY36" s="34"/>
      <c r="AZ36" s="34"/>
      <c r="BA36" s="34"/>
      <c r="BB36" s="34"/>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row>
    <row r="37" spans="1:118" x14ac:dyDescent="0.2">
      <c r="A37" s="68" t="s">
        <v>137</v>
      </c>
      <c r="B37" s="37" t="s">
        <v>188</v>
      </c>
      <c r="C37" s="39" t="s">
        <v>185</v>
      </c>
      <c r="D37" s="37"/>
      <c r="E37" s="39" t="s">
        <v>231</v>
      </c>
      <c r="F37" s="39" t="s">
        <v>232</v>
      </c>
      <c r="G37" s="37" t="s">
        <v>233</v>
      </c>
      <c r="H37" s="37" t="s">
        <v>703</v>
      </c>
      <c r="I37" s="37"/>
      <c r="J37" s="37"/>
      <c r="K37" s="37" t="str">
        <f t="shared" ref="K37:K48" si="0">IF(COUNTA($L37:$T37)=0,"",SUBSTITUTE(TRIM(IF($L37&lt;&gt;"","BHUX ","")&amp;IF($M37&lt;&gt;"","BHJ ","")&amp;IF($N37&lt;&gt;"","BHIA ","")&amp;IF($O37&lt;&gt;"","UNIX ","")&amp;IF($P37&lt;&gt;"","BIDW ","")&amp;IF($Q37&lt;&gt;"","BHUR ","")&amp;IF($R37&lt;&gt;"","DBA ","")&amp;IF($S37&lt;&gt;"","WEBC ","")&amp;IF($T37&lt;&gt;"","SEARCH ",""))," ",", "))</f>
        <v/>
      </c>
      <c r="L37" s="37"/>
      <c r="M37" s="37"/>
      <c r="N37" s="37"/>
      <c r="O37" s="37"/>
      <c r="P37" s="37"/>
      <c r="Q37" s="37"/>
      <c r="R37" s="37"/>
      <c r="S37" s="37"/>
      <c r="T37" s="37"/>
      <c r="U37" s="310"/>
      <c r="V37" s="310"/>
      <c r="W37" s="37">
        <f>IF(OR($U37="",$V37=""),"",$V37-$U37+1)</f>
      </c>
      <c r="X37" s="37" t="s">
        <v>292</v>
      </c>
      <c r="Y37" s="37" t="s">
        <v>292</v>
      </c>
      <c r="Z37" s="211"/>
      <c r="AA37" s="69" t="s">
        <v>293</v>
      </c>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row>
    <row r="38" spans="1:118" x14ac:dyDescent="0.2">
      <c r="A38" s="68" t="s">
        <v>137</v>
      </c>
      <c r="B38" s="37" t="s">
        <v>138</v>
      </c>
      <c r="C38" s="39" t="s">
        <v>140</v>
      </c>
      <c r="D38" s="39"/>
      <c r="E38" s="37" t="s">
        <v>234</v>
      </c>
      <c r="F38" s="39"/>
      <c r="G38" s="37" t="s">
        <v>233</v>
      </c>
      <c r="H38" s="37"/>
      <c r="I38" s="37"/>
      <c r="J38" s="37"/>
      <c r="K38" s="37" t="str">
        <f t="shared" si="0"/>
        <v/>
      </c>
      <c r="L38" s="37"/>
      <c r="M38" s="37"/>
      <c r="N38" s="37"/>
      <c r="O38" s="37"/>
      <c r="P38" s="37"/>
      <c r="Q38" s="37"/>
      <c r="R38" s="37"/>
      <c r="S38" s="37"/>
      <c r="T38" s="37"/>
      <c r="U38" s="310"/>
      <c r="V38" s="310"/>
      <c r="W38" s="37">
        <f>IF(OR($U38="",$V38=""),"",$V38-$U38+1)</f>
      </c>
      <c r="X38" s="37" t="s">
        <v>289</v>
      </c>
      <c r="Y38" s="37" t="s">
        <v>289</v>
      </c>
      <c r="Z38" s="211"/>
      <c r="AA38" s="69"/>
      <c r="AB38" s="37"/>
      <c r="AC38" s="37"/>
      <c r="AD38" s="37"/>
      <c r="AE38" s="37"/>
      <c r="AF38" s="37"/>
      <c r="AG38" s="37"/>
      <c r="AH38" s="37"/>
      <c r="AI38" s="37"/>
      <c r="AJ38" s="37"/>
      <c r="AK38" s="37"/>
      <c r="AL38" s="37"/>
      <c r="AM38" s="37"/>
      <c r="AN38" s="37"/>
      <c r="AO38" s="36" t="s">
        <v>165</v>
      </c>
      <c r="AP38" s="60" t="s">
        <v>165</v>
      </c>
      <c r="AQ38" s="34"/>
      <c r="AR38" s="34"/>
      <c r="AS38" s="34"/>
      <c r="AT38" s="34"/>
      <c r="AU38" s="34"/>
      <c r="AV38" s="34"/>
      <c r="AW38" s="34"/>
      <c r="AX38" s="34"/>
      <c r="AY38" s="34"/>
      <c r="AZ38" s="34"/>
      <c r="BA38" s="34"/>
      <c r="BB38" s="34"/>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row>
    <row r="39" spans="1:118" x14ac:dyDescent="0.2">
      <c r="A39" s="262" t="s">
        <v>137</v>
      </c>
      <c r="B39" s="37" t="s">
        <v>138</v>
      </c>
      <c r="C39" s="39" t="s">
        <v>170</v>
      </c>
      <c r="D39" s="39"/>
      <c r="E39" s="91" t="s">
        <v>235</v>
      </c>
      <c r="F39" s="39" t="s">
        <v>236</v>
      </c>
      <c r="G39" s="37" t="s">
        <v>240</v>
      </c>
      <c r="H39" s="37"/>
      <c r="I39" s="37"/>
      <c r="J39" s="37"/>
      <c r="K39" s="37" t="str">
        <f t="shared" si="0"/>
        <v>BHUX, BHJ</v>
      </c>
      <c r="L39" s="37" t="s">
        <v>917</v>
      </c>
      <c r="M39" s="37" t="s">
        <v>917</v>
      </c>
      <c r="N39" s="37"/>
      <c r="O39" s="37"/>
      <c r="P39" s="37"/>
      <c r="Q39" s="37"/>
      <c r="R39" s="37"/>
      <c r="S39" s="37"/>
      <c r="T39" s="37"/>
      <c r="U39" s="310"/>
      <c r="V39" s="310"/>
      <c r="W39" s="37">
        <f>IF(OR($U39="",$V39=""),"",$V39-$U39+1)</f>
      </c>
      <c r="X39" s="37" t="s">
        <v>292</v>
      </c>
      <c r="Y39" s="37" t="s">
        <v>292</v>
      </c>
      <c r="Z39" s="211"/>
      <c r="AA39" s="69" t="s">
        <v>295</v>
      </c>
      <c r="AB39" s="33"/>
      <c r="AC39" s="33"/>
      <c r="AD39" s="33" t="s">
        <v>144</v>
      </c>
      <c r="AE39" s="33" t="s">
        <v>144</v>
      </c>
      <c r="AF39" s="33"/>
      <c r="AG39" s="33"/>
      <c r="AH39" s="33"/>
      <c r="AI39" s="36"/>
      <c r="AJ39" s="36"/>
      <c r="AK39" s="36"/>
      <c r="AL39" s="36"/>
      <c r="AM39" s="36"/>
      <c r="AN39" s="36"/>
      <c r="AO39" s="36"/>
      <c r="AP39" s="35"/>
      <c r="AQ39" s="35"/>
      <c r="AR39" s="35"/>
      <c r="AS39" s="35"/>
      <c r="AT39" s="35"/>
      <c r="AU39" s="35"/>
      <c r="AV39" s="35"/>
      <c r="AW39" s="35"/>
      <c r="AX39" s="35"/>
      <c r="AY39" s="35"/>
      <c r="AZ39" s="35"/>
      <c r="BA39" s="35"/>
      <c r="BB39" s="35"/>
      <c r="BC39" s="57"/>
      <c r="BD39" s="57"/>
      <c r="BE39" s="57"/>
      <c r="BF39" s="57"/>
      <c r="BG39" s="57"/>
      <c r="BH39" s="57"/>
      <c r="BI39" s="57"/>
      <c r="BJ39" s="57"/>
      <c r="BK39" s="57"/>
      <c r="BL39" s="57"/>
      <c r="BM39" s="5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row>
    <row r="40" spans="1:118" x14ac:dyDescent="0.2">
      <c r="A40" s="260"/>
      <c r="B40" s="37" t="s">
        <v>188</v>
      </c>
      <c r="C40" s="39" t="s">
        <v>185</v>
      </c>
      <c r="D40" s="37"/>
      <c r="E40" s="39" t="s">
        <v>238</v>
      </c>
      <c r="F40" s="39" t="s">
        <v>239</v>
      </c>
      <c r="G40" s="37" t="s">
        <v>240</v>
      </c>
      <c r="H40" s="37" t="s">
        <v>703</v>
      </c>
      <c r="I40" s="37"/>
      <c r="J40" s="37"/>
      <c r="K40" s="37" t="str">
        <f t="shared" si="0"/>
        <v>BHUX, BHJ</v>
      </c>
      <c r="L40" s="37" t="s">
        <v>917</v>
      </c>
      <c r="M40" s="37" t="s">
        <v>917</v>
      </c>
      <c r="N40" s="37"/>
      <c r="O40" s="37"/>
      <c r="P40" s="37"/>
      <c r="Q40" s="37"/>
      <c r="R40" s="37"/>
      <c r="S40" s="37"/>
      <c r="T40" s="37"/>
      <c r="U40" s="310"/>
      <c r="V40" s="310"/>
      <c r="W40" s="37">
        <f>IF(OR($U40="",$V40=""),"",$V40-$U40+1)</f>
      </c>
      <c r="X40" s="37"/>
      <c r="Y40" s="37"/>
      <c r="Z40" s="211"/>
      <c r="AA40" s="69" t="s">
        <v>296</v>
      </c>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row>
    <row r="41" spans="1:118" x14ac:dyDescent="0.2">
      <c r="B41" s="37" t="s">
        <v>188</v>
      </c>
      <c r="C41" s="39" t="s">
        <v>185</v>
      </c>
      <c r="D41" s="37"/>
      <c r="E41" s="92" t="s">
        <v>241</v>
      </c>
      <c r="F41" s="39" t="s">
        <v>242</v>
      </c>
      <c r="G41" s="37" t="s">
        <v>240</v>
      </c>
      <c r="H41" s="37" t="s">
        <v>703</v>
      </c>
      <c r="I41" s="37"/>
      <c r="J41" s="37"/>
      <c r="K41" s="37" t="str">
        <f t="shared" si="0"/>
        <v>BHUX, BHJ</v>
      </c>
      <c r="L41" s="37" t="s">
        <v>917</v>
      </c>
      <c r="M41" s="37" t="s">
        <v>917</v>
      </c>
      <c r="N41" s="37"/>
      <c r="O41" s="37"/>
      <c r="P41" s="37"/>
      <c r="Q41" s="37"/>
      <c r="R41" s="37"/>
      <c r="S41" s="37"/>
      <c r="T41" s="37"/>
      <c r="U41" s="310"/>
      <c r="V41" s="310"/>
      <c r="W41" s="37">
        <f>IF(OR($U41="",$V41=""),"",$V41-$U41+1)</f>
      </c>
      <c r="X41" s="37"/>
      <c r="Y41" s="37"/>
      <c r="Z41" s="211"/>
      <c r="AA41" s="69" t="s">
        <v>297</v>
      </c>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row>
    <row r="42" spans="1:118" x14ac:dyDescent="0.2">
      <c r="B42" s="37" t="s">
        <v>188</v>
      </c>
      <c r="C42" s="39" t="s">
        <v>185</v>
      </c>
      <c r="D42" s="37"/>
      <c r="E42" s="92" t="s">
        <v>243</v>
      </c>
      <c r="F42" s="39" t="s">
        <v>244</v>
      </c>
      <c r="G42" s="37" t="s">
        <v>240</v>
      </c>
      <c r="H42" s="37"/>
      <c r="I42" s="37"/>
      <c r="J42" s="37"/>
      <c r="K42" s="37" t="str">
        <f t="shared" si="0"/>
        <v>BHUX, BHJ</v>
      </c>
      <c r="L42" s="37" t="s">
        <v>917</v>
      </c>
      <c r="M42" s="37" t="s">
        <v>917</v>
      </c>
      <c r="N42" s="37"/>
      <c r="O42" s="37"/>
      <c r="P42" s="37"/>
      <c r="Q42" s="37"/>
      <c r="R42" s="37"/>
      <c r="S42" s="37"/>
      <c r="T42" s="37"/>
      <c r="U42" s="310"/>
      <c r="V42" s="310"/>
      <c r="W42" s="37">
        <f>IF(OR($U42="",$V42=""),"",$V42-$U42+1)</f>
      </c>
      <c r="X42" s="37"/>
      <c r="Y42" s="37"/>
      <c r="Z42" s="211"/>
      <c r="AA42" s="69" t="s">
        <v>298</v>
      </c>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row>
    <row r="43" spans="1:118" x14ac:dyDescent="0.2">
      <c r="B43" s="37" t="s">
        <v>188</v>
      </c>
      <c r="C43" s="39" t="s">
        <v>185</v>
      </c>
      <c r="D43" s="37"/>
      <c r="E43" s="92" t="s">
        <v>245</v>
      </c>
      <c r="F43" s="39" t="s">
        <v>246</v>
      </c>
      <c r="G43" s="37" t="s">
        <v>240</v>
      </c>
      <c r="H43" s="37" t="s">
        <v>703</v>
      </c>
      <c r="I43" s="37"/>
      <c r="J43" s="37"/>
      <c r="K43" s="37" t="str">
        <f t="shared" si="0"/>
        <v>BHUX, BHJ</v>
      </c>
      <c r="L43" s="37" t="s">
        <v>917</v>
      </c>
      <c r="M43" s="37" t="s">
        <v>917</v>
      </c>
      <c r="N43" s="37"/>
      <c r="O43" s="37"/>
      <c r="P43" s="37"/>
      <c r="Q43" s="37"/>
      <c r="R43" s="37"/>
      <c r="S43" s="37"/>
      <c r="T43" s="37"/>
      <c r="U43" s="310"/>
      <c r="V43" s="310"/>
      <c r="W43" s="37">
        <f>IF(OR($U43="",$V43=""),"",$V43-$U43+1)</f>
      </c>
      <c r="X43" s="37"/>
      <c r="Y43" s="37"/>
      <c r="Z43" s="211"/>
      <c r="AA43" s="69" t="s">
        <v>299</v>
      </c>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row>
    <row r="44" spans="1:118" x14ac:dyDescent="0.2">
      <c r="B44" s="37" t="s">
        <v>188</v>
      </c>
      <c r="C44" s="39" t="s">
        <v>185</v>
      </c>
      <c r="D44" s="37"/>
      <c r="E44" s="92" t="s">
        <v>247</v>
      </c>
      <c r="F44" s="39" t="s">
        <v>248</v>
      </c>
      <c r="G44" s="37" t="s">
        <v>240</v>
      </c>
      <c r="H44" s="37" t="s">
        <v>703</v>
      </c>
      <c r="I44" s="37"/>
      <c r="J44" s="37"/>
      <c r="K44" s="37" t="str">
        <f t="shared" si="0"/>
        <v>BHUX, BHJ</v>
      </c>
      <c r="L44" s="37" t="s">
        <v>917</v>
      </c>
      <c r="M44" s="37" t="s">
        <v>917</v>
      </c>
      <c r="N44" s="37"/>
      <c r="O44" s="37"/>
      <c r="P44" s="37"/>
      <c r="Q44" s="37"/>
      <c r="R44" s="37"/>
      <c r="S44" s="37"/>
      <c r="T44" s="37"/>
      <c r="U44" s="310"/>
      <c r="V44" s="310"/>
      <c r="W44" s="37">
        <f>IF(OR($U44="",$V44=""),"",$V44-$U44+1)</f>
      </c>
      <c r="X44" s="37"/>
      <c r="Y44" s="37"/>
      <c r="Z44" s="211"/>
      <c r="AA44" s="69" t="s">
        <v>300</v>
      </c>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row>
    <row r="45" spans="1:118" x14ac:dyDescent="0.2">
      <c r="B45" s="37" t="s">
        <v>188</v>
      </c>
      <c r="C45" s="39" t="s">
        <v>185</v>
      </c>
      <c r="D45" s="37"/>
      <c r="E45" s="39" t="s">
        <v>249</v>
      </c>
      <c r="F45" s="39" t="s">
        <v>250</v>
      </c>
      <c r="G45" s="37" t="s">
        <v>240</v>
      </c>
      <c r="H45" s="37" t="s">
        <v>703</v>
      </c>
      <c r="I45" s="37"/>
      <c r="J45" s="37"/>
      <c r="K45" s="37" t="str">
        <f t="shared" si="0"/>
        <v>BHUX, BHJ, BHIA</v>
      </c>
      <c r="L45" s="37" t="s">
        <v>917</v>
      </c>
      <c r="M45" s="37" t="s">
        <v>917</v>
      </c>
      <c r="N45" s="37" t="s">
        <v>917</v>
      </c>
      <c r="O45" s="37"/>
      <c r="P45" s="37"/>
      <c r="Q45" s="37"/>
      <c r="R45" s="37"/>
      <c r="S45" s="37"/>
      <c r="T45" s="37"/>
      <c r="U45" s="310"/>
      <c r="V45" s="310"/>
      <c r="W45" s="37">
        <f>IF(OR($U45="",$V45=""),"",$V45-$U45+1)</f>
      </c>
      <c r="X45" s="37"/>
      <c r="Y45" s="37"/>
      <c r="Z45" s="211"/>
      <c r="AA45" s="69" t="s">
        <v>301</v>
      </c>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row>
    <row r="46" spans="1:118" x14ac:dyDescent="0.2">
      <c r="A46" t="s">
        <v>137</v>
      </c>
      <c r="B46" s="37" t="s">
        <v>145</v>
      </c>
      <c r="C46" s="39" t="s">
        <v>146</v>
      </c>
      <c r="D46" s="37"/>
      <c r="E46" s="200" t="s">
        <v>251</v>
      </c>
      <c r="F46" s="200" t="s">
        <v>252</v>
      </c>
      <c r="G46" s="37" t="s">
        <v>240</v>
      </c>
      <c r="H46" s="37"/>
      <c r="I46" s="37"/>
      <c r="J46" s="37"/>
      <c r="K46" s="37" t="str">
        <f t="shared" si="0"/>
        <v>BHUX, BHJ</v>
      </c>
      <c r="L46" s="37" t="s">
        <v>917</v>
      </c>
      <c r="M46" s="37" t="s">
        <v>917</v>
      </c>
      <c r="N46" s="37"/>
      <c r="O46" s="37"/>
      <c r="P46" s="37"/>
      <c r="Q46" s="37"/>
      <c r="R46" s="37"/>
      <c r="S46" s="37"/>
      <c r="T46" s="37"/>
      <c r="U46" s="310"/>
      <c r="V46" s="310"/>
      <c r="W46" s="37">
        <f>IF(OR($U46="",$V46=""),"",$V46-$U46+1)</f>
      </c>
      <c r="X46" s="37" t="s">
        <v>292</v>
      </c>
      <c r="Y46" s="37" t="s">
        <v>292</v>
      </c>
      <c r="Z46" s="211"/>
      <c r="AA46" s="69" t="s">
        <v>302</v>
      </c>
      <c r="AB46" s="33"/>
      <c r="AC46" s="33"/>
      <c r="AD46" s="33"/>
      <c r="AE46" s="33" t="s">
        <v>154</v>
      </c>
      <c r="AF46" s="33"/>
      <c r="AG46" s="33"/>
      <c r="AH46" s="32"/>
      <c r="AI46" s="36"/>
      <c r="AJ46" s="36"/>
      <c r="AK46" s="36" t="s">
        <v>154</v>
      </c>
      <c r="AL46" s="36"/>
      <c r="AM46" s="36"/>
      <c r="AN46" s="36"/>
      <c r="AO46" s="36"/>
      <c r="AP46" s="34"/>
      <c r="AQ46" s="34"/>
      <c r="AR46" s="34"/>
      <c r="AS46" s="34"/>
      <c r="AT46" s="34"/>
      <c r="AU46" s="34"/>
      <c r="AV46" s="34"/>
      <c r="AW46" s="34"/>
      <c r="AX46" s="34"/>
      <c r="AY46" s="34"/>
      <c r="AZ46" s="34"/>
      <c r="BA46" s="34"/>
      <c r="BB46" s="34"/>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row>
    <row r="47" spans="1:118" x14ac:dyDescent="0.2">
      <c r="B47" s="37" t="s">
        <v>138</v>
      </c>
      <c r="C47" s="39" t="s">
        <v>139</v>
      </c>
      <c r="D47" s="37"/>
      <c r="E47" s="39" t="s">
        <v>253</v>
      </c>
      <c r="F47" s="261" t="s">
        <v>254</v>
      </c>
      <c r="G47" s="37" t="s">
        <v>240</v>
      </c>
      <c r="H47" s="37"/>
      <c r="I47" s="37"/>
      <c r="J47" s="37"/>
      <c r="K47" s="37" t="str">
        <f t="shared" si="0"/>
        <v/>
      </c>
      <c r="L47" s="37"/>
      <c r="M47" s="37"/>
      <c r="N47" s="37"/>
      <c r="O47" s="37"/>
      <c r="P47" s="37"/>
      <c r="Q47" s="37"/>
      <c r="R47" s="37"/>
      <c r="S47" s="37"/>
      <c r="T47" s="37"/>
      <c r="U47" s="310"/>
      <c r="V47" s="310"/>
      <c r="W47" s="37">
        <f>IF(OR($U47="",$V47=""),"",$V47-$U47+1)</f>
      </c>
      <c r="X47" s="37"/>
      <c r="Y47" s="37"/>
      <c r="Z47" s="211"/>
      <c r="AA47" s="260" t="s">
        <v>254</v>
      </c>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row>
    <row r="48" spans="1:118" x14ac:dyDescent="0.2">
      <c r="B48" s="37" t="s">
        <v>138</v>
      </c>
      <c r="C48" s="39" t="s">
        <v>170</v>
      </c>
      <c r="D48" s="39"/>
      <c r="E48" s="92" t="s">
        <v>255</v>
      </c>
      <c r="F48" s="261" t="s">
        <v>256</v>
      </c>
      <c r="G48" s="37" t="s">
        <v>240</v>
      </c>
      <c r="H48" s="37" t="s">
        <v>721</v>
      </c>
      <c r="I48" s="37"/>
      <c r="J48" s="37"/>
      <c r="K48" s="37" t="str">
        <f t="shared" si="0"/>
        <v>BHUX, BHJ</v>
      </c>
      <c r="L48" s="37" t="s">
        <v>917</v>
      </c>
      <c r="M48" s="37" t="s">
        <v>917</v>
      </c>
      <c r="N48" s="37"/>
      <c r="O48" s="37"/>
      <c r="P48" s="37"/>
      <c r="Q48" s="37"/>
      <c r="R48" s="37"/>
      <c r="S48" s="37"/>
      <c r="T48" s="37"/>
      <c r="U48" s="310"/>
      <c r="V48" s="310"/>
      <c r="W48" s="37">
        <f>IF(OR($U48="",$V48=""),"",$V48-$U48+1)</f>
      </c>
      <c r="X48" s="37"/>
      <c r="Y48" s="37"/>
      <c r="Z48" s="211"/>
      <c r="AA48" s="260" t="s">
        <v>303</v>
      </c>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row>
    <row r="49" spans="1:118" x14ac:dyDescent="0.2">
      <c r="B49" s="37"/>
      <c r="C49" s="37"/>
      <c r="D49" s="37"/>
      <c r="E49" s="37"/>
      <c r="F49" s="37"/>
      <c r="G49" s="37"/>
      <c r="H49" s="37"/>
      <c r="I49" s="37"/>
      <c r="J49" s="37"/>
      <c r="K49" s="37"/>
      <c r="L49" s="37"/>
      <c r="M49" s="37"/>
      <c r="N49" s="37"/>
      <c r="O49" s="37"/>
      <c r="P49" s="37"/>
      <c r="Q49" s="37"/>
      <c r="R49" s="37"/>
      <c r="S49" s="37"/>
      <c r="T49" s="37"/>
      <c r="U49" s="310"/>
      <c r="V49" s="310"/>
      <c r="W49" s="37">
        <f>IF(OR($U49="",$V49=""),"",$V49-$U49+1)</f>
      </c>
      <c r="X49" s="37"/>
      <c r="Y49" s="37"/>
      <c r="Z49" s="211"/>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row>
    <row r="50" spans="1:118" x14ac:dyDescent="0.2">
      <c r="B50" s="37"/>
      <c r="C50" s="37"/>
      <c r="D50" s="37"/>
      <c r="E50" s="37"/>
      <c r="F50" s="37"/>
      <c r="G50" s="37"/>
      <c r="H50" s="37"/>
      <c r="I50" s="37"/>
      <c r="J50" s="37"/>
      <c r="K50" s="37"/>
      <c r="L50" s="37"/>
      <c r="M50" s="37"/>
      <c r="N50" s="37"/>
      <c r="O50" s="37"/>
      <c r="P50" s="37"/>
      <c r="Q50" s="37"/>
      <c r="R50" s="37"/>
      <c r="S50" s="37"/>
      <c r="T50" s="37"/>
      <c r="W50" s="37">
        <f>IF(OR($U50="",$V50=""),"",$V50-$U50+1)</f>
      </c>
      <c r="X50" s="37"/>
      <c r="Y50" s="37"/>
      <c r="Z50" s="211"/>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row>
    <row r="51" spans="1:118" x14ac:dyDescent="0.2">
      <c r="B51" s="37"/>
      <c r="C51" s="37"/>
      <c r="D51" s="37"/>
      <c r="E51" s="37"/>
      <c r="F51" s="37"/>
      <c r="G51" s="37"/>
      <c r="H51" s="37"/>
      <c r="I51" s="37"/>
      <c r="J51" s="37"/>
      <c r="K51" s="37"/>
      <c r="L51" s="37"/>
      <c r="M51" s="37"/>
      <c r="N51" s="37"/>
      <c r="O51" s="37"/>
      <c r="P51" s="37"/>
      <c r="Q51" s="37"/>
      <c r="R51" s="37"/>
      <c r="S51" s="37"/>
      <c r="T51" s="37"/>
      <c r="W51" s="37">
        <f>IF(OR($U51="",$V51=""),"",$V51-$U51+1)</f>
      </c>
      <c r="X51" s="37"/>
      <c r="Y51" s="37"/>
      <c r="Z51" s="211"/>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row>
    <row r="52" spans="1:118" x14ac:dyDescent="0.2">
      <c r="B52" s="37"/>
      <c r="C52" s="37"/>
      <c r="D52" s="37"/>
      <c r="E52" s="37"/>
      <c r="F52" s="37"/>
      <c r="G52" s="37"/>
      <c r="H52" s="37"/>
      <c r="I52" s="37"/>
      <c r="J52" s="37"/>
      <c r="K52" s="37"/>
      <c r="L52" s="37"/>
      <c r="M52" s="37"/>
      <c r="N52" s="37"/>
      <c r="O52" s="37"/>
      <c r="P52" s="37"/>
      <c r="Q52" s="37"/>
      <c r="R52" s="37"/>
      <c r="S52" s="37"/>
      <c r="T52" s="37"/>
      <c r="W52" s="37">
        <f>IF(OR($U52="",$V52=""),"",$V52-$U52+1)</f>
      </c>
      <c r="X52" s="37"/>
      <c r="Y52" s="37"/>
      <c r="Z52" s="211"/>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row>
    <row r="53" spans="1:118" x14ac:dyDescent="0.2">
      <c r="B53" s="37"/>
      <c r="C53" s="37"/>
      <c r="D53" s="37"/>
      <c r="E53" s="37"/>
      <c r="F53" s="37"/>
      <c r="G53" s="37"/>
      <c r="H53" s="37"/>
      <c r="I53" s="37"/>
      <c r="J53" s="37"/>
      <c r="K53" s="37"/>
      <c r="L53" s="37"/>
      <c r="M53" s="37"/>
      <c r="N53" s="37"/>
      <c r="O53" s="37"/>
      <c r="P53" s="37"/>
      <c r="Q53" s="37"/>
      <c r="R53" s="37"/>
      <c r="S53" s="37"/>
      <c r="T53" s="37"/>
      <c r="W53" s="37">
        <f>IF(OR($U53="",$V53=""),"",$V53-$U53+1)</f>
      </c>
      <c r="X53" s="37"/>
      <c r="Y53" s="37"/>
      <c r="Z53" s="211"/>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row>
    <row r="54" spans="1:118" x14ac:dyDescent="0.2">
      <c r="B54" s="37"/>
      <c r="C54" s="37"/>
      <c r="D54" s="37"/>
      <c r="E54" s="37"/>
      <c r="F54" s="37"/>
      <c r="G54" s="37"/>
      <c r="H54" s="37"/>
      <c r="I54" s="37"/>
      <c r="J54" s="37"/>
      <c r="K54" s="37"/>
      <c r="L54" s="37"/>
      <c r="M54" s="37"/>
      <c r="N54" s="37"/>
      <c r="O54" s="37"/>
      <c r="P54" s="37"/>
      <c r="Q54" s="37"/>
      <c r="R54" s="37"/>
      <c r="S54" s="37"/>
      <c r="T54" s="37"/>
      <c r="W54" s="37">
        <f>IF(OR($U54="",$V54=""),"",$V54-$U54+1)</f>
      </c>
      <c r="X54" s="37"/>
      <c r="Y54" s="37"/>
      <c r="Z54" s="211"/>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row>
    <row r="55" spans="1:118" x14ac:dyDescent="0.2">
      <c r="B55" s="37"/>
      <c r="C55" s="37"/>
      <c r="D55" s="37"/>
      <c r="E55" s="37"/>
      <c r="F55" s="37"/>
      <c r="G55" s="37"/>
      <c r="H55" s="37"/>
      <c r="I55" s="37"/>
      <c r="J55" s="37"/>
      <c r="K55" s="37"/>
      <c r="L55" s="37"/>
      <c r="M55" s="37"/>
      <c r="N55" s="37"/>
      <c r="O55" s="37"/>
      <c r="P55" s="37"/>
      <c r="Q55" s="37"/>
      <c r="R55" s="37"/>
      <c r="S55" s="37"/>
      <c r="T55" s="37"/>
      <c r="W55" s="37">
        <f>IF(OR($U55="",$V55=""),"",$V55-$U55+1)</f>
      </c>
      <c r="X55" s="37"/>
      <c r="Y55" s="37"/>
      <c r="Z55" s="211"/>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row>
    <row r="56" spans="1:118" x14ac:dyDescent="0.2">
      <c r="B56" s="37"/>
      <c r="C56" s="37"/>
      <c r="D56" s="37"/>
      <c r="E56" s="37"/>
      <c r="F56" s="37"/>
      <c r="G56" s="37"/>
      <c r="H56" s="37"/>
      <c r="I56" s="37"/>
      <c r="J56" s="37"/>
      <c r="K56" s="37"/>
      <c r="L56" s="37"/>
      <c r="M56" s="37"/>
      <c r="N56" s="37"/>
      <c r="O56" s="37"/>
      <c r="P56" s="37"/>
      <c r="Q56" s="37"/>
      <c r="R56" s="37"/>
      <c r="S56" s="37"/>
      <c r="T56" s="37"/>
      <c r="W56" s="37">
        <f>IF(OR($U56="",$V56=""),"",$V56-$U56+1)</f>
      </c>
      <c r="X56" s="37"/>
      <c r="Y56" s="37"/>
      <c r="Z56" s="211"/>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row>
    <row r="57" spans="1:118" x14ac:dyDescent="0.2">
      <c r="B57" s="37"/>
      <c r="C57" s="37"/>
      <c r="D57" s="37"/>
      <c r="E57" s="37"/>
      <c r="F57" s="37"/>
      <c r="G57" s="37"/>
      <c r="H57" s="37"/>
      <c r="I57" s="37"/>
      <c r="J57" s="37"/>
      <c r="K57" s="37"/>
      <c r="L57" s="37"/>
      <c r="M57" s="37"/>
      <c r="N57" s="37"/>
      <c r="O57" s="37"/>
      <c r="P57" s="37"/>
      <c r="Q57" s="37"/>
      <c r="R57" s="37"/>
      <c r="S57" s="37"/>
      <c r="T57" s="37"/>
      <c r="W57" s="37">
        <f>IF(OR($U57="",$V57=""),"",$V57-$U57+1)</f>
      </c>
      <c r="X57" s="37"/>
      <c r="Y57" s="37"/>
      <c r="Z57" s="211"/>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row>
    <row r="58" spans="1:118" x14ac:dyDescent="0.2">
      <c r="B58" s="37"/>
      <c r="C58" s="37"/>
      <c r="D58" s="37"/>
      <c r="E58" s="37"/>
      <c r="F58" s="37"/>
      <c r="G58" s="37"/>
      <c r="H58" s="37"/>
      <c r="I58" s="37"/>
      <c r="J58" s="37"/>
      <c r="K58" s="37"/>
      <c r="L58" s="37"/>
      <c r="M58" s="37"/>
      <c r="N58" s="37"/>
      <c r="O58" s="37"/>
      <c r="P58" s="37"/>
      <c r="Q58" s="37"/>
      <c r="R58" s="37"/>
      <c r="S58" s="37"/>
      <c r="T58" s="37"/>
      <c r="W58" s="37">
        <f>IF(OR($U58="",$V58=""),"",$V58-$U58+1)</f>
      </c>
      <c r="X58" s="37"/>
      <c r="Y58" s="37"/>
      <c r="Z58" s="211"/>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row>
    <row r="59" spans="1:118" x14ac:dyDescent="0.2">
      <c r="B59" s="37"/>
      <c r="C59" s="37"/>
      <c r="D59" s="37"/>
      <c r="E59" s="37"/>
      <c r="F59" s="37"/>
      <c r="G59" s="37"/>
      <c r="H59" s="37"/>
      <c r="I59" s="37"/>
      <c r="J59" s="37"/>
      <c r="K59" s="37"/>
      <c r="L59" s="37"/>
      <c r="M59" s="37"/>
      <c r="N59" s="37"/>
      <c r="O59" s="37"/>
      <c r="P59" s="37"/>
      <c r="Q59" s="37"/>
      <c r="R59" s="37"/>
      <c r="S59" s="37"/>
      <c r="T59" s="37"/>
      <c r="W59" s="37">
        <f>IF(OR($U59="",$V59=""),"",$V59-$U59+1)</f>
      </c>
      <c r="X59" s="37"/>
      <c r="Y59" s="37"/>
      <c r="Z59" s="211"/>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row>
    <row r="60" spans="1:118" x14ac:dyDescent="0.2">
      <c r="B60" s="37"/>
      <c r="C60" s="37"/>
      <c r="D60" s="37"/>
      <c r="E60" s="37"/>
      <c r="F60" s="37"/>
      <c r="G60" s="37"/>
      <c r="H60" s="37"/>
      <c r="I60" s="37"/>
      <c r="J60" s="37"/>
      <c r="K60" s="37"/>
      <c r="L60" s="37"/>
      <c r="M60" s="37"/>
      <c r="N60" s="37"/>
      <c r="O60" s="37"/>
      <c r="P60" s="37"/>
      <c r="Q60" s="37"/>
      <c r="R60" s="37"/>
      <c r="S60" s="37"/>
      <c r="T60" s="37"/>
      <c r="W60" s="37">
        <f>IF(OR($U60="",$V60=""),"",$V60-$U60+1)</f>
      </c>
      <c r="X60" s="37"/>
      <c r="Y60" s="37"/>
      <c r="Z60" s="211"/>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row>
    <row r="61" spans="1:118" x14ac:dyDescent="0.2">
      <c r="B61" s="37"/>
      <c r="C61" s="37"/>
      <c r="D61" s="37"/>
      <c r="E61" s="37"/>
      <c r="F61" s="37"/>
      <c r="G61" s="37"/>
      <c r="H61" s="37"/>
      <c r="I61" s="37"/>
      <c r="J61" s="37"/>
      <c r="K61" s="37"/>
      <c r="L61" s="37"/>
      <c r="M61" s="37"/>
      <c r="N61" s="37"/>
      <c r="O61" s="37"/>
      <c r="P61" s="37"/>
      <c r="Q61" s="37"/>
      <c r="R61" s="37"/>
      <c r="S61" s="37"/>
      <c r="T61" s="37"/>
      <c r="W61" s="37">
        <f>IF(OR($U61="",$V61=""),"",$V61-$U61+1)</f>
      </c>
      <c r="X61" s="37"/>
      <c r="Y61" s="37"/>
      <c r="Z61" s="211"/>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row>
    <row r="62" spans="1:118" x14ac:dyDescent="0.2">
      <c r="B62" s="37"/>
      <c r="C62" s="37"/>
      <c r="D62" s="37"/>
      <c r="E62" s="37"/>
      <c r="F62" s="37"/>
      <c r="G62" s="37"/>
      <c r="H62" s="37"/>
      <c r="I62" s="37"/>
      <c r="J62" s="37"/>
      <c r="K62" s="37"/>
      <c r="L62" s="37"/>
      <c r="M62" s="37"/>
      <c r="N62" s="37"/>
      <c r="O62" s="37"/>
      <c r="P62" s="37"/>
      <c r="Q62" s="37"/>
      <c r="R62" s="37"/>
      <c r="S62" s="37"/>
      <c r="T62" s="37"/>
      <c r="W62" s="37">
        <f>IF(OR($U62="",$V62=""),"",$V62-$U62+1)</f>
      </c>
      <c r="X62" s="37"/>
      <c r="Y62" s="37"/>
      <c r="Z62" s="211"/>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row>
    <row r="63" spans="1:118" x14ac:dyDescent="0.2">
      <c r="B63" s="37"/>
      <c r="C63" s="37"/>
      <c r="D63" s="37"/>
      <c r="E63" s="37"/>
      <c r="F63" s="37"/>
      <c r="G63" s="37"/>
      <c r="H63" s="37"/>
      <c r="I63" s="37"/>
      <c r="J63" s="37"/>
      <c r="K63" s="37"/>
      <c r="L63" s="37"/>
      <c r="M63" s="37"/>
      <c r="N63" s="37"/>
      <c r="O63" s="37"/>
      <c r="P63" s="37"/>
      <c r="Q63" s="37"/>
      <c r="R63" s="37"/>
      <c r="S63" s="37"/>
      <c r="T63" s="37"/>
      <c r="W63" s="37">
        <f>IF(OR($U63="",$V63=""),"",$V63-$U63+1)</f>
      </c>
      <c r="X63" s="37"/>
      <c r="Y63" s="37"/>
      <c r="Z63" s="211"/>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row>
    <row r="64" spans="1:118" x14ac:dyDescent="0.2">
      <c r="B64" s="37"/>
      <c r="C64" s="37"/>
      <c r="D64" s="37"/>
      <c r="E64" s="37"/>
      <c r="F64" s="37"/>
      <c r="G64" s="37"/>
      <c r="H64" s="37"/>
      <c r="I64" s="37"/>
      <c r="J64" s="37"/>
      <c r="K64" s="37"/>
      <c r="L64" s="37"/>
      <c r="M64" s="37"/>
      <c r="N64" s="37"/>
      <c r="O64" s="37"/>
      <c r="P64" s="37"/>
      <c r="Q64" s="37"/>
      <c r="R64" s="37"/>
      <c r="S64" s="37"/>
      <c r="T64" s="37"/>
      <c r="W64" s="37">
        <f>IF(OR($U64="",$V64=""),"",$V64-$U64+1)</f>
      </c>
      <c r="X64" s="37"/>
      <c r="Y64" s="37"/>
      <c r="Z64" s="211"/>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row>
    <row r="65" spans="1:118" x14ac:dyDescent="0.2">
      <c r="B65" s="37"/>
      <c r="C65" s="37"/>
      <c r="D65" s="37"/>
      <c r="E65" s="37"/>
      <c r="F65" s="37"/>
      <c r="G65" s="37"/>
      <c r="H65" s="37"/>
      <c r="I65" s="37"/>
      <c r="J65" s="37"/>
      <c r="K65" s="37"/>
      <c r="L65" s="37"/>
      <c r="M65" s="37"/>
      <c r="N65" s="37"/>
      <c r="O65" s="37"/>
      <c r="P65" s="37"/>
      <c r="Q65" s="37"/>
      <c r="R65" s="37"/>
      <c r="S65" s="37"/>
      <c r="T65" s="37"/>
      <c r="W65" s="37">
        <f>IF(OR($U65="",$V65=""),"",$V65-$U65+1)</f>
      </c>
      <c r="X65" s="37"/>
      <c r="Y65" s="37"/>
      <c r="Z65" s="211"/>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row>
    <row r="66" spans="1:118" x14ac:dyDescent="0.2">
      <c r="B66" s="37"/>
      <c r="C66" s="37"/>
      <c r="D66" s="37"/>
      <c r="E66" s="37"/>
      <c r="F66" s="37"/>
      <c r="G66" s="37"/>
      <c r="H66" s="37"/>
      <c r="I66" s="37"/>
      <c r="J66" s="37"/>
      <c r="K66" s="37"/>
      <c r="L66" s="37"/>
      <c r="M66" s="37"/>
      <c r="N66" s="37"/>
      <c r="O66" s="37"/>
      <c r="P66" s="37"/>
      <c r="Q66" s="37"/>
      <c r="R66" s="37"/>
      <c r="S66" s="37"/>
      <c r="T66" s="37"/>
      <c r="W66" s="37">
        <f>IF(OR($U66="",$V66=""),"",$V66-$U66+1)</f>
      </c>
      <c r="X66" s="37"/>
      <c r="Y66" s="37"/>
      <c r="Z66" s="211"/>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row>
    <row r="67" spans="1:118" x14ac:dyDescent="0.2">
      <c r="B67" s="37"/>
      <c r="C67" s="37"/>
      <c r="D67" s="37"/>
      <c r="E67" s="37"/>
      <c r="F67" s="37"/>
      <c r="G67" s="37"/>
      <c r="H67" s="37"/>
      <c r="I67" s="37"/>
      <c r="J67" s="37"/>
      <c r="K67" s="37"/>
      <c r="L67" s="37"/>
      <c r="M67" s="37"/>
      <c r="N67" s="37"/>
      <c r="O67" s="37"/>
      <c r="P67" s="37"/>
      <c r="Q67" s="37"/>
      <c r="R67" s="37"/>
      <c r="S67" s="37"/>
      <c r="T67" s="37"/>
      <c r="W67" s="37">
        <f>IF(OR($U67="",$V67=""),"",$V67-$U67+1)</f>
      </c>
      <c r="X67" s="37"/>
      <c r="Y67" s="37"/>
      <c r="Z67" s="211"/>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row>
    <row r="68" spans="1:118" x14ac:dyDescent="0.2">
      <c r="B68" s="37"/>
      <c r="C68" s="37"/>
      <c r="D68" s="37"/>
      <c r="E68" s="37"/>
      <c r="F68" s="37"/>
      <c r="G68" s="37"/>
      <c r="H68" s="37"/>
      <c r="I68" s="37"/>
      <c r="J68" s="37"/>
      <c r="K68" s="37"/>
      <c r="L68" s="37"/>
      <c r="M68" s="37"/>
      <c r="N68" s="37"/>
      <c r="O68" s="37"/>
      <c r="P68" s="37"/>
      <c r="Q68" s="37"/>
      <c r="R68" s="37"/>
      <c r="S68" s="37"/>
      <c r="T68" s="37"/>
      <c r="W68" s="37">
        <f>IF(OR($U68="",$V68=""),"",$V68-$U68+1)</f>
      </c>
      <c r="X68" s="37"/>
      <c r="Y68" s="37"/>
      <c r="Z68" s="211"/>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row>
    <row r="69" spans="1:118" x14ac:dyDescent="0.2">
      <c r="B69" s="37"/>
      <c r="C69" s="37"/>
      <c r="D69" s="37"/>
      <c r="E69" s="37"/>
      <c r="F69" s="37"/>
      <c r="G69" s="37"/>
      <c r="H69" s="37"/>
      <c r="I69" s="37"/>
      <c r="J69" s="37"/>
      <c r="K69" s="37"/>
      <c r="L69" s="37"/>
      <c r="M69" s="37"/>
      <c r="N69" s="37"/>
      <c r="O69" s="37"/>
      <c r="P69" s="37"/>
      <c r="Q69" s="37"/>
      <c r="R69" s="37"/>
      <c r="S69" s="37"/>
      <c r="T69" s="37"/>
      <c r="W69" s="37">
        <f>IF(OR($U69="",$V69=""),"",$V69-$U69+1)</f>
      </c>
      <c r="X69" s="37"/>
      <c r="Y69" s="37"/>
      <c r="Z69" s="211"/>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row>
    <row r="70" spans="1:118" x14ac:dyDescent="0.2">
      <c r="B70" s="37"/>
      <c r="C70" s="37"/>
      <c r="D70" s="37"/>
      <c r="E70" s="37"/>
      <c r="F70" s="37"/>
      <c r="G70" s="37"/>
      <c r="H70" s="37"/>
      <c r="I70" s="37"/>
      <c r="J70" s="37"/>
      <c r="K70" s="37"/>
      <c r="L70" s="37"/>
      <c r="M70" s="37"/>
      <c r="N70" s="37"/>
      <c r="O70" s="37"/>
      <c r="P70" s="37"/>
      <c r="Q70" s="37"/>
      <c r="R70" s="37"/>
      <c r="S70" s="37"/>
      <c r="T70" s="37"/>
      <c r="W70" s="37">
        <f>IF(OR($U70="",$V70=""),"",$V70-$U70+1)</f>
      </c>
      <c r="X70" s="37"/>
      <c r="Y70" s="37"/>
      <c r="Z70" s="211"/>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row>
    <row r="71" spans="1:118" x14ac:dyDescent="0.2">
      <c r="B71" s="37"/>
      <c r="C71" s="37"/>
      <c r="D71" s="37"/>
      <c r="E71" s="37"/>
      <c r="F71" s="37"/>
      <c r="G71" s="37"/>
      <c r="H71" s="37"/>
      <c r="I71" s="37"/>
      <c r="J71" s="37"/>
      <c r="K71" s="37"/>
      <c r="L71" s="37"/>
      <c r="M71" s="37"/>
      <c r="N71" s="37"/>
      <c r="O71" s="37"/>
      <c r="P71" s="37"/>
      <c r="Q71" s="37"/>
      <c r="R71" s="37"/>
      <c r="S71" s="37"/>
      <c r="T71" s="37"/>
      <c r="W71" s="37">
        <f>IF(OR($U71="",$V71=""),"",$V71-$U71+1)</f>
      </c>
      <c r="X71" s="37"/>
      <c r="Y71" s="37"/>
      <c r="Z71" s="211"/>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row>
    <row r="72" spans="1:118" x14ac:dyDescent="0.2">
      <c r="B72" s="37"/>
      <c r="C72" s="37"/>
      <c r="D72" s="37"/>
      <c r="E72" s="37"/>
      <c r="F72" s="37"/>
      <c r="G72" s="37"/>
      <c r="H72" s="37"/>
      <c r="I72" s="37"/>
      <c r="J72" s="37"/>
      <c r="K72" s="37"/>
      <c r="L72" s="37"/>
      <c r="M72" s="37"/>
      <c r="N72" s="37"/>
      <c r="O72" s="37"/>
      <c r="P72" s="37"/>
      <c r="Q72" s="37"/>
      <c r="R72" s="37"/>
      <c r="S72" s="37"/>
      <c r="T72" s="37"/>
      <c r="W72" s="37">
        <f>IF(OR($U72="",$V72=""),"",$V72-$U72+1)</f>
      </c>
      <c r="X72" s="37"/>
      <c r="Y72" s="37"/>
      <c r="Z72" s="211"/>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row>
    <row r="73" spans="1:118" x14ac:dyDescent="0.2">
      <c r="B73" s="37"/>
      <c r="C73" s="37"/>
      <c r="D73" s="37"/>
      <c r="E73" s="37"/>
      <c r="F73" s="37"/>
      <c r="G73" s="37"/>
      <c r="H73" s="37"/>
      <c r="I73" s="37"/>
      <c r="J73" s="37"/>
      <c r="K73" s="37"/>
      <c r="L73" s="37"/>
      <c r="M73" s="37"/>
      <c r="N73" s="37"/>
      <c r="O73" s="37"/>
      <c r="P73" s="37"/>
      <c r="Q73" s="37"/>
      <c r="R73" s="37"/>
      <c r="S73" s="37"/>
      <c r="T73" s="37"/>
      <c r="W73" s="37">
        <f>IF(OR($U73="",$V73=""),"",$V73-$U73+1)</f>
      </c>
      <c r="X73" s="37"/>
      <c r="Y73" s="37"/>
      <c r="Z73" s="211"/>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row>
    <row r="74" spans="1:118" x14ac:dyDescent="0.2">
      <c r="B74" s="37"/>
      <c r="C74" s="37"/>
      <c r="D74" s="37"/>
      <c r="E74" s="37"/>
      <c r="F74" s="37"/>
      <c r="G74" s="37"/>
      <c r="H74" s="37"/>
      <c r="I74" s="37"/>
      <c r="J74" s="37"/>
      <c r="K74" s="37"/>
      <c r="L74" s="37"/>
      <c r="M74" s="37"/>
      <c r="N74" s="37"/>
      <c r="O74" s="37"/>
      <c r="P74" s="37"/>
      <c r="Q74" s="37"/>
      <c r="R74" s="37"/>
      <c r="S74" s="37"/>
      <c r="T74" s="37"/>
      <c r="W74" s="37">
        <f>IF(OR($U74="",$V74=""),"",$V74-$U74+1)</f>
      </c>
      <c r="X74" s="37"/>
      <c r="Y74" s="37"/>
      <c r="Z74" s="211"/>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row>
    <row r="75" spans="1:118" x14ac:dyDescent="0.2">
      <c r="B75" s="37"/>
      <c r="C75" s="37"/>
      <c r="D75" s="37"/>
      <c r="E75" s="37"/>
      <c r="F75" s="37"/>
      <c r="G75" s="37"/>
      <c r="H75" s="37"/>
      <c r="I75" s="37"/>
      <c r="J75" s="37"/>
      <c r="K75" s="37"/>
      <c r="L75" s="37"/>
      <c r="M75" s="37"/>
      <c r="N75" s="37"/>
      <c r="O75" s="37"/>
      <c r="P75" s="37"/>
      <c r="Q75" s="37"/>
      <c r="R75" s="37"/>
      <c r="S75" s="37"/>
      <c r="T75" s="37"/>
      <c r="W75" s="37">
        <f>IF(OR($U75="",$V75=""),"",$V75-$U75+1)</f>
      </c>
      <c r="X75" s="37"/>
      <c r="Y75" s="37"/>
      <c r="Z75" s="211"/>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row>
    <row r="76" spans="1:118" x14ac:dyDescent="0.2">
      <c r="B76" s="37"/>
      <c r="C76" s="37"/>
      <c r="D76" s="37"/>
      <c r="E76" s="37"/>
      <c r="F76" s="37"/>
      <c r="G76" s="37"/>
      <c r="H76" s="37"/>
      <c r="I76" s="37"/>
      <c r="J76" s="37"/>
      <c r="K76" s="37"/>
      <c r="L76" s="37"/>
      <c r="M76" s="37"/>
      <c r="N76" s="37"/>
      <c r="O76" s="37"/>
      <c r="P76" s="37"/>
      <c r="Q76" s="37"/>
      <c r="R76" s="37"/>
      <c r="S76" s="37"/>
      <c r="T76" s="37"/>
      <c r="W76" s="37">
        <f>IF(OR($U76="",$V76=""),"",$V76-$U76+1)</f>
      </c>
      <c r="X76" s="37"/>
      <c r="Y76" s="37"/>
      <c r="Z76" s="211"/>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row>
    <row r="77" spans="1:118" x14ac:dyDescent="0.2">
      <c r="B77" s="37"/>
      <c r="C77" s="37"/>
      <c r="D77" s="37"/>
      <c r="E77" s="37"/>
      <c r="F77" s="37"/>
      <c r="G77" s="37"/>
      <c r="H77" s="37"/>
      <c r="I77" s="37"/>
      <c r="J77" s="37"/>
      <c r="K77" s="37"/>
      <c r="L77" s="37"/>
      <c r="M77" s="37"/>
      <c r="N77" s="37"/>
      <c r="O77" s="37"/>
      <c r="P77" s="37"/>
      <c r="Q77" s="37"/>
      <c r="R77" s="37"/>
      <c r="S77" s="37"/>
      <c r="T77" s="37"/>
      <c r="W77" s="37">
        <f>IF(OR($U77="",$V77=""),"",$V77-$U77+1)</f>
      </c>
      <c r="X77" s="37"/>
      <c r="Y77" s="37"/>
      <c r="Z77" s="211"/>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row>
    <row r="78" spans="1:118" x14ac:dyDescent="0.2">
      <c r="B78" s="37"/>
      <c r="C78" s="37"/>
      <c r="D78" s="37"/>
      <c r="E78" s="37"/>
      <c r="F78" s="37"/>
      <c r="G78" s="37"/>
      <c r="H78" s="37"/>
      <c r="I78" s="37"/>
      <c r="J78" s="37"/>
      <c r="K78" s="37"/>
      <c r="L78" s="37"/>
      <c r="M78" s="37"/>
      <c r="N78" s="37"/>
      <c r="O78" s="37"/>
      <c r="P78" s="37"/>
      <c r="Q78" s="37"/>
      <c r="R78" s="37"/>
      <c r="S78" s="37"/>
      <c r="T78" s="37"/>
      <c r="W78" s="37">
        <f>IF(OR($U78="",$V78=""),"",$V78-$U78+1)</f>
      </c>
      <c r="X78" s="37"/>
      <c r="Y78" s="37"/>
      <c r="Z78" s="211"/>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row>
    <row r="79" spans="1:118" x14ac:dyDescent="0.2">
      <c r="B79" s="37"/>
      <c r="C79" s="37"/>
      <c r="D79" s="37"/>
      <c r="E79" s="37"/>
      <c r="F79" s="37"/>
      <c r="G79" s="37"/>
      <c r="H79" s="37"/>
      <c r="I79" s="37"/>
      <c r="J79" s="37"/>
      <c r="K79" s="37"/>
      <c r="L79" s="37"/>
      <c r="M79" s="37"/>
      <c r="N79" s="37"/>
      <c r="O79" s="37"/>
      <c r="P79" s="37"/>
      <c r="Q79" s="37"/>
      <c r="R79" s="37"/>
      <c r="S79" s="37"/>
      <c r="T79" s="37"/>
      <c r="W79" s="37">
        <f>IF(OR($U79="",$V79=""),"",$V79-$U79+1)</f>
      </c>
      <c r="X79" s="37"/>
      <c r="Y79" s="37"/>
      <c r="Z79" s="211"/>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row>
    <row r="80" spans="1:118" x14ac:dyDescent="0.2">
      <c r="B80" s="37"/>
      <c r="C80" s="37"/>
      <c r="D80" s="37"/>
      <c r="E80" s="37"/>
      <c r="F80" s="37"/>
      <c r="G80" s="37"/>
      <c r="H80" s="37"/>
      <c r="I80" s="37"/>
      <c r="J80" s="37"/>
      <c r="K80" s="37"/>
      <c r="L80" s="37"/>
      <c r="M80" s="37"/>
      <c r="N80" s="37"/>
      <c r="O80" s="37"/>
      <c r="P80" s="37"/>
      <c r="Q80" s="37"/>
      <c r="R80" s="37"/>
      <c r="S80" s="37"/>
      <c r="T80" s="37"/>
      <c r="W80" s="37">
        <f>IF(OR($U80="",$V80=""),"",$V80-$U80+1)</f>
      </c>
      <c r="X80" s="37"/>
      <c r="Y80" s="37"/>
      <c r="Z80" s="211"/>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row>
    <row r="81" spans="1:118" x14ac:dyDescent="0.2">
      <c r="B81" s="37"/>
      <c r="C81" s="37"/>
      <c r="D81" s="37"/>
      <c r="E81" s="37"/>
      <c r="F81" s="37"/>
      <c r="G81" s="37"/>
      <c r="H81" s="37"/>
      <c r="I81" s="37"/>
      <c r="J81" s="37"/>
      <c r="K81" s="37"/>
      <c r="L81" s="37"/>
      <c r="M81" s="37"/>
      <c r="N81" s="37"/>
      <c r="O81" s="37"/>
      <c r="P81" s="37"/>
      <c r="Q81" s="37"/>
      <c r="R81" s="37"/>
      <c r="S81" s="37"/>
      <c r="T81" s="37"/>
      <c r="W81" s="37">
        <f>IF(OR($U81="",$V81=""),"",$V81-$U81+1)</f>
      </c>
      <c r="X81" s="37"/>
      <c r="Y81" s="37"/>
      <c r="Z81" s="211"/>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row>
    <row r="82" spans="1:118" x14ac:dyDescent="0.2">
      <c r="B82" s="37"/>
      <c r="C82" s="37"/>
      <c r="D82" s="37"/>
      <c r="E82" s="37"/>
      <c r="F82" s="37"/>
      <c r="G82" s="37"/>
      <c r="H82" s="37"/>
      <c r="I82" s="37"/>
      <c r="J82" s="37"/>
      <c r="K82" s="37"/>
      <c r="L82" s="37"/>
      <c r="M82" s="37"/>
      <c r="N82" s="37"/>
      <c r="O82" s="37"/>
      <c r="P82" s="37"/>
      <c r="Q82" s="37"/>
      <c r="R82" s="37"/>
      <c r="S82" s="37"/>
      <c r="T82" s="37"/>
      <c r="W82" s="37">
        <f>IF(OR($U82="",$V82=""),"",$V82-$U82+1)</f>
      </c>
      <c r="X82" s="37"/>
      <c r="Y82" s="37"/>
      <c r="Z82" s="211"/>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row>
    <row r="83" spans="1:118" x14ac:dyDescent="0.2">
      <c r="B83" s="37"/>
      <c r="C83" s="37"/>
      <c r="D83" s="37"/>
      <c r="E83" s="37"/>
      <c r="F83" s="37"/>
      <c r="G83" s="37"/>
      <c r="H83" s="37"/>
      <c r="I83" s="37"/>
      <c r="J83" s="37"/>
      <c r="K83" s="37"/>
      <c r="L83" s="37"/>
      <c r="M83" s="37"/>
      <c r="N83" s="37"/>
      <c r="O83" s="37"/>
      <c r="P83" s="37"/>
      <c r="Q83" s="37"/>
      <c r="R83" s="37"/>
      <c r="S83" s="37"/>
      <c r="T83" s="37"/>
      <c r="W83" s="37">
        <f>IF(OR($U83="",$V83=""),"",$V83-$U83+1)</f>
      </c>
      <c r="X83" s="37"/>
      <c r="Y83" s="37"/>
      <c r="Z83" s="211"/>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row>
    <row r="84" spans="1:118" x14ac:dyDescent="0.2">
      <c r="B84" s="37"/>
      <c r="C84" s="37"/>
      <c r="D84" s="37"/>
      <c r="E84" s="37"/>
      <c r="F84" s="37"/>
      <c r="G84" s="37"/>
      <c r="H84" s="37"/>
      <c r="I84" s="37"/>
      <c r="J84" s="37"/>
      <c r="K84" s="37"/>
      <c r="L84" s="37"/>
      <c r="M84" s="37"/>
      <c r="N84" s="37"/>
      <c r="O84" s="37"/>
      <c r="P84" s="37"/>
      <c r="Q84" s="37"/>
      <c r="R84" s="37"/>
      <c r="S84" s="37"/>
      <c r="T84" s="37"/>
      <c r="W84" s="37">
        <f>IF(OR($U84="",$V84=""),"",$V84-$U84+1)</f>
      </c>
      <c r="X84" s="37"/>
      <c r="Y84" s="37"/>
      <c r="Z84" s="211"/>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row>
    <row r="85" spans="1:118" x14ac:dyDescent="0.2">
      <c r="B85" s="37"/>
      <c r="C85" s="37"/>
      <c r="D85" s="37"/>
      <c r="E85" s="37"/>
      <c r="F85" s="37"/>
      <c r="G85" s="37"/>
      <c r="H85" s="37"/>
      <c r="I85" s="37"/>
      <c r="J85" s="37"/>
      <c r="K85" s="37"/>
      <c r="L85" s="37"/>
      <c r="M85" s="37"/>
      <c r="N85" s="37"/>
      <c r="O85" s="37"/>
      <c r="P85" s="37"/>
      <c r="Q85" s="37"/>
      <c r="R85" s="37"/>
      <c r="S85" s="37"/>
      <c r="T85" s="37"/>
      <c r="W85" s="37">
        <f>IF(OR($U85="",$V85=""),"",$V85-$U85+1)</f>
      </c>
      <c r="X85" s="37"/>
      <c r="Y85" s="37"/>
      <c r="Z85" s="211"/>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row>
    <row r="86" spans="1:118" x14ac:dyDescent="0.2">
      <c r="B86" s="37"/>
      <c r="C86" s="37"/>
      <c r="D86" s="37"/>
      <c r="E86" s="37"/>
      <c r="F86" s="37"/>
      <c r="G86" s="37"/>
      <c r="H86" s="37"/>
      <c r="I86" s="37"/>
      <c r="J86" s="37"/>
      <c r="K86" s="37"/>
      <c r="L86" s="37"/>
      <c r="M86" s="37"/>
      <c r="N86" s="37"/>
      <c r="O86" s="37"/>
      <c r="P86" s="37"/>
      <c r="Q86" s="37"/>
      <c r="R86" s="37"/>
      <c r="S86" s="37"/>
      <c r="T86" s="37"/>
      <c r="W86" s="37">
        <f>IF(OR($U86="",$V86=""),"",$V86-$U86+1)</f>
      </c>
      <c r="X86" s="37"/>
      <c r="Y86" s="37"/>
      <c r="Z86" s="211"/>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row>
    <row r="87" spans="1:118" x14ac:dyDescent="0.2">
      <c r="B87" s="37"/>
      <c r="C87" s="37"/>
      <c r="D87" s="37"/>
      <c r="E87" s="37"/>
      <c r="F87" s="37"/>
      <c r="G87" s="37"/>
      <c r="H87" s="37"/>
      <c r="I87" s="37"/>
      <c r="J87" s="37"/>
      <c r="K87" s="37"/>
      <c r="L87" s="37"/>
      <c r="M87" s="37"/>
      <c r="N87" s="37"/>
      <c r="O87" s="37"/>
      <c r="P87" s="37"/>
      <c r="Q87" s="37"/>
      <c r="R87" s="37"/>
      <c r="S87" s="37"/>
      <c r="T87" s="37"/>
      <c r="W87" s="37">
        <f>IF(OR($U87="",$V87=""),"",$V87-$U87+1)</f>
      </c>
      <c r="X87" s="37"/>
      <c r="Y87" s="37"/>
      <c r="Z87" s="211"/>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row>
    <row r="88" spans="1:118" x14ac:dyDescent="0.2">
      <c r="B88" s="37"/>
      <c r="C88" s="37"/>
      <c r="D88" s="37"/>
      <c r="E88" s="37"/>
      <c r="F88" s="37"/>
      <c r="G88" s="37"/>
      <c r="H88" s="37"/>
      <c r="I88" s="37"/>
      <c r="J88" s="37"/>
      <c r="K88" s="37"/>
      <c r="L88" s="37"/>
      <c r="M88" s="37"/>
      <c r="N88" s="37"/>
      <c r="O88" s="37"/>
      <c r="P88" s="37"/>
      <c r="Q88" s="37"/>
      <c r="R88" s="37"/>
      <c r="S88" s="37"/>
      <c r="T88" s="37"/>
      <c r="W88" s="37">
        <f>IF(OR($U88="",$V88=""),"",$V88-$U88+1)</f>
      </c>
      <c r="X88" s="37"/>
      <c r="Y88" s="37"/>
      <c r="Z88" s="211"/>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row>
    <row r="89" spans="1:118" x14ac:dyDescent="0.2">
      <c r="B89" s="37"/>
      <c r="C89" s="37"/>
      <c r="D89" s="37"/>
      <c r="E89" s="37"/>
      <c r="F89" s="37"/>
      <c r="G89" s="37"/>
      <c r="H89" s="37"/>
      <c r="I89" s="37"/>
      <c r="J89" s="37"/>
      <c r="K89" s="37"/>
      <c r="L89" s="37"/>
      <c r="M89" s="37"/>
      <c r="N89" s="37"/>
      <c r="O89" s="37"/>
      <c r="P89" s="37"/>
      <c r="Q89" s="37"/>
      <c r="R89" s="37"/>
      <c r="S89" s="37"/>
      <c r="T89" s="37"/>
      <c r="W89" s="37">
        <f>IF(OR($U89="",$V89=""),"",$V89-$U89+1)</f>
      </c>
      <c r="X89" s="37"/>
      <c r="Y89" s="37"/>
      <c r="Z89" s="211"/>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row>
    <row r="90" spans="1:118" x14ac:dyDescent="0.2">
      <c r="B90" s="37"/>
      <c r="C90" s="37"/>
      <c r="D90" s="37"/>
      <c r="E90" s="37"/>
      <c r="F90" s="37"/>
      <c r="G90" s="37"/>
      <c r="H90" s="37"/>
      <c r="I90" s="37"/>
      <c r="J90" s="37"/>
      <c r="K90" s="37"/>
      <c r="L90" s="37"/>
      <c r="M90" s="37"/>
      <c r="N90" s="37"/>
      <c r="O90" s="37"/>
      <c r="P90" s="37"/>
      <c r="Q90" s="37"/>
      <c r="R90" s="37"/>
      <c r="S90" s="37"/>
      <c r="T90" s="37"/>
      <c r="W90" s="37">
        <f>IF(OR($U90="",$V90=""),"",$V90-$U90+1)</f>
      </c>
      <c r="X90" s="37"/>
      <c r="Y90" s="37"/>
      <c r="Z90" s="211"/>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row>
    <row r="91" spans="1:118" x14ac:dyDescent="0.2">
      <c r="B91" s="37"/>
      <c r="C91" s="37"/>
      <c r="D91" s="37"/>
      <c r="E91" s="37"/>
      <c r="F91" s="37"/>
      <c r="G91" s="37"/>
      <c r="H91" s="37"/>
      <c r="I91" s="37"/>
      <c r="J91" s="37"/>
      <c r="K91" s="37"/>
      <c r="L91" s="37"/>
      <c r="M91" s="37"/>
      <c r="N91" s="37"/>
      <c r="O91" s="37"/>
      <c r="P91" s="37"/>
      <c r="Q91" s="37"/>
      <c r="R91" s="37"/>
      <c r="S91" s="37"/>
      <c r="T91" s="37"/>
      <c r="W91" s="37">
        <f>IF(OR($U91="",$V91=""),"",$V91-$U91+1)</f>
      </c>
      <c r="X91" s="37"/>
      <c r="Y91" s="37"/>
      <c r="Z91" s="211"/>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row>
    <row r="92" spans="1:118" x14ac:dyDescent="0.2">
      <c r="B92" s="37"/>
      <c r="C92" s="37"/>
      <c r="D92" s="37"/>
      <c r="E92" s="37"/>
      <c r="F92" s="37"/>
      <c r="G92" s="37"/>
      <c r="H92" s="37"/>
      <c r="I92" s="37"/>
      <c r="J92" s="37"/>
      <c r="K92" s="37"/>
      <c r="L92" s="37"/>
      <c r="M92" s="37"/>
      <c r="N92" s="37"/>
      <c r="O92" s="37"/>
      <c r="P92" s="37"/>
      <c r="Q92" s="37"/>
      <c r="R92" s="37"/>
      <c r="S92" s="37"/>
      <c r="T92" s="37"/>
      <c r="W92" s="37">
        <f>IF(OR($U92="",$V92=""),"",$V92-$U92+1)</f>
      </c>
      <c r="X92" s="37"/>
      <c r="Y92" s="37"/>
      <c r="Z92" s="211"/>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c r="DL92" s="37"/>
      <c r="DM92" s="37"/>
      <c r="DN92" s="37"/>
    </row>
    <row r="93" spans="1:118" x14ac:dyDescent="0.2">
      <c r="B93" s="37"/>
      <c r="C93" s="37"/>
      <c r="D93" s="37"/>
      <c r="E93" s="37"/>
      <c r="F93" s="37"/>
      <c r="G93" s="37"/>
      <c r="H93" s="37"/>
      <c r="I93" s="37"/>
      <c r="J93" s="37"/>
      <c r="K93" s="37"/>
      <c r="L93" s="37"/>
      <c r="M93" s="37"/>
      <c r="N93" s="37"/>
      <c r="O93" s="37"/>
      <c r="P93" s="37"/>
      <c r="Q93" s="37"/>
      <c r="R93" s="37"/>
      <c r="S93" s="37"/>
      <c r="T93" s="37"/>
      <c r="W93" s="37">
        <f>IF(OR($U93="",$V93=""),"",$V93-$U93+1)</f>
      </c>
      <c r="X93" s="37"/>
      <c r="Y93" s="37"/>
      <c r="Z93" s="211"/>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row>
    <row r="94" spans="1:118" x14ac:dyDescent="0.2">
      <c r="B94" s="37"/>
      <c r="C94" s="37"/>
      <c r="D94" s="37"/>
      <c r="E94" s="37"/>
      <c r="F94" s="37"/>
      <c r="G94" s="37"/>
      <c r="H94" s="37"/>
      <c r="I94" s="37"/>
      <c r="J94" s="37"/>
      <c r="K94" s="37"/>
      <c r="L94" s="37"/>
      <c r="M94" s="37"/>
      <c r="N94" s="37"/>
      <c r="O94" s="37"/>
      <c r="P94" s="37"/>
      <c r="Q94" s="37"/>
      <c r="R94" s="37"/>
      <c r="S94" s="37"/>
      <c r="T94" s="37"/>
      <c r="W94" s="37">
        <f>IF(OR($U94="",$V94=""),"",$V94-$U94+1)</f>
      </c>
      <c r="X94" s="37"/>
      <c r="Y94" s="37"/>
      <c r="Z94" s="211"/>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row>
    <row r="95" spans="1:118" x14ac:dyDescent="0.2">
      <c r="B95" s="37"/>
      <c r="C95" s="37"/>
      <c r="D95" s="37"/>
      <c r="E95" s="37"/>
      <c r="F95" s="37"/>
      <c r="G95" s="37"/>
      <c r="H95" s="37"/>
      <c r="I95" s="37"/>
      <c r="J95" s="37"/>
      <c r="K95" s="37"/>
      <c r="L95" s="37"/>
      <c r="M95" s="37"/>
      <c r="N95" s="37"/>
      <c r="O95" s="37"/>
      <c r="P95" s="37"/>
      <c r="Q95" s="37"/>
      <c r="R95" s="37"/>
      <c r="S95" s="37"/>
      <c r="T95" s="37"/>
      <c r="W95" s="37">
        <f>IF(OR($U95="",$V95=""),"",$V95-$U95+1)</f>
      </c>
      <c r="X95" s="37"/>
      <c r="Y95" s="37"/>
      <c r="Z95" s="211"/>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row>
    <row r="96" spans="1:118" x14ac:dyDescent="0.2">
      <c r="B96" s="37"/>
      <c r="C96" s="37"/>
      <c r="D96" s="37"/>
      <c r="E96" s="37"/>
      <c r="F96" s="37"/>
      <c r="G96" s="37"/>
      <c r="H96" s="37"/>
      <c r="I96" s="37"/>
      <c r="J96" s="37"/>
      <c r="K96" s="37"/>
      <c r="L96" s="37"/>
      <c r="M96" s="37"/>
      <c r="N96" s="37"/>
      <c r="O96" s="37"/>
      <c r="P96" s="37"/>
      <c r="Q96" s="37"/>
      <c r="R96" s="37"/>
      <c r="S96" s="37"/>
      <c r="T96" s="37"/>
      <c r="W96" s="37">
        <f>IF(OR($U96="",$V96=""),"",$V96-$U96+1)</f>
      </c>
      <c r="X96" s="37"/>
      <c r="Y96" s="37"/>
      <c r="Z96" s="211"/>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row>
    <row r="97" spans="1:118" x14ac:dyDescent="0.2">
      <c r="B97" s="37"/>
      <c r="C97" s="37"/>
      <c r="D97" s="37"/>
      <c r="E97" s="37"/>
      <c r="F97" s="37"/>
      <c r="G97" s="37"/>
      <c r="H97" s="37"/>
      <c r="I97" s="37"/>
      <c r="J97" s="37"/>
      <c r="K97" s="37"/>
      <c r="L97" s="37"/>
      <c r="M97" s="37"/>
      <c r="N97" s="37"/>
      <c r="O97" s="37"/>
      <c r="P97" s="37"/>
      <c r="Q97" s="37"/>
      <c r="R97" s="37"/>
      <c r="S97" s="37"/>
      <c r="T97" s="37"/>
      <c r="W97" s="37">
        <f>IF(OR($U97="",$V97=""),"",$V97-$U97+1)</f>
      </c>
      <c r="X97" s="37"/>
      <c r="Y97" s="37"/>
      <c r="Z97" s="211"/>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c r="DL97" s="37"/>
      <c r="DM97" s="37"/>
      <c r="DN97" s="37"/>
    </row>
    <row r="98" spans="1:118" x14ac:dyDescent="0.2">
      <c r="B98" s="37"/>
      <c r="C98" s="37"/>
      <c r="D98" s="37"/>
      <c r="E98" s="37"/>
      <c r="F98" s="37"/>
      <c r="G98" s="37"/>
      <c r="H98" s="37"/>
      <c r="I98" s="37"/>
      <c r="J98" s="37"/>
      <c r="K98" s="37"/>
      <c r="L98" s="37"/>
      <c r="M98" s="37"/>
      <c r="N98" s="37"/>
      <c r="O98" s="37"/>
      <c r="P98" s="37"/>
      <c r="Q98" s="37"/>
      <c r="R98" s="37"/>
      <c r="S98" s="37"/>
      <c r="T98" s="37"/>
      <c r="W98" s="37">
        <f>IF(OR($U98="",$V98=""),"",$V98-$U98+1)</f>
      </c>
      <c r="X98" s="37"/>
      <c r="Y98" s="37"/>
      <c r="Z98" s="211"/>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row>
    <row r="99" spans="1:118" x14ac:dyDescent="0.2">
      <c r="B99" s="37"/>
      <c r="C99" s="37"/>
      <c r="D99" s="37"/>
      <c r="E99" s="37"/>
      <c r="F99" s="37"/>
      <c r="G99" s="37"/>
      <c r="H99" s="37"/>
      <c r="I99" s="37"/>
      <c r="J99" s="37"/>
      <c r="K99" s="37"/>
      <c r="L99" s="37"/>
      <c r="M99" s="37"/>
      <c r="N99" s="37"/>
      <c r="O99" s="37"/>
      <c r="P99" s="37"/>
      <c r="Q99" s="37"/>
      <c r="R99" s="37"/>
      <c r="S99" s="37"/>
      <c r="T99" s="37"/>
      <c r="W99" s="37">
        <f>IF(OR($U99="",$V99=""),"",$V99-$U99+1)</f>
      </c>
      <c r="X99" s="37"/>
      <c r="Y99" s="37"/>
      <c r="Z99" s="211"/>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row>
    <row r="100" spans="1:118" x14ac:dyDescent="0.2">
      <c r="B100" s="37"/>
      <c r="C100" s="37"/>
      <c r="D100" s="37"/>
      <c r="E100" s="37"/>
      <c r="F100" s="37"/>
      <c r="G100" s="37"/>
      <c r="H100" s="37"/>
      <c r="I100" s="37"/>
      <c r="J100" s="37"/>
      <c r="K100" s="37"/>
      <c r="L100" s="37"/>
      <c r="M100" s="37"/>
      <c r="N100" s="37"/>
      <c r="O100" s="37"/>
      <c r="P100" s="37"/>
      <c r="Q100" s="37"/>
      <c r="R100" s="37"/>
      <c r="S100" s="37"/>
      <c r="T100" s="37"/>
      <c r="W100" s="37">
        <f>IF(OR($U100="",$V100=""),"",$V100-$U100+1)</f>
      </c>
      <c r="X100" s="37"/>
      <c r="Y100" s="37"/>
      <c r="Z100" s="211"/>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row>
    <row r="101" spans="1:118" x14ac:dyDescent="0.2">
      <c r="B101" s="37"/>
      <c r="C101" s="37"/>
      <c r="D101" s="37"/>
      <c r="E101" s="37"/>
      <c r="F101" s="37"/>
      <c r="G101" s="37"/>
      <c r="H101" s="37"/>
      <c r="I101" s="37"/>
      <c r="J101" s="37"/>
      <c r="K101" s="37"/>
      <c r="L101" s="37"/>
      <c r="M101" s="37"/>
      <c r="N101" s="37"/>
      <c r="O101" s="37"/>
      <c r="P101" s="37"/>
      <c r="Q101" s="37"/>
      <c r="R101" s="37"/>
      <c r="S101" s="37"/>
      <c r="T101" s="37"/>
      <c r="W101" s="37">
        <f>IF(OR($U101="",$V101=""),"",$V101-$U101+1)</f>
      </c>
      <c r="X101" s="37"/>
      <c r="Y101" s="37"/>
      <c r="Z101" s="211"/>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row>
    <row r="102" spans="1:118" x14ac:dyDescent="0.2">
      <c r="B102" s="37"/>
      <c r="C102" s="37"/>
      <c r="D102" s="37"/>
      <c r="E102" s="37"/>
      <c r="F102" s="37"/>
      <c r="G102" s="37"/>
      <c r="H102" s="37"/>
      <c r="I102" s="37"/>
      <c r="J102" s="37"/>
      <c r="K102" s="37"/>
      <c r="L102" s="37"/>
      <c r="M102" s="37"/>
      <c r="N102" s="37"/>
      <c r="O102" s="37"/>
      <c r="P102" s="37"/>
      <c r="Q102" s="37"/>
      <c r="R102" s="37"/>
      <c r="S102" s="37"/>
      <c r="T102" s="37"/>
      <c r="W102" s="37">
        <f>IF(OR($U102="",$V102=""),"",$V102-$U102+1)</f>
      </c>
      <c r="X102" s="37"/>
      <c r="Y102" s="37"/>
      <c r="Z102" s="211"/>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row>
    <row r="103" spans="1:118" x14ac:dyDescent="0.2">
      <c r="B103" s="37"/>
      <c r="C103" s="37"/>
      <c r="D103" s="37"/>
      <c r="E103" s="37"/>
      <c r="F103" s="37"/>
      <c r="G103" s="37"/>
      <c r="H103" s="37"/>
      <c r="I103" s="37"/>
      <c r="J103" s="37"/>
      <c r="K103" s="37"/>
      <c r="L103" s="37"/>
      <c r="M103" s="37"/>
      <c r="N103" s="37"/>
      <c r="O103" s="37"/>
      <c r="P103" s="37"/>
      <c r="Q103" s="37"/>
      <c r="R103" s="37"/>
      <c r="S103" s="37"/>
      <c r="T103" s="37"/>
      <c r="W103" s="37">
        <f>IF(OR($U103="",$V103=""),"",$V103-$U103+1)</f>
      </c>
      <c r="X103" s="37"/>
      <c r="Y103" s="37"/>
      <c r="Z103" s="211"/>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row>
    <row r="104" spans="1:118" x14ac:dyDescent="0.2">
      <c r="B104" s="37"/>
      <c r="C104" s="37"/>
      <c r="D104" s="37"/>
      <c r="E104" s="37"/>
      <c r="F104" s="37"/>
      <c r="G104" s="37"/>
      <c r="H104" s="37"/>
      <c r="I104" s="37"/>
      <c r="J104" s="37"/>
      <c r="K104" s="37"/>
      <c r="L104" s="37"/>
      <c r="M104" s="37"/>
      <c r="N104" s="37"/>
      <c r="O104" s="37"/>
      <c r="P104" s="37"/>
      <c r="Q104" s="37"/>
      <c r="R104" s="37"/>
      <c r="S104" s="37"/>
      <c r="T104" s="37"/>
      <c r="W104" s="37">
        <f>IF(OR($U104="",$V104=""),"",$V104-$U104+1)</f>
      </c>
      <c r="X104" s="37"/>
      <c r="Y104" s="37"/>
      <c r="Z104" s="211"/>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row>
    <row r="105" spans="1:118" x14ac:dyDescent="0.2">
      <c r="B105" s="37"/>
      <c r="C105" s="37"/>
      <c r="D105" s="37"/>
      <c r="E105" s="37"/>
      <c r="F105" s="37"/>
      <c r="G105" s="37"/>
      <c r="H105" s="37"/>
      <c r="I105" s="37"/>
      <c r="J105" s="37"/>
      <c r="K105" s="37"/>
      <c r="L105" s="37"/>
      <c r="M105" s="37"/>
      <c r="N105" s="37"/>
      <c r="O105" s="37"/>
      <c r="P105" s="37"/>
      <c r="Q105" s="37"/>
      <c r="R105" s="37"/>
      <c r="S105" s="37"/>
      <c r="T105" s="37"/>
      <c r="W105" s="37">
        <f>IF(OR($U105="",$V105=""),"",$V105-$U105+1)</f>
      </c>
      <c r="X105" s="37"/>
      <c r="Y105" s="37"/>
      <c r="Z105" s="211"/>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row>
    <row r="106" spans="1:118" x14ac:dyDescent="0.2">
      <c r="B106" s="37"/>
      <c r="C106" s="37"/>
      <c r="D106" s="37"/>
      <c r="E106" s="37"/>
      <c r="F106" s="37"/>
      <c r="G106" s="37"/>
      <c r="H106" s="37"/>
      <c r="I106" s="37"/>
      <c r="J106" s="37"/>
      <c r="K106" s="37"/>
      <c r="L106" s="37"/>
      <c r="M106" s="37"/>
      <c r="N106" s="37"/>
      <c r="O106" s="37"/>
      <c r="P106" s="37"/>
      <c r="Q106" s="37"/>
      <c r="R106" s="37"/>
      <c r="S106" s="37"/>
      <c r="T106" s="37"/>
      <c r="W106" s="37">
        <f>IF(OR($U106="",$V106=""),"",$V106-$U106+1)</f>
      </c>
      <c r="X106" s="37"/>
      <c r="Y106" s="37"/>
      <c r="Z106" s="211"/>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row>
    <row r="107" spans="1:118" x14ac:dyDescent="0.2">
      <c r="B107" s="37"/>
      <c r="C107" s="37"/>
      <c r="D107" s="37"/>
      <c r="E107" s="37"/>
      <c r="F107" s="37"/>
      <c r="G107" s="37"/>
      <c r="H107" s="37"/>
      <c r="I107" s="37"/>
      <c r="J107" s="37"/>
      <c r="K107" s="37"/>
      <c r="L107" s="37"/>
      <c r="M107" s="37"/>
      <c r="N107" s="37"/>
      <c r="O107" s="37"/>
      <c r="P107" s="37"/>
      <c r="Q107" s="37"/>
      <c r="R107" s="37"/>
      <c r="S107" s="37"/>
      <c r="T107" s="37"/>
      <c r="W107" s="37">
        <f>IF(OR($U107="",$V107=""),"",$V107-$U107+1)</f>
      </c>
      <c r="X107" s="37"/>
      <c r="Y107" s="37"/>
      <c r="Z107" s="211"/>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row>
    <row r="108" spans="1:118" x14ac:dyDescent="0.2">
      <c r="B108" s="37"/>
      <c r="C108" s="37"/>
      <c r="D108" s="37"/>
      <c r="E108" s="37"/>
      <c r="F108" s="37"/>
      <c r="G108" s="37"/>
      <c r="H108" s="37"/>
      <c r="I108" s="37"/>
      <c r="J108" s="37"/>
      <c r="K108" s="37"/>
      <c r="L108" s="37"/>
      <c r="M108" s="37"/>
      <c r="N108" s="37"/>
      <c r="O108" s="37"/>
      <c r="P108" s="37"/>
      <c r="Q108" s="37"/>
      <c r="R108" s="37"/>
      <c r="S108" s="37"/>
      <c r="T108" s="37"/>
      <c r="W108" s="37">
        <f>IF(OR($U108="",$V108=""),"",$V108-$U108+1)</f>
      </c>
      <c r="X108" s="37"/>
      <c r="Y108" s="37"/>
      <c r="Z108" s="211"/>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row>
    <row r="109" spans="1:118" x14ac:dyDescent="0.2">
      <c r="B109" s="37"/>
      <c r="C109" s="37"/>
      <c r="D109" s="37"/>
      <c r="E109" s="37"/>
      <c r="F109" s="37"/>
      <c r="G109" s="37"/>
      <c r="H109" s="37"/>
      <c r="I109" s="37"/>
      <c r="J109" s="37"/>
      <c r="K109" s="37"/>
      <c r="L109" s="37"/>
      <c r="M109" s="37"/>
      <c r="N109" s="37"/>
      <c r="O109" s="37"/>
      <c r="P109" s="37"/>
      <c r="Q109" s="37"/>
      <c r="R109" s="37"/>
      <c r="S109" s="37"/>
      <c r="T109" s="37"/>
      <c r="W109" s="37">
        <f>IF(OR($U109="",$V109=""),"",$V109-$U109+1)</f>
      </c>
      <c r="X109" s="37"/>
      <c r="Y109" s="37"/>
      <c r="Z109" s="211"/>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c r="DL109" s="37"/>
      <c r="DM109" s="37"/>
      <c r="DN109" s="37"/>
    </row>
    <row r="110" spans="1:118" x14ac:dyDescent="0.2">
      <c r="B110" s="37"/>
      <c r="C110" s="37"/>
      <c r="D110" s="37"/>
      <c r="E110" s="37"/>
      <c r="F110" s="37"/>
      <c r="G110" s="37"/>
      <c r="H110" s="37"/>
      <c r="I110" s="37"/>
      <c r="J110" s="37"/>
      <c r="K110" s="37"/>
      <c r="L110" s="37"/>
      <c r="M110" s="37"/>
      <c r="N110" s="37"/>
      <c r="O110" s="37"/>
      <c r="P110" s="37"/>
      <c r="Q110" s="37"/>
      <c r="R110" s="37"/>
      <c r="S110" s="37"/>
      <c r="T110" s="37"/>
      <c r="W110" s="37">
        <f>IF(OR($U110="",$V110=""),"",$V110-$U110+1)</f>
      </c>
      <c r="X110" s="37"/>
      <c r="Y110" s="37"/>
      <c r="Z110" s="211"/>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row>
    <row r="111" spans="1:118" x14ac:dyDescent="0.2">
      <c r="B111" s="37"/>
      <c r="C111" s="37"/>
      <c r="D111" s="37"/>
      <c r="E111" s="37"/>
      <c r="F111" s="37"/>
      <c r="G111" s="37"/>
      <c r="H111" s="37"/>
      <c r="I111" s="37"/>
      <c r="J111" s="37"/>
      <c r="K111" s="37"/>
      <c r="L111" s="37"/>
      <c r="M111" s="37"/>
      <c r="N111" s="37"/>
      <c r="O111" s="37"/>
      <c r="P111" s="37"/>
      <c r="Q111" s="37"/>
      <c r="R111" s="37"/>
      <c r="S111" s="37"/>
      <c r="T111" s="37"/>
      <c r="W111" s="37">
        <f>IF(OR($U111="",$V111=""),"",$V111-$U111+1)</f>
      </c>
      <c r="X111" s="37"/>
      <c r="Y111" s="37"/>
      <c r="Z111" s="211"/>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c r="DL111" s="37"/>
      <c r="DM111" s="37"/>
      <c r="DN111" s="37"/>
    </row>
    <row r="112" spans="1:118" x14ac:dyDescent="0.2">
      <c r="B112" s="37"/>
      <c r="C112" s="37"/>
      <c r="D112" s="37"/>
      <c r="E112" s="37"/>
      <c r="F112" s="37"/>
      <c r="G112" s="37"/>
      <c r="H112" s="37"/>
      <c r="I112" s="37"/>
      <c r="J112" s="37"/>
      <c r="K112" s="37"/>
      <c r="L112" s="37"/>
      <c r="M112" s="37"/>
      <c r="N112" s="37"/>
      <c r="O112" s="37"/>
      <c r="P112" s="37"/>
      <c r="Q112" s="37"/>
      <c r="R112" s="37"/>
      <c r="S112" s="37"/>
      <c r="T112" s="37"/>
      <c r="W112" s="37">
        <f>IF(OR($U112="",$V112=""),"",$V112-$U112+1)</f>
      </c>
      <c r="X112" s="37"/>
      <c r="Y112" s="37"/>
      <c r="Z112" s="211"/>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row>
    <row r="113" spans="1:118" x14ac:dyDescent="0.2">
      <c r="B113" s="37"/>
      <c r="C113" s="37"/>
      <c r="D113" s="37"/>
      <c r="E113" s="37"/>
      <c r="F113" s="37"/>
      <c r="G113" s="37"/>
      <c r="H113" s="37"/>
      <c r="I113" s="37"/>
      <c r="J113" s="37"/>
      <c r="K113" s="37"/>
      <c r="L113" s="37"/>
      <c r="M113" s="37"/>
      <c r="N113" s="37"/>
      <c r="O113" s="37"/>
      <c r="P113" s="37"/>
      <c r="Q113" s="37"/>
      <c r="R113" s="37"/>
      <c r="S113" s="37"/>
      <c r="T113" s="37"/>
      <c r="W113" s="37">
        <f>IF(OR($U113="",$V113=""),"",$V113-$U113+1)</f>
      </c>
      <c r="X113" s="37"/>
      <c r="Y113" s="37"/>
      <c r="Z113" s="211"/>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c r="DL113" s="37"/>
      <c r="DM113" s="37"/>
      <c r="DN113" s="37"/>
    </row>
    <row r="114" spans="1:118" x14ac:dyDescent="0.2">
      <c r="B114" s="37"/>
      <c r="C114" s="37"/>
      <c r="D114" s="37"/>
      <c r="E114" s="37"/>
      <c r="F114" s="37"/>
      <c r="G114" s="37"/>
      <c r="H114" s="37"/>
      <c r="I114" s="37"/>
      <c r="J114" s="37"/>
      <c r="K114" s="37"/>
      <c r="L114" s="37"/>
      <c r="M114" s="37"/>
      <c r="N114" s="37"/>
      <c r="O114" s="37"/>
      <c r="P114" s="37"/>
      <c r="Q114" s="37"/>
      <c r="R114" s="37"/>
      <c r="S114" s="37"/>
      <c r="T114" s="37"/>
      <c r="W114" s="37">
        <f>IF(OR($U114="",$V114=""),"",$V114-$U114+1)</f>
      </c>
      <c r="X114" s="37"/>
      <c r="Y114" s="37"/>
      <c r="Z114" s="211"/>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row>
    <row r="115" spans="1:118" x14ac:dyDescent="0.2">
      <c r="B115" s="37"/>
      <c r="C115" s="37"/>
      <c r="D115" s="37"/>
      <c r="E115" s="37"/>
      <c r="F115" s="37"/>
      <c r="G115" s="37"/>
      <c r="H115" s="37"/>
      <c r="I115" s="37"/>
      <c r="J115" s="37"/>
      <c r="K115" s="37"/>
      <c r="L115" s="37"/>
      <c r="M115" s="37"/>
      <c r="N115" s="37"/>
      <c r="O115" s="37"/>
      <c r="P115" s="37"/>
      <c r="Q115" s="37"/>
      <c r="R115" s="37"/>
      <c r="S115" s="37"/>
      <c r="T115" s="37"/>
      <c r="W115" s="37">
        <f>IF(OR($U115="",$V115=""),"",$V115-$U115+1)</f>
      </c>
      <c r="X115" s="37"/>
      <c r="Y115" s="37"/>
      <c r="Z115" s="211"/>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row>
    <row r="116" spans="1:118" x14ac:dyDescent="0.2">
      <c r="B116" s="37"/>
      <c r="C116" s="37"/>
      <c r="D116" s="37"/>
      <c r="E116" s="37"/>
      <c r="F116" s="37"/>
      <c r="G116" s="37"/>
      <c r="H116" s="37"/>
      <c r="I116" s="37"/>
      <c r="J116" s="37"/>
      <c r="K116" s="37"/>
      <c r="L116" s="37"/>
      <c r="M116" s="37"/>
      <c r="N116" s="37"/>
      <c r="O116" s="37"/>
      <c r="P116" s="37"/>
      <c r="Q116" s="37"/>
      <c r="R116" s="37"/>
      <c r="S116" s="37"/>
      <c r="T116" s="37"/>
      <c r="W116" s="37">
        <f>IF(OR($U116="",$V116=""),"",$V116-$U116+1)</f>
      </c>
      <c r="X116" s="37"/>
      <c r="Y116" s="37"/>
      <c r="Z116" s="211"/>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row>
    <row r="117" spans="1:118" x14ac:dyDescent="0.2">
      <c r="B117" s="37"/>
      <c r="C117" s="37"/>
      <c r="D117" s="37"/>
      <c r="E117" s="37"/>
      <c r="F117" s="37"/>
      <c r="G117" s="37"/>
      <c r="H117" s="37"/>
      <c r="I117" s="37"/>
      <c r="J117" s="37"/>
      <c r="K117" s="37"/>
      <c r="L117" s="37"/>
      <c r="M117" s="37"/>
      <c r="N117" s="37"/>
      <c r="O117" s="37"/>
      <c r="P117" s="37"/>
      <c r="Q117" s="37"/>
      <c r="R117" s="37"/>
      <c r="S117" s="37"/>
      <c r="T117" s="37"/>
      <c r="W117" s="37">
        <f>IF(OR($U117="",$V117=""),"",$V117-$U117+1)</f>
      </c>
      <c r="X117" s="37"/>
      <c r="Y117" s="37"/>
      <c r="Z117" s="211"/>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row>
    <row r="118" spans="1:118" x14ac:dyDescent="0.2">
      <c r="B118" s="37"/>
      <c r="C118" s="37"/>
      <c r="D118" s="37"/>
      <c r="E118" s="37"/>
      <c r="F118" s="37"/>
      <c r="G118" s="37"/>
      <c r="H118" s="37"/>
      <c r="I118" s="37"/>
      <c r="J118" s="37"/>
      <c r="K118" s="37"/>
      <c r="L118" s="37"/>
      <c r="M118" s="37"/>
      <c r="N118" s="37"/>
      <c r="O118" s="37"/>
      <c r="P118" s="37"/>
      <c r="Q118" s="37"/>
      <c r="R118" s="37"/>
      <c r="S118" s="37"/>
      <c r="T118" s="37"/>
      <c r="W118" s="37">
        <f>IF(OR($U118="",$V118=""),"",$V118-$U118+1)</f>
      </c>
      <c r="X118" s="37"/>
      <c r="Y118" s="37"/>
      <c r="Z118" s="211"/>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row>
    <row r="119" spans="1:118" x14ac:dyDescent="0.2">
      <c r="B119" s="37"/>
      <c r="C119" s="37"/>
      <c r="D119" s="37"/>
      <c r="E119" s="37"/>
      <c r="F119" s="37"/>
      <c r="G119" s="37"/>
      <c r="H119" s="37"/>
      <c r="I119" s="37"/>
      <c r="J119" s="37"/>
      <c r="K119" s="37"/>
      <c r="L119" s="37"/>
      <c r="M119" s="37"/>
      <c r="N119" s="37"/>
      <c r="O119" s="37"/>
      <c r="P119" s="37"/>
      <c r="Q119" s="37"/>
      <c r="R119" s="37"/>
      <c r="S119" s="37"/>
      <c r="T119" s="37"/>
      <c r="W119" s="37">
        <f>IF(OR($U119="",$V119=""),"",$V119-$U119+1)</f>
      </c>
      <c r="X119" s="37"/>
      <c r="Y119" s="37"/>
      <c r="Z119" s="211"/>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row>
    <row r="120" spans="1:118" x14ac:dyDescent="0.2">
      <c r="B120" s="37"/>
      <c r="C120" s="37"/>
      <c r="D120" s="37"/>
      <c r="E120" s="37"/>
      <c r="F120" s="37"/>
      <c r="G120" s="37"/>
      <c r="H120" s="37"/>
      <c r="I120" s="37"/>
      <c r="J120" s="37"/>
      <c r="K120" s="37"/>
      <c r="L120" s="37"/>
      <c r="M120" s="37"/>
      <c r="N120" s="37"/>
      <c r="O120" s="37"/>
      <c r="P120" s="37"/>
      <c r="Q120" s="37"/>
      <c r="R120" s="37"/>
      <c r="S120" s="37"/>
      <c r="T120" s="37"/>
      <c r="W120" s="37">
        <f>IF(OR($U120="",$V120=""),"",$V120-$U120+1)</f>
      </c>
      <c r="X120" s="37"/>
      <c r="Y120" s="37"/>
      <c r="Z120" s="211"/>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row>
    <row r="121" spans="1:118" x14ac:dyDescent="0.2">
      <c r="B121" s="37"/>
      <c r="C121" s="37"/>
      <c r="D121" s="37"/>
      <c r="E121" s="37"/>
      <c r="F121" s="37"/>
      <c r="G121" s="37"/>
      <c r="H121" s="37"/>
      <c r="I121" s="37"/>
      <c r="J121" s="37"/>
      <c r="K121" s="37"/>
      <c r="L121" s="37"/>
      <c r="M121" s="37"/>
      <c r="N121" s="37"/>
      <c r="O121" s="37"/>
      <c r="P121" s="37"/>
      <c r="Q121" s="37"/>
      <c r="R121" s="37"/>
      <c r="S121" s="37"/>
      <c r="T121" s="37"/>
      <c r="W121" s="37">
        <f>IF(OR($U121="",$V121=""),"",$V121-$U121+1)</f>
      </c>
      <c r="X121" s="37"/>
      <c r="Y121" s="37"/>
      <c r="Z121" s="211"/>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row>
    <row r="122" spans="1:118" x14ac:dyDescent="0.2">
      <c r="B122" s="37"/>
      <c r="C122" s="37"/>
      <c r="D122" s="37"/>
      <c r="E122" s="37"/>
      <c r="F122" s="37"/>
      <c r="G122" s="37"/>
      <c r="H122" s="37"/>
      <c r="I122" s="37"/>
      <c r="J122" s="37"/>
      <c r="K122" s="37"/>
      <c r="L122" s="37"/>
      <c r="M122" s="37"/>
      <c r="N122" s="37"/>
      <c r="O122" s="37"/>
      <c r="P122" s="37"/>
      <c r="Q122" s="37"/>
      <c r="R122" s="37"/>
      <c r="S122" s="37"/>
      <c r="T122" s="37"/>
      <c r="W122" s="37">
        <f>IF(OR($U122="",$V122=""),"",$V122-$U122+1)</f>
      </c>
      <c r="X122" s="37"/>
      <c r="Y122" s="37"/>
      <c r="Z122" s="211"/>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row>
    <row r="123" spans="1:118" x14ac:dyDescent="0.2">
      <c r="B123" s="37"/>
      <c r="C123" s="37"/>
      <c r="D123" s="37"/>
      <c r="E123" s="37"/>
      <c r="F123" s="37"/>
      <c r="G123" s="37"/>
      <c r="H123" s="37"/>
      <c r="I123" s="37"/>
      <c r="J123" s="37"/>
      <c r="K123" s="37"/>
      <c r="L123" s="37"/>
      <c r="M123" s="37"/>
      <c r="N123" s="37"/>
      <c r="O123" s="37"/>
      <c r="P123" s="37"/>
      <c r="Q123" s="37"/>
      <c r="R123" s="37"/>
      <c r="S123" s="37"/>
      <c r="T123" s="37"/>
      <c r="W123" s="37">
        <f>IF(OR($U123="",$V123=""),"",$V123-$U123+1)</f>
      </c>
      <c r="X123" s="37"/>
      <c r="Y123" s="37"/>
      <c r="Z123" s="211"/>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row>
    <row r="124" spans="1:118" x14ac:dyDescent="0.2">
      <c r="B124" s="37"/>
      <c r="C124" s="37"/>
      <c r="D124" s="37"/>
      <c r="E124" s="37"/>
      <c r="F124" s="37"/>
      <c r="G124" s="37"/>
      <c r="H124" s="37"/>
      <c r="I124" s="37"/>
      <c r="J124" s="37"/>
      <c r="K124" s="37"/>
      <c r="L124" s="37"/>
      <c r="M124" s="37"/>
      <c r="N124" s="37"/>
      <c r="O124" s="37"/>
      <c r="P124" s="37"/>
      <c r="Q124" s="37"/>
      <c r="R124" s="37"/>
      <c r="S124" s="37"/>
      <c r="T124" s="37"/>
      <c r="W124" s="37">
        <f>IF(OR($U124="",$V124=""),"",$V124-$U124+1)</f>
      </c>
      <c r="X124" s="37"/>
      <c r="Y124" s="37"/>
      <c r="Z124" s="211"/>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row>
    <row r="125" spans="1:118" x14ac:dyDescent="0.2">
      <c r="B125" s="37"/>
      <c r="C125" s="37"/>
      <c r="D125" s="37"/>
      <c r="E125" s="37"/>
      <c r="F125" s="37"/>
      <c r="G125" s="37"/>
      <c r="H125" s="37"/>
      <c r="I125" s="37"/>
      <c r="J125" s="37"/>
      <c r="K125" s="37"/>
      <c r="L125" s="37"/>
      <c r="M125" s="37"/>
      <c r="N125" s="37"/>
      <c r="O125" s="37"/>
      <c r="P125" s="37"/>
      <c r="Q125" s="37"/>
      <c r="R125" s="37"/>
      <c r="S125" s="37"/>
      <c r="T125" s="37"/>
      <c r="W125" s="37">
        <f>IF(OR($U125="",$V125=""),"",$V125-$U125+1)</f>
      </c>
      <c r="X125" s="37"/>
      <c r="Y125" s="37"/>
      <c r="Z125" s="211"/>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row>
    <row r="126" spans="1:118" x14ac:dyDescent="0.2">
      <c r="B126" s="37"/>
      <c r="C126" s="37"/>
      <c r="D126" s="37"/>
      <c r="E126" s="37"/>
      <c r="F126" s="37"/>
      <c r="G126" s="37"/>
      <c r="H126" s="37"/>
      <c r="I126" s="37"/>
      <c r="J126" s="37"/>
      <c r="K126" s="37"/>
      <c r="L126" s="37"/>
      <c r="M126" s="37"/>
      <c r="N126" s="37"/>
      <c r="O126" s="37"/>
      <c r="P126" s="37"/>
      <c r="Q126" s="37"/>
      <c r="R126" s="37"/>
      <c r="S126" s="37"/>
      <c r="T126" s="37"/>
      <c r="W126" s="37">
        <f>IF(OR($U126="",$V126=""),"",$V126-$U126+1)</f>
      </c>
      <c r="X126" s="37"/>
      <c r="Y126" s="37"/>
      <c r="Z126" s="211"/>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row>
    <row r="127" spans="1:118" x14ac:dyDescent="0.2">
      <c r="B127" s="37"/>
      <c r="C127" s="37"/>
      <c r="D127" s="37"/>
      <c r="E127" s="37"/>
      <c r="F127" s="37"/>
      <c r="G127" s="37"/>
      <c r="H127" s="37"/>
      <c r="I127" s="37"/>
      <c r="J127" s="37"/>
      <c r="K127" s="37"/>
      <c r="L127" s="37"/>
      <c r="M127" s="37"/>
      <c r="N127" s="37"/>
      <c r="O127" s="37"/>
      <c r="P127" s="37"/>
      <c r="Q127" s="37"/>
      <c r="R127" s="37"/>
      <c r="S127" s="37"/>
      <c r="T127" s="37"/>
      <c r="W127" s="37">
        <f>IF(OR($U127="",$V127=""),"",$V127-$U127+1)</f>
      </c>
      <c r="X127" s="37"/>
      <c r="Y127" s="37"/>
      <c r="Z127" s="211"/>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row>
    <row r="128" spans="1:118" x14ac:dyDescent="0.2">
      <c r="B128" s="37"/>
      <c r="C128" s="37"/>
      <c r="D128" s="37"/>
      <c r="E128" s="37"/>
      <c r="F128" s="37"/>
      <c r="G128" s="37"/>
      <c r="H128" s="37"/>
      <c r="I128" s="37"/>
      <c r="J128" s="37"/>
      <c r="K128" s="37"/>
      <c r="L128" s="37"/>
      <c r="M128" s="37"/>
      <c r="N128" s="37"/>
      <c r="O128" s="37"/>
      <c r="P128" s="37"/>
      <c r="Q128" s="37"/>
      <c r="R128" s="37"/>
      <c r="S128" s="37"/>
      <c r="T128" s="37"/>
      <c r="W128" s="37">
        <f>IF(OR($U128="",$V128=""),"",$V128-$U128+1)</f>
      </c>
      <c r="X128" s="37"/>
      <c r="Y128" s="37"/>
      <c r="Z128" s="211"/>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row>
    <row r="129" spans="1:118" x14ac:dyDescent="0.2">
      <c r="B129" s="37"/>
      <c r="C129" s="37"/>
      <c r="D129" s="37"/>
      <c r="E129" s="37"/>
      <c r="F129" s="37"/>
      <c r="G129" s="37"/>
      <c r="H129" s="37"/>
      <c r="I129" s="37"/>
      <c r="J129" s="37"/>
      <c r="K129" s="37"/>
      <c r="L129" s="37"/>
      <c r="M129" s="37"/>
      <c r="N129" s="37"/>
      <c r="O129" s="37"/>
      <c r="P129" s="37"/>
      <c r="Q129" s="37"/>
      <c r="R129" s="37"/>
      <c r="S129" s="37"/>
      <c r="T129" s="37"/>
      <c r="W129" s="37">
        <f>IF(OR($U129="",$V129=""),"",$V129-$U129+1)</f>
      </c>
      <c r="X129" s="37"/>
      <c r="Y129" s="37"/>
      <c r="Z129" s="211"/>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row>
    <row r="130" spans="1:118" x14ac:dyDescent="0.2">
      <c r="B130" s="37"/>
      <c r="C130" s="37"/>
      <c r="D130" s="37"/>
      <c r="E130" s="37"/>
      <c r="F130" s="37"/>
      <c r="G130" s="37"/>
      <c r="H130" s="37"/>
      <c r="I130" s="37"/>
      <c r="J130" s="37"/>
      <c r="K130" s="37"/>
      <c r="L130" s="37"/>
      <c r="M130" s="37"/>
      <c r="N130" s="37"/>
      <c r="O130" s="37"/>
      <c r="P130" s="37"/>
      <c r="Q130" s="37"/>
      <c r="R130" s="37"/>
      <c r="S130" s="37"/>
      <c r="T130" s="37"/>
      <c r="W130" s="37">
        <f>IF(OR($U130="",$V130=""),"",$V130-$U130+1)</f>
      </c>
      <c r="X130" s="37"/>
      <c r="Y130" s="37"/>
      <c r="Z130" s="211"/>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row>
    <row r="131" spans="1:118" x14ac:dyDescent="0.2">
      <c r="B131" s="37"/>
      <c r="C131" s="37"/>
      <c r="D131" s="37"/>
      <c r="E131" s="37"/>
      <c r="F131" s="37"/>
      <c r="G131" s="37"/>
      <c r="H131" s="37"/>
      <c r="I131" s="37"/>
      <c r="J131" s="37"/>
      <c r="K131" s="37"/>
      <c r="L131" s="37"/>
      <c r="M131" s="37"/>
      <c r="N131" s="37"/>
      <c r="O131" s="37"/>
      <c r="P131" s="37"/>
      <c r="Q131" s="37"/>
      <c r="R131" s="37"/>
      <c r="S131" s="37"/>
      <c r="T131" s="37"/>
      <c r="W131" s="37">
        <f>IF(OR($U131="",$V131=""),"",$V131-$U131+1)</f>
      </c>
      <c r="X131" s="37"/>
      <c r="Y131" s="37"/>
      <c r="Z131" s="211"/>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row>
    <row r="132" spans="1:118" x14ac:dyDescent="0.2">
      <c r="B132" s="37"/>
      <c r="C132" s="37"/>
      <c r="D132" s="37"/>
      <c r="E132" s="37"/>
      <c r="F132" s="37"/>
      <c r="G132" s="37"/>
      <c r="H132" s="37"/>
      <c r="I132" s="37"/>
      <c r="J132" s="37"/>
      <c r="K132" s="37"/>
      <c r="L132" s="37"/>
      <c r="M132" s="37"/>
      <c r="N132" s="37"/>
      <c r="O132" s="37"/>
      <c r="P132" s="37"/>
      <c r="Q132" s="37"/>
      <c r="R132" s="37"/>
      <c r="S132" s="37"/>
      <c r="T132" s="37"/>
      <c r="W132" s="37">
        <f>IF(OR($U132="",$V132=""),"",$V132-$U132+1)</f>
      </c>
      <c r="X132" s="37"/>
      <c r="Y132" s="37"/>
      <c r="Z132" s="211"/>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row>
  </sheetData>
  <autoFilter ref="A1:BM47" xr:uid="{D617A74A-974A-014C-83CF-66AB738EFD73}">
    <sortState xmlns:xlrd2="http://schemas.microsoft.com/office/spreadsheetml/2017/richdata2" ref="A2:BJ48">
      <sortCondition ref="G1:G48"/>
    </sortState>
  </autoFilter>
  <conditionalFormatting sqref="B1:B407">
    <cfRule type="cellIs" dxfId="8" priority="5" stopIfTrue="1" operator="equal">
      <formula>"Find"</formula>
    </cfRule>
  </conditionalFormatting>
  <conditionalFormatting sqref="B1:B4097">
    <cfRule type="cellIs" dxfId="7" priority="6" operator="equal">
      <formula>"Used"</formula>
    </cfRule>
    <cfRule type="cellIs" dxfId="6" priority="7" stopIfTrue="1" operator="equal">
      <formula>"B2B"</formula>
    </cfRule>
  </conditionalFormatting>
  <conditionalFormatting sqref="F37">
    <cfRule type="cellIs" dxfId="5" priority="1" stopIfTrue="1" operator="equal">
      <formula>"Find"</formula>
    </cfRule>
    <cfRule type="cellIs" dxfId="4" priority="2" operator="equal">
      <formula>"Used"</formula>
    </cfRule>
    <cfRule type="cellIs" dxfId="3" priority="3" stopIfTrue="1" operator="equal">
      <formula>"B2B"</formula>
    </cfRule>
  </conditionalFormatting>
  <dataValidations count="1">
    <dataValidation type="list" allowBlank="1" showInputMessage="1" showErrorMessage="1" sqref="L2:T200" xr:uid="{00000000-0002-0000-0300-000000000000}">
      <formula1>"X"</formula1>
    </dataValidation>
  </dataValidations>
  <hyperlinks>
    <hyperlink ref="F33" r:id="rId1" display="https://jira.bnh.com/browse/BHUX-32257" xr:uid="{1C354678-9971-9D4A-A8AC-E5BBDDCCE013}"/>
    <hyperlink ref="F32" r:id="rId2" display="https://jira.bnh.com/browse/BHUX-31874" xr:uid="{7A61BEF3-985C-DE49-9810-3B7AA96C37F4}"/>
    <hyperlink ref="F31" r:id="rId3" tooltip="https://jira.bnh.com/browse/bhux-26541" display="https://jira.bnh.com/browse/BHUX-26541" xr:uid="{4F4FA8AC-5B96-824E-96FF-6F0487BD9D79}"/>
    <hyperlink ref="F5" r:id="rId4" display="https://jira.bnh.com/browse/BHUX-33434" xr:uid="{48B8F246-87C7-974B-92DE-04DD88DE8E39}"/>
    <hyperlink ref="F23" r:id="rId5" display="https://jira.bnh.com/browse/BHUX-33009" xr:uid="{1550CF72-27B8-9A4D-B1B3-6ACE965DBE3F}"/>
    <hyperlink ref="F39" r:id="rId6" display="https://jira.bnh.com/browse/BHUX-33519" xr:uid="{274503DF-5655-534C-83F1-397A28F8A4F3}"/>
    <hyperlink ref="F35" r:id="rId7" display="https://jira.bnh.com/browse/BHUX-29580" xr:uid="{AC3EF1E9-C7B5-6441-8A4A-FD0B5401DF03}"/>
    <hyperlink ref="F2" r:id="rId8" display="https://jira.bnh.com/browse/BHUX-33510" xr:uid="{0093F7F4-29CF-EF42-B621-529D5614C679}"/>
    <hyperlink ref="F46" r:id="rId9" display="https://jira.bnh.com/browse/BHUX-25601" xr:uid="{9C0A745D-1AD2-428F-80A5-45D22A760249}"/>
    <hyperlink ref="F3" r:id="rId10" xr:uid="{52EBE770-197D-C64C-9023-D4AECB64343B}"/>
    <hyperlink ref="F27" r:id="rId11" xr:uid="{D47F3920-6283-EC4E-BDF9-396F18F5CFD0}"/>
    <hyperlink ref="F29" r:id="rId12" xr:uid="{F4B206DE-30A4-8848-9A71-872B9DF716DF}"/>
    <hyperlink ref="F22" r:id="rId13" xr:uid="{F67A537A-1441-4463-A878-15E37D9F7A9E}"/>
    <hyperlink ref="F25" r:id="rId14" xr:uid="{29318F78-DC1C-B545-AE41-743063DF9A87}"/>
    <hyperlink ref="F11" r:id="rId15" xr:uid="{1B63E88D-B34C-3342-B97C-6B8679CB5133}"/>
    <hyperlink ref="F12" r:id="rId16" xr:uid="{12EBEDEE-C94C-6D47-B1BB-087369F4D7A0}"/>
    <hyperlink ref="F13" r:id="rId17" xr:uid="{9A954CFA-8612-1042-B812-977E61E32E0D}"/>
    <hyperlink ref="F14" r:id="rId18" xr:uid="{888A79F7-D085-FE4A-9FF7-071CEAD0388B}"/>
    <hyperlink ref="F28" r:id="rId19" xr:uid="{AF84EE80-342A-4446-8F72-9906F7FDC91D}"/>
    <hyperlink ref="F17" r:id="rId20" xr:uid="{A1DCF875-1CF1-9B4C-B7A5-3169E5B54A57}"/>
    <hyperlink ref="F7" r:id="rId21" xr:uid="{3CA236C1-3268-5143-AC97-795D87FAD8A3}"/>
    <hyperlink ref="F26" r:id="rId22" xr:uid="{E7FF6711-78F6-7F4B-8338-D76928FBC43D}"/>
    <hyperlink ref="F15" r:id="rId23" xr:uid="{0C216D9E-C519-AA49-97F8-151B855E066C}"/>
    <hyperlink ref="F20" r:id="rId24" xr:uid="{18CD5813-B83E-4549-92EC-6C3D116ED54E}"/>
    <hyperlink ref="F16" r:id="rId25" xr:uid="{FBB2D68B-E12D-434D-B9C8-A3EEDC568A78}"/>
    <hyperlink ref="F36" r:id="rId26" xr:uid="{FCDA5FFA-8DC3-2547-9D25-5BEC9BD64DE2}"/>
    <hyperlink ref="F19" r:id="rId27" display="https://jira.bnh.com/browse/BHUX-35303" xr:uid="{25815AAD-0620-024D-8599-004E501A4D5A}"/>
    <hyperlink ref="F18" r:id="rId28" display="https://jira.bnh.com/browse/BHUX-35304" xr:uid="{CD2CDBC0-4BF2-C447-BAA3-47C078088A53}"/>
    <hyperlink ref="F21" r:id="rId29" display="https://jira.bnh.com/browse/BHUX-35302" xr:uid="{6937F591-2287-B143-8E47-4AE79AF27F1D}"/>
    <hyperlink ref="F30" r:id="rId30" display="https://jira.bnh.com/browse/BHUX-35309" xr:uid="{81521203-423D-7749-8201-0A37D43F2EBB}"/>
    <hyperlink ref="F4" r:id="rId31" display="https://jira.bnh.com/browse/BHJ-121278" xr:uid="{DB9410EC-0A9A-EB48-B601-8376A62CF053}"/>
    <hyperlink ref="F34" r:id="rId32" display="https://jira.bnh.com/browse/BHUX-32621" xr:uid="{C1BA8E57-AA11-6349-BE5E-3DEBA0D407E0}"/>
    <hyperlink ref="F37" r:id="rId33" display="https://jira.bnh.com/browse/BHUX-32543" xr:uid="{A13D8EC9-CB84-0B49-A7C6-7D32C923FD94}"/>
    <hyperlink ref="E48" r:id="rId34" xr:uid="{90AD36D7-1C9F-AC40-BCED-6F7300E7C21A}"/>
    <hyperlink ref="E41" r:id="rId35" xr:uid="{C94E2A4F-AB50-F043-B86A-1C5C7056BAA9}"/>
    <hyperlink ref="E40" r:id="rId36" xr:uid="{87F19C9A-BFD1-744D-B8FF-4868F93DA700}"/>
    <hyperlink ref="E42" r:id="rId37" xr:uid="{A1A9AFCD-1B41-AA4F-A69D-D4B64098F15B}"/>
    <hyperlink ref="F41" r:id="rId38" display="https://jira.bnh.com/browse/BHUX-23755" xr:uid="{492578A2-7A0C-924D-AF89-3449ECDC29B6}"/>
    <hyperlink ref="F40" r:id="rId39" display="https://jira.bnh.com/browse/BHUX-17615" xr:uid="{CE0EFA80-D40D-0041-AA2C-BBD984F07D1C}"/>
    <hyperlink ref="F48" r:id="rId40" display="https://jira.bnh.com/browse/BHUX-31354" xr:uid="{80265E8C-186C-8542-AAE3-9344D641CFDC}"/>
    <hyperlink ref="F42" r:id="rId41" display="https://jira.bnh.com/browse/BHUX-28124" xr:uid="{04792098-93D2-204C-B987-C74B907FF69B}"/>
    <hyperlink ref="F47" r:id="rId42" display="https://jira.bnh.com/browse/BHP-4563" xr:uid="{0E855850-35CF-7D46-A477-1115A384E455}"/>
    <hyperlink ref="E43" r:id="rId43" display="https://jira.bnh.com/browse/MRCH-2202" xr:uid="{A791D908-EE5C-1149-8D9D-A0BB860BE8DE}"/>
    <hyperlink ref="E44" r:id="rId44" display="https://jira.bnh.com/browse/BHJ-119850" xr:uid="{06F0F574-6B5B-2643-A54F-593DE5927D93}"/>
    <hyperlink ref="F43" r:id="rId45" display="https://jira.bnh.com/browse/BHUX-31245" xr:uid="{37A7D823-39F7-6947-86FC-3AE82E93C053}"/>
    <hyperlink ref="F44" r:id="rId46" display="https://jira.bnh.com/browse/BHUX-32071" xr:uid="{1EF920D6-BBA7-3146-9D78-880CEBF15369}"/>
    <hyperlink ref="E45" r:id="rId47" xr:uid="{24B93257-9A2A-9343-8E2E-E1498C4A3268}"/>
    <hyperlink ref="F45" r:id="rId48" display="https://jira.bnh.com/browse/BHUX-29921" xr:uid="{BB7FDE87-8A8F-A649-B181-0A7979D05778}"/>
    <hyperlink ref="E7" r:id="rId49" display="Homepage Header: B2B" xr:uid="{209D0604-8A94-FF46-A5BD-1CC94908AA6F}"/>
    <hyperlink ref="E11" r:id="rId50" xr:uid="{506C25D1-AAD7-8146-87AE-A51FC6D5512F}"/>
    <hyperlink ref="E12" r:id="rId51" xr:uid="{657D79B4-3A8D-464C-ABBB-98667367518C}"/>
    <hyperlink ref="E13" r:id="rId52" xr:uid="{58C4BDA6-70C1-B345-96CC-103BCAE180B6}"/>
    <hyperlink ref="E16" r:id="rId53" xr:uid="{0A720F02-3335-1045-98FF-795D51946938}"/>
    <hyperlink ref="E15" r:id="rId54" xr:uid="{ABC90719-B4F6-6842-8A3C-7D0565C4D6AB}"/>
    <hyperlink ref="E14" r:id="rId55" xr:uid="{3A86AF73-CEF6-C846-8DBC-13017CB83659}"/>
    <hyperlink ref="E20" r:id="rId56" xr:uid="{0D5FEBB6-1DF5-7142-A1C0-4E12324F7489}"/>
    <hyperlink ref="E46" r:id="rId57" xr:uid="{8D1C4B0E-072D-0E4A-9975-DA9803ACCA6B}"/>
    <hyperlink ref="E39" r:id="rId58" xr:uid="{174820D0-E08C-CF4C-A6A1-C3E639F12BAB}"/>
    <hyperlink ref="E18" r:id="rId59" xr:uid="{A349F528-1F4D-C743-8A20-8DAF3DF4352F}"/>
    <hyperlink ref="E2" r:id="rId60" xr:uid="{700E7516-749B-D246-8368-19E784A4BC0C}"/>
    <hyperlink ref="E3" r:id="rId61" xr:uid="{14ED9DE8-816F-5248-B414-215F8C1D719C}"/>
    <hyperlink ref="E5" r:id="rId62" xr:uid="{C0EAA880-A62F-EF43-A384-EBD5DC7860B2}"/>
    <hyperlink ref="E17" r:id="rId63" xr:uid="{72AA99BA-29BC-6B46-92EF-F4068B769490}"/>
    <hyperlink ref="E19" r:id="rId64" xr:uid="{60AFF4C1-5EE5-F045-ADFF-45B8DA777C0E}"/>
    <hyperlink ref="E22" r:id="rId65" xr:uid="{C066D304-E04A-3441-9682-C773A0070737}"/>
    <hyperlink ref="E23" r:id="rId66" xr:uid="{70FB7C7B-5DAF-4543-AE04-E30195EA8DF5}"/>
    <hyperlink ref="E21" r:id="rId67" xr:uid="{073BE6F8-C73B-D94A-89BF-2AFEB0AB100E}"/>
    <hyperlink ref="F24" r:id="rId68" xr:uid="{FB860B6B-E5C4-1E4D-B5AB-E297C457ACDC}"/>
    <hyperlink ref="E24" r:id="rId69" xr:uid="{968919CD-4B50-CD4A-A0A6-19A0BDD27BAB}"/>
    <hyperlink ref="E25" r:id="rId70" xr:uid="{0E5177AB-108F-F441-B68F-D44E1A38E76C}"/>
    <hyperlink ref="E26" r:id="rId71" xr:uid="{64D8C5E2-060F-254D-B389-EFAD78F578A1}"/>
    <hyperlink ref="E27" r:id="rId72" xr:uid="{CAE9F427-AC26-C147-A561-4F905D1FEA4F}"/>
    <hyperlink ref="E28" r:id="rId73" xr:uid="{9DA2335C-398C-EB44-ADD2-9B763DE36B7B}"/>
    <hyperlink ref="E30" r:id="rId74" xr:uid="{3A7FF314-20A4-7E4C-9B0A-D9975AF66A70}"/>
    <hyperlink ref="E4" r:id="rId75" xr:uid="{3D0908E3-39EF-AA41-9BA9-04B477AA2072}"/>
    <hyperlink ref="E35" r:id="rId76" xr:uid="{E2F12535-4BAD-4B4E-9FC2-83FDBAE3AD8E}"/>
    <hyperlink ref="E36" r:id="rId77" xr:uid="{B612000D-0FE8-B344-A4A9-AB55BA868E5B}"/>
    <hyperlink ref="E34" r:id="rId78" xr:uid="{9D64C9B6-AB57-E447-B48B-543C63D74AE6}"/>
    <hyperlink ref="E37" r:id="rId79" xr:uid="{EA200AC6-AEC0-E44C-8347-89B96EAC4887}"/>
    <hyperlink ref="D2" location="Control!R6C5" display="Improve Trade In User Flow" xr:uid="{11C4031B-DBF0-374C-B775-42E42BD644C7}"/>
    <hyperlink ref="D4" location="Control!R6C5" display="Improve Trade In User Flow" xr:uid="{49AE2EB7-BE63-C542-8957-25267F4C7EC5}"/>
    <hyperlink ref="C21" location="'Control (Don’t Touch)'!R4C5" display="Improve Discovery" xr:uid="{16ECDCB1-E106-3D4D-8127-442010B04E01}"/>
    <hyperlink ref="C11" location="Control!R6C5" display="Improve Trade In User Flow" xr:uid="{567E155A-5595-3C47-B137-898AD1547378}"/>
    <hyperlink ref="C3" location="Control!R11C5" display="Increase B2B Acquisition" xr:uid="{A1CE1BC1-2BE7-304E-8E5D-15E0BE805C45}"/>
    <hyperlink ref="C14" location="'Control (Don’t Touch)'!R8C5" display="Increase Buy Used Awareness" xr:uid="{0FA3F8A8-D1BF-CE43-BB9D-BF3DFF5E4C4F}"/>
    <hyperlink ref="C6" location="Control!R12C5" display="Increase The Studio B&amp;H Awareness" xr:uid="{2159CDCF-6B42-694F-B67D-1B6F5DFB5768}"/>
    <hyperlink ref="C12"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3" location="Control!R13C5" display="Improve The Studio B&amp;H Customer Experience" xr:uid="{A2398013-94EB-754D-9DFF-479A9E76DB53}"/>
    <hyperlink ref="C5" location="Control!R13C5" display="Improve The Studio B&amp;H Customer Experience" xr:uid="{F374E649-6A1E-DF48-8429-ADBDB257F46C}"/>
    <hyperlink ref="E29" r:id="rId80" xr:uid="{3555A129-45FC-5A4D-84C5-4BACE137BDBD}"/>
    <hyperlink ref="E47" r:id="rId81" xr:uid="{9EA2491D-F77D-3548-A4EC-AA15642FC001}"/>
    <hyperlink ref="C16" location="'Control (Don’t Touch)'!R5C5" display="Increase Trade In Awareness" xr:uid="{07C1B625-417D-5245-AD81-99DB0D4088EE}"/>
    <hyperlink ref="C20" location="Control!R12C5" display="Increase The Studio B&amp;H Awareness" xr:uid="{233E8C82-7DE9-A24D-AB09-FB5EA034481B}"/>
    <hyperlink ref="C18" location="Control!R12C5" display="Increase The Studio B&amp;H Awareness" xr:uid="{BD1282E3-8FE5-E941-B3A6-1AE7F0E23B7C}"/>
    <hyperlink ref="C22" location="'Control (Don’t Touch)'!R6C5" display="Improve Trade In User Flow" xr:uid="{00A5341F-1727-624D-88AC-2DBC304D4DFF}"/>
    <hyperlink ref="F8" r:id="rId82" xr:uid="{7FE9E0CB-F8F6-9443-927E-05F5251EF69E}"/>
    <hyperlink ref="E8" r:id="rId83" xr:uid="{334BBC84-91C1-F748-91DB-DA8ABF919820}"/>
    <hyperlink ref="C8" location="Control!R5C5" display="Increase Trade In Awareness" xr:uid="{86CEEC0C-2EB5-164A-977B-BDDB0F527291}"/>
    <hyperlink ref="C4" location="'Control (Don’t Touch)'!R9C5" display="Improve Buy Used Customer Experience" xr:uid="{220751A9-70C2-AF4B-96BF-6A740F925E2E}"/>
    <hyperlink ref="C47" location="'Control (Don’t Touch)'!R9C5" display="Improve Buy Used Customer Experience" xr:uid="{1EC99352-3BA3-674B-A888-F2D6B39D7926}"/>
    <hyperlink ref="C15" location="'Control (Don’t Touch)'!R8C5" display="Increase Buy Used Awareness" xr:uid="{CB890338-7F88-1A41-A04A-151AF4F7E451}"/>
    <hyperlink ref="C17" location="'Control (Don’t Touch)'!R8C5" display="Increase Buy Used Awareness" xr:uid="{2D13AD1C-3E0D-024C-A8DB-C91CC4368339}"/>
    <hyperlink ref="C19" location="'Control (Don’t Touch)'!R8C5" display="Increase Buy Used Awareness" xr:uid="{541FCB83-011C-2145-8B0B-87980F756D0A}"/>
    <hyperlink ref="C21:C23" location="'Control (Don’t Touch)'!R8C5" display="Increase Buy Used Awareness" xr:uid="{4AF20B2B-0CEB-E24C-8F54-5173DE1E1606}"/>
    <hyperlink ref="C39" location="'Control (Don’t Touch)'!R8C5" display="Increase Buy Used Awareness" xr:uid="{F83C8AB9-BF77-3D42-8C55-19F82EC7BD83}"/>
    <hyperlink ref="C48" location="'Control (Don’t Touch)'!R8C5" display="Increase Buy Used Awareness" xr:uid="{8F072F67-9906-9C4E-AAFA-C838E218296E}"/>
    <hyperlink ref="C27" location="'Control (Don’t Touch)'!R5C5" display="Increase Trade In Awareness" xr:uid="{EFEEC31B-78C3-0B42-9EA1-68A8115242BB}"/>
    <hyperlink ref="C30" location="'Control (Don’t Touch)'!R5C5" display="Increase Trade In Awareness" xr:uid="{E5705B32-F98C-A044-9E4B-37B9F3007D8B}"/>
    <hyperlink ref="C23" location="'Control (Don’t Touch)'!R6C5" display="Improve Trade In User Flow" xr:uid="{C37E3413-99CF-6B49-830E-24D203EEE626}"/>
    <hyperlink ref="C25:C26" location="'Control (Don’t Touch)'!R6C5" display="Improve Trade In User Flow" xr:uid="{3BAA5D70-3CBA-6742-9533-0C122DB53874}"/>
    <hyperlink ref="C38" location="'Control (Don’t Touch)'!R6C5" display="Improve Trade In User Flow" xr:uid="{62B96A87-AD5B-5445-8697-DC55C835A01C}"/>
    <hyperlink ref="C35"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6" location="'Control (Don’t Touch)'!R11C5" display="Increase B2B Acquisition" xr:uid="{B147E840-3D5F-254C-A02E-1709572554DD}"/>
    <hyperlink ref="C30:C32" location="'Control (Don’t Touch)'!R11C5" display="Increase B2B Acquisition" xr:uid="{2F4CB414-5F92-A245-891F-A8C5B08B10AA}"/>
    <hyperlink ref="C46" location="'Control (Don’t Touch)'!R11C5" display="Increase B2B Acquisition" xr:uid="{64CCF75F-DCA0-7B43-B585-5AD4E5FA3E60}"/>
    <hyperlink ref="C7" location="'Control (Don’t Touch)'!R11C5" display="Increase B2B Acquisition" xr:uid="{2B6E1077-5700-3D4D-8DDB-7FA1D8055708}"/>
    <hyperlink ref="E9" r:id="rId84" xr:uid="{EDA46A76-4B22-A546-98FC-A1039D8AE5A1}"/>
    <hyperlink ref="F9" r:id="rId85" display="https://jira.bnh.com/browse/BHP-7430" xr:uid="{15863D7F-1501-904A-8DB7-B9055C5D3451}"/>
    <hyperlink ref="E10" r:id="rId86" xr:uid="{DA25B42E-51CC-6648-915D-9F46F939CEEB}"/>
    <hyperlink ref="F10" r:id="rId87" display="https://jira.bnh.com/browse/BHP-6479" xr:uid="{983A226B-7B89-AA48-A681-B8F67C912E5C}"/>
    <hyperlink ref="C9" location="Control!R5C5" display="Increase Trade In Awareness" xr:uid="{12E4115A-B5D4-B044-BACB-C32C54BA800D}"/>
    <hyperlink ref="C10" location="'Control (Don’t Touch)'!R9C5" display="Improve Buy Used Customer Experience" xr:uid="{3AF7CD50-74B5-4340-BA28-9E6D9054AF17}"/>
  </hyperlinks>
  <pageMargins left="0.7" right="0.7" top="0.75" bottom="0.75" header="0.3" footer="0.3"/>
  <pageSetup scale="34" orientation="landscape" horizontalDpi="0" verticalDpi="0"/>
  <extLst>
    <ext xmlns:x14="http://schemas.microsoft.com/office/spreadsheetml/2009/9/main" uri="{CCE6A557-97BC-4b89-ADB6-D9C93CAAB3DF}">
      <x14:dataValidations xmlns:xm="http://schemas.microsoft.com/office/excel/2006/main" count="5">
        <x14:dataValidation type="list" allowBlank="1" showInputMessage="1" showErrorMessage="1" xr:uid="{F63EA9B0-69B6-A541-AA0D-DA9373690895}">
          <x14:formula1>
            <xm:f>Control!$B$4:$B$19</xm:f>
          </x14:formula1>
          <xm:sqref>G2:G48</xm:sqref>
        </x14:dataValidation>
        <x14:dataValidation type="list" allowBlank="1" showInputMessage="1" showErrorMessage="1" xr:uid="{647E7BC1-7E87-6E44-9304-E439ED7F69E8}">
          <x14:formula1>
            <xm:f>Control!$E$4:$E$34</xm:f>
          </x14:formula1>
          <xm:sqref>C2:C132</xm:sqref>
        </x14:dataValidation>
        <x14:dataValidation type="list" allowBlank="1" showInputMessage="1" showErrorMessage="1" xr:uid="{0B504D5D-C26E-3843-AA15-1553A77408F7}">
          <x14:formula1>
            <xm:f>Control!$A$4:$A$6</xm:f>
          </x14:formula1>
          <xm:sqref>B2:B23 B25:B48</xm:sqref>
        </x14:dataValidation>
        <x14:dataValidation type="list" allowBlank="1" showInputMessage="1" showErrorMessage="1" xr:uid="{00000000-0002-0000-0300-000004000000}">
          <x14:formula1>
            <xm:f>Control!$Q$4:$Q$20</xm:f>
          </x14:formula1>
          <xm:sqref>H2:H200</xm:sqref>
        </x14:dataValidation>
        <x14:dataValidation type="list" allowBlank="1" showInputMessage="1" showErrorMessage="1" xr:uid="{00000000-0002-0000-0300-000005000000}">
          <x14:formula1>
            <xm:f>Control!$R$4:$R$40</xm:f>
          </x14:formula1>
          <xm:sqref>I2:I200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A29" sqref="A29"/>
    </sheetView>
  </sheetViews>
  <sheetFormatPr baseColWidth="10" defaultColWidth="11" defaultRowHeight="16" x14ac:dyDescent="0.2"/>
  <cols>
    <col min="2" max="2" width="95.1640625" customWidth="1"/>
    <col min="3" max="3" width="69.33203125" customWidth="1"/>
  </cols>
  <sheetData>
    <row r="3" spans="2:18" ht="46" customHeight="1" x14ac:dyDescent="0.3">
      <c r="B3" s="259" t="s">
        <v>304</v>
      </c>
      <c r="C3" s="259"/>
      <c r="D3" s="87"/>
      <c r="E3" s="87"/>
      <c r="F3" s="87"/>
      <c r="G3" s="87"/>
      <c r="H3" s="87"/>
      <c r="I3" s="87"/>
      <c r="J3" s="87"/>
      <c r="K3" s="87"/>
      <c r="L3" s="87"/>
      <c r="M3" s="87"/>
      <c r="N3" s="87"/>
      <c r="O3" s="87"/>
      <c r="P3" s="87"/>
      <c r="Q3" s="87"/>
      <c r="R3" s="87"/>
    </row>
    <row r="4" spans="2:18" ht="22" x14ac:dyDescent="0.3">
      <c r="B4" s="135" t="s">
        <v>305</v>
      </c>
      <c r="D4" s="87"/>
      <c r="E4" s="87"/>
      <c r="F4" s="87"/>
      <c r="G4" s="87"/>
      <c r="H4" s="87"/>
      <c r="I4" s="87"/>
      <c r="J4" s="87"/>
      <c r="K4" s="87"/>
      <c r="L4" s="87"/>
      <c r="M4" s="87"/>
      <c r="N4" s="87"/>
      <c r="O4" s="87"/>
      <c r="P4" s="87"/>
      <c r="Q4" s="87"/>
      <c r="R4" s="87"/>
    </row>
    <row r="5" spans="2:18" ht="22" x14ac:dyDescent="0.3">
      <c r="B5" s="135" t="s">
        <v>306</v>
      </c>
      <c r="D5" s="87"/>
      <c r="E5" s="87"/>
      <c r="F5" s="87"/>
      <c r="G5" s="87"/>
      <c r="H5" s="87"/>
      <c r="I5" s="87"/>
      <c r="J5" s="87"/>
      <c r="K5" s="87"/>
      <c r="L5" s="87"/>
      <c r="M5" s="87"/>
      <c r="N5" s="87"/>
      <c r="O5" s="87"/>
      <c r="P5" s="87"/>
      <c r="Q5" s="87"/>
      <c r="R5" s="87"/>
    </row>
    <row r="6" spans="2:18" ht="22" x14ac:dyDescent="0.3">
      <c r="B6" s="135" t="s">
        <v>307</v>
      </c>
    </row>
    <row r="7" spans="2:18" ht="22" x14ac:dyDescent="0.3">
      <c r="B7" s="135" t="s">
        <v>308</v>
      </c>
    </row>
    <row r="8" spans="2:18" ht="22" x14ac:dyDescent="0.3">
      <c r="B8" s="135" t="s">
        <v>309</v>
      </c>
    </row>
    <row r="37" spans="2:3" ht="22" x14ac:dyDescent="0.3">
      <c r="B37" s="86" t="s">
        <v>310</v>
      </c>
      <c r="C37" s="87" t="s">
        <v>311</v>
      </c>
    </row>
    <row r="38" spans="2:3" ht="46" x14ac:dyDescent="0.3">
      <c r="B38" s="86" t="s">
        <v>62</v>
      </c>
      <c r="C38" s="88" t="s">
        <v>312</v>
      </c>
    </row>
    <row r="39" spans="2:3" ht="23" x14ac:dyDescent="0.3">
      <c r="B39" s="86" t="s">
        <v>62</v>
      </c>
      <c r="C39" s="88" t="s">
        <v>313</v>
      </c>
    </row>
    <row r="40" spans="2:3" ht="22" x14ac:dyDescent="0.3">
      <c r="B40" s="86" t="s">
        <v>314</v>
      </c>
      <c r="C40" s="87" t="s">
        <v>315</v>
      </c>
    </row>
    <row r="41" spans="2:3" ht="22" x14ac:dyDescent="0.3">
      <c r="B41" s="86" t="s">
        <v>316</v>
      </c>
      <c r="C41" s="87" t="s">
        <v>317</v>
      </c>
    </row>
    <row r="42" spans="2:3" ht="22" x14ac:dyDescent="0.3">
      <c r="B42" s="86" t="s">
        <v>318</v>
      </c>
      <c r="C42" s="87" t="s">
        <v>319</v>
      </c>
    </row>
  </sheetData>
  <mergeCells count="1">
    <mergeCell ref="B3:C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ColWidth="11" defaultRowHeight="16" x14ac:dyDescent="0.2"/>
  <cols>
    <col min="1" max="1" width="13.6640625" bestFit="1" customWidth="1"/>
  </cols>
  <sheetData>
    <row r="3" spans="1:33" ht="17" thickBot="1" x14ac:dyDescent="0.25">
      <c r="A3" s="76" t="s">
        <v>132</v>
      </c>
      <c r="B3" s="76" t="s">
        <v>133</v>
      </c>
      <c r="C3" s="77" t="s">
        <v>62</v>
      </c>
      <c r="D3" s="76" t="s">
        <v>136</v>
      </c>
      <c r="E3" s="76" t="s">
        <v>26</v>
      </c>
      <c r="F3" s="79" t="s">
        <v>27</v>
      </c>
    </row>
    <row r="4" spans="1:33" ht="18" thickTop="1" thickBot="1" x14ac:dyDescent="0.25">
      <c r="A4" s="68" t="s">
        <v>320</v>
      </c>
      <c r="B4" s="75"/>
      <c r="C4" s="75"/>
      <c r="D4" s="72" t="s">
        <v>321</v>
      </c>
      <c r="E4" s="39" t="s">
        <v>322</v>
      </c>
      <c r="F4" t="s">
        <v>323</v>
      </c>
      <c r="G4" s="80"/>
      <c r="H4" s="80"/>
      <c r="I4" s="74"/>
      <c r="J4" s="80"/>
      <c r="K4" s="80"/>
      <c r="L4" s="80"/>
      <c r="M4" s="80"/>
      <c r="N4" s="81"/>
      <c r="O4" s="81"/>
      <c r="P4" s="81"/>
      <c r="Q4" s="81"/>
      <c r="R4" s="81"/>
      <c r="S4" s="82"/>
      <c r="T4" s="81"/>
      <c r="U4" s="82"/>
      <c r="V4" s="82"/>
      <c r="W4" s="82"/>
      <c r="X4" s="82"/>
      <c r="Y4" s="82"/>
      <c r="Z4" s="82"/>
      <c r="AA4" s="82"/>
      <c r="AB4" s="82"/>
      <c r="AC4" s="82"/>
      <c r="AD4" s="82"/>
      <c r="AE4" s="82"/>
      <c r="AF4" s="82"/>
      <c r="AG4" s="82"/>
    </row>
    <row r="5" spans="1:33" ht="17" thickTop="1" x14ac:dyDescent="0.2">
      <c r="A5" s="37" t="s">
        <v>320</v>
      </c>
      <c r="B5" s="69" t="s">
        <v>145</v>
      </c>
      <c r="C5" s="69"/>
      <c r="D5" s="71" t="s">
        <v>324</v>
      </c>
      <c r="E5" s="201" t="s">
        <v>325</v>
      </c>
      <c r="F5" t="s">
        <v>326</v>
      </c>
      <c r="G5" s="74"/>
      <c r="H5" s="74"/>
      <c r="I5" s="74"/>
      <c r="J5" s="74"/>
      <c r="K5" s="74"/>
      <c r="L5" s="74"/>
      <c r="M5" s="80"/>
      <c r="N5" s="81"/>
      <c r="O5" s="81"/>
      <c r="P5" s="81"/>
      <c r="Q5" s="81"/>
      <c r="R5" s="81"/>
      <c r="S5" s="82"/>
      <c r="T5" s="81"/>
      <c r="U5" s="82"/>
      <c r="V5" s="82"/>
      <c r="W5" s="82"/>
      <c r="X5" s="82"/>
      <c r="Y5" s="82"/>
      <c r="Z5" s="82"/>
      <c r="AA5" s="82"/>
      <c r="AB5" s="82"/>
      <c r="AC5" s="82"/>
      <c r="AD5" s="82"/>
      <c r="AE5" s="82"/>
      <c r="AF5" s="82"/>
      <c r="AG5" s="82"/>
    </row>
    <row r="6" spans="1:33" ht="34" x14ac:dyDescent="0.2">
      <c r="A6" s="37" t="s">
        <v>320</v>
      </c>
      <c r="B6" s="37" t="s">
        <v>327</v>
      </c>
      <c r="C6" s="37"/>
      <c r="D6" s="37" t="s">
        <v>328</v>
      </c>
      <c r="E6" s="63" t="s">
        <v>329</v>
      </c>
      <c r="F6" t="s">
        <v>326</v>
      </c>
      <c r="G6" s="74"/>
      <c r="H6" s="74"/>
      <c r="I6" s="74"/>
      <c r="J6" s="74"/>
      <c r="K6" s="80"/>
      <c r="L6" s="74"/>
      <c r="M6" s="74"/>
      <c r="N6" s="83"/>
      <c r="O6" s="83"/>
      <c r="P6" s="81"/>
      <c r="Q6" s="81"/>
      <c r="R6" s="81"/>
      <c r="S6" s="82"/>
      <c r="T6" s="81"/>
      <c r="U6" s="82"/>
      <c r="V6" s="82"/>
      <c r="W6" s="82"/>
      <c r="X6" s="82"/>
      <c r="Y6" s="82"/>
      <c r="Z6" s="82"/>
      <c r="AA6" s="82"/>
      <c r="AB6" s="82"/>
      <c r="AC6" s="82"/>
      <c r="AD6" s="82"/>
      <c r="AE6" s="82"/>
      <c r="AF6" s="82"/>
      <c r="AG6" s="82"/>
    </row>
    <row r="7" spans="1:33" x14ac:dyDescent="0.2">
      <c r="A7" s="37" t="s">
        <v>320</v>
      </c>
      <c r="B7" s="37" t="s">
        <v>330</v>
      </c>
      <c r="C7" s="37"/>
      <c r="D7" s="37" t="s">
        <v>331</v>
      </c>
      <c r="E7" s="39" t="s">
        <v>332</v>
      </c>
      <c r="F7" t="s">
        <v>326</v>
      </c>
      <c r="G7" s="74"/>
      <c r="H7" s="74"/>
      <c r="I7" s="74"/>
      <c r="J7" s="74"/>
      <c r="K7" s="80"/>
      <c r="L7" s="74"/>
      <c r="M7" s="80"/>
      <c r="N7" s="83"/>
      <c r="O7" s="81"/>
      <c r="P7" s="83"/>
      <c r="Q7" s="81"/>
      <c r="R7" s="81"/>
      <c r="S7" s="82"/>
      <c r="T7" s="81"/>
      <c r="U7" s="82"/>
      <c r="V7" s="82"/>
      <c r="W7" s="82"/>
      <c r="X7" s="82"/>
      <c r="Y7" s="82"/>
      <c r="Z7" s="82"/>
      <c r="AA7" s="82"/>
      <c r="AB7" s="82"/>
      <c r="AC7" s="82"/>
      <c r="AD7" s="82"/>
      <c r="AE7" s="82"/>
      <c r="AF7" s="82"/>
      <c r="AG7" s="82"/>
    </row>
    <row r="8" spans="1:33" ht="34" x14ac:dyDescent="0.2">
      <c r="A8" s="37" t="s">
        <v>320</v>
      </c>
      <c r="B8" s="37" t="s">
        <v>145</v>
      </c>
      <c r="C8" s="37"/>
      <c r="D8" s="37" t="s">
        <v>333</v>
      </c>
      <c r="E8" s="63" t="s">
        <v>334</v>
      </c>
      <c r="F8" t="s">
        <v>326</v>
      </c>
      <c r="G8" s="74"/>
      <c r="H8" s="74"/>
      <c r="I8" s="74"/>
      <c r="J8" s="74"/>
      <c r="K8" s="74"/>
      <c r="L8" s="74"/>
      <c r="M8" s="74"/>
      <c r="N8" s="83"/>
      <c r="O8" s="81"/>
      <c r="P8" s="81"/>
      <c r="Q8" s="81"/>
      <c r="R8" s="81"/>
      <c r="S8" s="82"/>
      <c r="T8" s="81"/>
      <c r="U8" s="82"/>
      <c r="V8" s="82"/>
      <c r="W8" s="82"/>
      <c r="X8" s="82"/>
      <c r="Y8" s="82"/>
      <c r="Z8" s="82"/>
      <c r="AA8" s="82"/>
      <c r="AB8" s="82"/>
      <c r="AC8" s="82"/>
      <c r="AD8" s="82"/>
      <c r="AE8" s="82"/>
      <c r="AF8" s="82"/>
      <c r="AG8" s="82"/>
    </row>
    <row r="9" spans="1:33" x14ac:dyDescent="0.2">
      <c r="A9" s="37" t="s">
        <v>320</v>
      </c>
      <c r="B9" s="37" t="s">
        <v>145</v>
      </c>
      <c r="C9" s="37"/>
      <c r="D9" s="37" t="s">
        <v>335</v>
      </c>
      <c r="E9" s="39" t="s">
        <v>336</v>
      </c>
      <c r="F9" t="s">
        <v>337</v>
      </c>
      <c r="G9" s="80"/>
      <c r="H9" s="80"/>
      <c r="I9" s="80"/>
      <c r="J9" s="80"/>
      <c r="K9" s="84"/>
      <c r="L9" s="85"/>
      <c r="M9" s="74"/>
      <c r="N9" s="81"/>
      <c r="O9" s="81"/>
      <c r="P9" s="81"/>
      <c r="Q9" s="81"/>
      <c r="R9" s="81"/>
      <c r="S9" s="82"/>
      <c r="T9" s="81"/>
      <c r="U9" s="82"/>
      <c r="V9" s="82"/>
      <c r="W9" s="82"/>
      <c r="X9" s="82"/>
      <c r="Y9" s="82"/>
      <c r="Z9" s="82"/>
      <c r="AA9" s="82"/>
      <c r="AB9" s="82"/>
      <c r="AC9" s="82"/>
      <c r="AD9" s="82"/>
      <c r="AE9" s="82"/>
      <c r="AF9" s="82"/>
      <c r="AG9" s="82"/>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sheetPr>
    <tabColor theme="0" tint="-0.14999847407452621"/>
  </sheetPr>
  <dimension ref="A3:R30"/>
  <sheetViews>
    <sheetView topLeftCell="B4" workbookViewId="0">
      <selection activeCell="G8" sqref="G8"/>
    </sheetView>
  </sheetViews>
  <sheetFormatPr baseColWidth="10" defaultColWidth="11" defaultRowHeight="22" x14ac:dyDescent="0.3"/>
  <cols>
    <col min="1" max="1" width="0" hidden="1" customWidth="1"/>
    <col min="2" max="2" width="38" bestFit="1" customWidth="1"/>
    <col min="3" max="3" width="21" customWidth="1"/>
    <col min="4" max="4" width="27.6640625" customWidth="1"/>
    <col min="5" max="5" width="51.5" bestFit="1" customWidth="1"/>
    <col min="6" max="6" width="48.33203125" customWidth="1"/>
    <col min="7" max="7" width="38.1640625" customWidth="1"/>
    <col min="8" max="8" width="37.5" customWidth="1"/>
    <col min="9" max="9" width="0" hidden="1" customWidth="1"/>
    <col min="10" max="10" width="33.6640625" hidden="1" customWidth="1"/>
    <col min="11" max="11" width="33.33203125" hidden="1" customWidth="1"/>
    <col min="12" max="13" width="0" hidden="1" customWidth="1"/>
    <col min="14" max="14" width="0" style="87" hidden="1" customWidth="1"/>
    <col min="16" max="16" width="17.1640625" bestFit="1" customWidth="1"/>
    <col min="17" max="17" width="16" bestFit="1" customWidth="1"/>
    <col min="18" max="18" width="26.6640625" bestFit="1" customWidth="1"/>
  </cols>
  <sheetData>
    <row r="3" spans="1:18" x14ac:dyDescent="0.3">
      <c r="A3" s="86" t="s">
        <v>133</v>
      </c>
      <c r="B3" s="86" t="s">
        <v>27</v>
      </c>
      <c r="C3" s="86"/>
      <c r="D3" s="86"/>
      <c r="E3" s="47" t="s">
        <v>62</v>
      </c>
      <c r="F3" s="47" t="s">
        <v>9</v>
      </c>
      <c r="G3" s="47" t="s">
        <v>338</v>
      </c>
      <c r="H3" s="47" t="s">
        <v>339</v>
      </c>
      <c r="J3" s="86"/>
      <c r="K3" s="86" t="s">
        <v>340</v>
      </c>
      <c r="N3" s="86" t="s">
        <v>341</v>
      </c>
      <c r="P3" s="87" t="s">
        <v>918</v>
      </c>
      <c r="Q3" s="87" t="s">
        <v>909</v>
      </c>
      <c r="R3" s="87" t="s">
        <v>910</v>
      </c>
    </row>
    <row r="4" spans="1:18" ht="92" x14ac:dyDescent="0.3">
      <c r="A4" s="87" t="s">
        <v>145</v>
      </c>
      <c r="B4" s="87" t="s">
        <v>143</v>
      </c>
      <c r="E4" s="49" t="s">
        <v>185</v>
      </c>
      <c r="F4" s="87" t="s">
        <v>342</v>
      </c>
      <c r="G4" s="143" t="s">
        <v>343</v>
      </c>
      <c r="H4" s="143" t="s">
        <v>344</v>
      </c>
      <c r="K4" s="130"/>
      <c r="P4" s="87" t="s">
        <v>912</v>
      </c>
      <c r="Q4" s="87" t="s">
        <v>721</v>
      </c>
      <c r="R4" s="87" t="s">
        <v>776</v>
      </c>
    </row>
    <row r="5" spans="1:18" ht="92" x14ac:dyDescent="0.3">
      <c r="A5" s="87" t="s">
        <v>138</v>
      </c>
      <c r="B5" s="87" t="s">
        <v>345</v>
      </c>
      <c r="E5" s="49" t="s">
        <v>159</v>
      </c>
      <c r="F5" s="89" t="s">
        <v>346</v>
      </c>
      <c r="G5" s="89" t="s">
        <v>347</v>
      </c>
      <c r="H5" s="89" t="s">
        <v>348</v>
      </c>
      <c r="K5" s="129" t="s">
        <v>349</v>
      </c>
      <c r="N5" s="137" t="s">
        <v>350</v>
      </c>
      <c r="O5" s="136"/>
      <c r="P5" s="87" t="s">
        <v>262</v>
      </c>
      <c r="Q5" s="87" t="s">
        <v>729</v>
      </c>
      <c r="R5" s="87" t="s">
        <v>781</v>
      </c>
    </row>
    <row r="6" spans="1:18" ht="115" x14ac:dyDescent="0.3">
      <c r="A6" s="87" t="s">
        <v>188</v>
      </c>
      <c r="B6" s="87" t="s">
        <v>153</v>
      </c>
      <c r="E6" s="49" t="s">
        <v>140</v>
      </c>
      <c r="F6" s="89" t="s">
        <v>351</v>
      </c>
      <c r="G6" s="89" t="s">
        <v>352</v>
      </c>
      <c r="H6" s="90" t="s">
        <v>353</v>
      </c>
      <c r="K6" s="134" t="s">
        <v>354</v>
      </c>
      <c r="N6" s="137" t="s">
        <v>355</v>
      </c>
      <c r="O6" s="136"/>
      <c r="P6" s="87" t="s">
        <v>913</v>
      </c>
      <c r="Q6" s="87" t="s">
        <v>815</v>
      </c>
      <c r="R6" s="87" t="s">
        <v>801</v>
      </c>
    </row>
    <row r="7" spans="1:18" ht="92" x14ac:dyDescent="0.3">
      <c r="A7" s="87"/>
      <c r="B7" s="87" t="s">
        <v>164</v>
      </c>
      <c r="E7" s="49" t="s">
        <v>356</v>
      </c>
      <c r="F7" s="89" t="s">
        <v>357</v>
      </c>
      <c r="G7" s="89" t="s">
        <v>358</v>
      </c>
      <c r="H7" s="89" t="s">
        <v>359</v>
      </c>
      <c r="K7" s="134" t="s">
        <v>360</v>
      </c>
      <c r="N7" s="137" t="s">
        <v>361</v>
      </c>
      <c r="O7" s="136"/>
      <c r="P7" s="87" t="s">
        <v>272</v>
      </c>
      <c r="Q7" s="87" t="s">
        <v>703</v>
      </c>
      <c r="R7" s="87" t="s">
        <v>785</v>
      </c>
    </row>
    <row r="8" spans="1:18" ht="161" x14ac:dyDescent="0.3">
      <c r="A8" s="87"/>
      <c r="B8" s="87" t="s">
        <v>182</v>
      </c>
      <c r="E8" s="49" t="s">
        <v>170</v>
      </c>
      <c r="F8" s="89" t="s">
        <v>362</v>
      </c>
      <c r="G8" s="89" t="s">
        <v>363</v>
      </c>
      <c r="H8" s="89" t="s">
        <v>364</v>
      </c>
      <c r="K8" s="134" t="s">
        <v>365</v>
      </c>
      <c r="N8" s="137" t="s">
        <v>366</v>
      </c>
      <c r="O8" s="136"/>
      <c r="P8" s="87" t="s">
        <v>274</v>
      </c>
      <c r="Q8" s="87" t="s">
        <v>919</v>
      </c>
      <c r="R8" s="87" t="s">
        <v>798</v>
      </c>
    </row>
    <row r="9" spans="1:18" ht="115" x14ac:dyDescent="0.3">
      <c r="A9" s="87"/>
      <c r="B9" s="87" t="s">
        <v>191</v>
      </c>
      <c r="E9" s="49" t="s">
        <v>139</v>
      </c>
      <c r="F9" s="89" t="s">
        <v>367</v>
      </c>
      <c r="G9" s="89" t="s">
        <v>368</v>
      </c>
      <c r="H9" s="89" t="s">
        <v>369</v>
      </c>
      <c r="K9" s="134" t="s">
        <v>370</v>
      </c>
      <c r="N9" s="137" t="s">
        <v>371</v>
      </c>
      <c r="O9" s="136"/>
      <c r="P9" s="87" t="s">
        <v>914</v>
      </c>
      <c r="Q9" s="87" t="s">
        <v>920</v>
      </c>
      <c r="R9" s="87" t="s">
        <v>741</v>
      </c>
    </row>
    <row r="10" spans="1:18" ht="92" x14ac:dyDescent="0.3">
      <c r="A10" s="87"/>
      <c r="B10" s="87" t="s">
        <v>208</v>
      </c>
      <c r="E10" s="49" t="s">
        <v>372</v>
      </c>
      <c r="F10" s="89" t="s">
        <v>373</v>
      </c>
      <c r="G10" s="89" t="s">
        <v>374</v>
      </c>
      <c r="H10" s="89" t="s">
        <v>375</v>
      </c>
      <c r="K10" s="134" t="s">
        <v>376</v>
      </c>
      <c r="N10" s="137" t="s">
        <v>377</v>
      </c>
      <c r="O10" s="136"/>
      <c r="P10" s="87" t="s">
        <v>287</v>
      </c>
      <c r="R10" s="87" t="s">
        <v>737</v>
      </c>
    </row>
    <row r="11" spans="1:18" ht="138" x14ac:dyDescent="0.3">
      <c r="A11" s="87"/>
      <c r="B11" s="87" t="s">
        <v>326</v>
      </c>
      <c r="E11" s="49" t="s">
        <v>146</v>
      </c>
      <c r="F11" s="143" t="s">
        <v>378</v>
      </c>
      <c r="G11" s="143" t="s">
        <v>379</v>
      </c>
      <c r="H11" s="143" t="s">
        <v>380</v>
      </c>
      <c r="K11" s="134" t="s">
        <v>381</v>
      </c>
      <c r="N11" s="137" t="s">
        <v>294</v>
      </c>
      <c r="O11" s="136"/>
      <c r="P11" s="87" t="s">
        <v>915</v>
      </c>
      <c r="R11" s="87" t="s">
        <v>767</v>
      </c>
    </row>
    <row r="12" spans="1:18" ht="138" x14ac:dyDescent="0.3">
      <c r="A12" s="87"/>
      <c r="B12" s="87" t="s">
        <v>212</v>
      </c>
      <c r="E12" s="49" t="s">
        <v>155</v>
      </c>
      <c r="F12" s="143" t="s">
        <v>382</v>
      </c>
      <c r="G12" s="143" t="s">
        <v>383</v>
      </c>
      <c r="H12" s="143" t="s">
        <v>384</v>
      </c>
      <c r="K12" s="134" t="s">
        <v>385</v>
      </c>
      <c r="N12" s="137" t="s">
        <v>292</v>
      </c>
      <c r="O12" s="136"/>
      <c r="P12" s="87" t="s">
        <v>916</v>
      </c>
      <c r="R12" s="87" t="s">
        <v>744</v>
      </c>
    </row>
    <row r="13" spans="1:18" ht="115" x14ac:dyDescent="0.3">
      <c r="A13" s="87"/>
      <c r="B13" s="87" t="s">
        <v>218</v>
      </c>
      <c r="E13" s="49" t="s">
        <v>150</v>
      </c>
      <c r="F13" s="143" t="s">
        <v>386</v>
      </c>
      <c r="G13" s="143" t="s">
        <v>387</v>
      </c>
      <c r="H13" s="143" t="s">
        <v>388</v>
      </c>
      <c r="K13" s="134" t="s">
        <v>389</v>
      </c>
      <c r="N13" s="137" t="s">
        <v>289</v>
      </c>
      <c r="O13" s="136"/>
      <c r="R13" s="87" t="s">
        <v>748</v>
      </c>
    </row>
    <row r="14" spans="1:18" ht="138" x14ac:dyDescent="0.3">
      <c r="A14" s="87"/>
      <c r="B14" s="87" t="s">
        <v>226</v>
      </c>
      <c r="E14" s="49" t="s">
        <v>390</v>
      </c>
      <c r="F14" s="89" t="s">
        <v>391</v>
      </c>
      <c r="G14" s="143" t="s">
        <v>392</v>
      </c>
      <c r="H14" s="143" t="s">
        <v>393</v>
      </c>
      <c r="K14" s="134" t="s">
        <v>394</v>
      </c>
      <c r="N14" s="137" t="s">
        <v>273</v>
      </c>
      <c r="O14" s="136"/>
      <c r="R14" s="87" t="s">
        <v>770</v>
      </c>
    </row>
    <row r="15" spans="1:18" ht="138" x14ac:dyDescent="0.3">
      <c r="A15" s="87"/>
      <c r="B15" s="87" t="s">
        <v>233</v>
      </c>
      <c r="E15" s="70" t="s">
        <v>395</v>
      </c>
      <c r="F15" s="182" t="s">
        <v>396</v>
      </c>
      <c r="G15" s="183" t="s">
        <v>397</v>
      </c>
      <c r="H15" s="183" t="s">
        <v>398</v>
      </c>
      <c r="K15" s="134" t="s">
        <v>399</v>
      </c>
      <c r="N15" s="137" t="s">
        <v>270</v>
      </c>
      <c r="O15" s="136"/>
      <c r="R15" s="87" t="s">
        <v>762</v>
      </c>
    </row>
    <row r="16" spans="1:18" x14ac:dyDescent="0.3">
      <c r="A16" s="87"/>
      <c r="B16" s="87" t="s">
        <v>237</v>
      </c>
      <c r="E16" s="184"/>
      <c r="F16" s="185"/>
      <c r="G16" s="185"/>
      <c r="H16" s="185"/>
      <c r="K16" s="134" t="s">
        <v>400</v>
      </c>
      <c r="N16" s="137" t="s">
        <v>267</v>
      </c>
      <c r="O16" s="136"/>
      <c r="R16" s="87" t="s">
        <v>724</v>
      </c>
    </row>
    <row r="17" spans="1:18" x14ac:dyDescent="0.3">
      <c r="A17" s="87"/>
      <c r="B17" s="87" t="s">
        <v>401</v>
      </c>
      <c r="E17" s="144"/>
      <c r="F17" s="144"/>
      <c r="G17" s="144"/>
      <c r="H17" s="144"/>
      <c r="K17" s="134" t="s">
        <v>402</v>
      </c>
      <c r="N17" s="137" t="s">
        <v>263</v>
      </c>
      <c r="O17" s="136"/>
      <c r="R17" s="87" t="s">
        <v>806</v>
      </c>
    </row>
    <row r="18" spans="1:18" x14ac:dyDescent="0.3">
      <c r="A18" s="87"/>
      <c r="B18" s="87" t="s">
        <v>403</v>
      </c>
      <c r="E18" s="144"/>
      <c r="F18" s="144"/>
      <c r="G18" s="144"/>
      <c r="H18" s="144"/>
      <c r="K18" s="134" t="s">
        <v>404</v>
      </c>
      <c r="N18" s="137" t="s">
        <v>271</v>
      </c>
      <c r="O18" s="136"/>
      <c r="R18" s="87" t="s">
        <v>727</v>
      </c>
    </row>
    <row r="19" spans="1:18" x14ac:dyDescent="0.3">
      <c r="A19" s="87"/>
      <c r="B19" s="87" t="s">
        <v>240</v>
      </c>
      <c r="E19" s="144"/>
      <c r="F19" s="144"/>
      <c r="G19" s="144"/>
      <c r="H19" s="144"/>
      <c r="K19" s="134" t="s">
        <v>405</v>
      </c>
      <c r="N19" s="137" t="s">
        <v>265</v>
      </c>
      <c r="R19" s="87" t="s">
        <v>773</v>
      </c>
    </row>
    <row r="20" spans="1:18" x14ac:dyDescent="0.3">
      <c r="K20" s="134" t="s">
        <v>406</v>
      </c>
      <c r="N20" s="137" t="s">
        <v>407</v>
      </c>
      <c r="R20" s="87" t="s">
        <v>753</v>
      </c>
    </row>
    <row r="21" spans="1:18" x14ac:dyDescent="0.3">
      <c r="K21" s="134" t="s">
        <v>408</v>
      </c>
      <c r="N21" s="137" t="s">
        <v>266</v>
      </c>
      <c r="R21" s="87" t="s">
        <v>837</v>
      </c>
    </row>
    <row r="22" spans="1:18" x14ac:dyDescent="0.3">
      <c r="K22" s="134" t="s">
        <v>409</v>
      </c>
      <c r="N22" s="137" t="s">
        <v>410</v>
      </c>
      <c r="R22" s="87" t="s">
        <v>719</v>
      </c>
    </row>
    <row r="23" spans="1:18" x14ac:dyDescent="0.3">
      <c r="K23" s="134" t="s">
        <v>411</v>
      </c>
      <c r="N23" s="137" t="s">
        <v>412</v>
      </c>
      <c r="R23" s="87" t="s">
        <v>829</v>
      </c>
    </row>
    <row r="24" spans="1:18" x14ac:dyDescent="0.3">
      <c r="K24" s="134" t="s">
        <v>413</v>
      </c>
      <c r="N24" s="137" t="s">
        <v>414</v>
      </c>
      <c r="R24" s="87" t="s">
        <v>811</v>
      </c>
    </row>
    <row r="25" spans="1:18" x14ac:dyDescent="0.3">
      <c r="K25" s="134" t="s">
        <v>415</v>
      </c>
      <c r="N25" s="137" t="s">
        <v>416</v>
      </c>
      <c r="R25" s="87" t="s">
        <v>731</v>
      </c>
    </row>
    <row r="26" spans="1:18" x14ac:dyDescent="0.3">
      <c r="K26" s="134" t="s">
        <v>417</v>
      </c>
      <c r="N26" s="137" t="s">
        <v>418</v>
      </c>
      <c r="R26" s="87" t="s">
        <v>824</v>
      </c>
    </row>
    <row r="27" spans="1:18" x14ac:dyDescent="0.3">
      <c r="K27" s="112"/>
      <c r="N27" s="137" t="s">
        <v>419</v>
      </c>
      <c r="R27" s="87" t="s">
        <v>759</v>
      </c>
    </row>
    <row r="28" spans="1:18" x14ac:dyDescent="0.3">
      <c r="N28" s="137" t="s">
        <v>420</v>
      </c>
      <c r="R28" s="87" t="s">
        <v>804</v>
      </c>
    </row>
    <row r="29" spans="1:18" x14ac:dyDescent="0.3">
      <c r="R29" s="87" t="s">
        <v>834</v>
      </c>
    </row>
    <row r="30" spans="1:18" x14ac:dyDescent="0.3">
      <c r="R30" s="87" t="s">
        <v>921</v>
      </c>
    </row>
  </sheetData>
  <phoneticPr fontId="19" type="noConversion"/>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sheetPr>
    <tabColor theme="0" tint="-0.14999847407452621"/>
  </sheetPr>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B11" sqref="B11"/>
    </sheetView>
  </sheetViews>
  <sheetFormatPr baseColWidth="10" defaultColWidth="11"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2" customWidth="1"/>
  </cols>
  <sheetData>
    <row r="2" spans="1:11" ht="22" customHeight="1" x14ac:dyDescent="0.3">
      <c r="A2" s="47" t="s">
        <v>133</v>
      </c>
      <c r="B2" s="47" t="s">
        <v>62</v>
      </c>
      <c r="C2" s="47" t="s">
        <v>421</v>
      </c>
      <c r="D2" s="47" t="s">
        <v>9</v>
      </c>
      <c r="E2" s="47" t="s">
        <v>422</v>
      </c>
      <c r="F2" s="47" t="s">
        <v>423</v>
      </c>
      <c r="G2" s="47" t="s">
        <v>424</v>
      </c>
      <c r="H2" s="47" t="s">
        <v>425</v>
      </c>
      <c r="I2" s="131" t="s">
        <v>316</v>
      </c>
      <c r="J2" s="131"/>
      <c r="K2" s="47" t="s">
        <v>426</v>
      </c>
    </row>
    <row r="3" spans="1:11" ht="69" x14ac:dyDescent="0.3">
      <c r="A3" s="48" t="s">
        <v>138</v>
      </c>
      <c r="B3" s="113" t="s">
        <v>159</v>
      </c>
      <c r="C3" s="114" t="s">
        <v>427</v>
      </c>
      <c r="D3" s="114" t="s">
        <v>428</v>
      </c>
      <c r="E3" s="114" t="s">
        <v>429</v>
      </c>
      <c r="F3" s="114" t="s">
        <v>430</v>
      </c>
      <c r="G3" s="48" t="s">
        <v>431</v>
      </c>
      <c r="H3" s="48" t="s">
        <v>318</v>
      </c>
      <c r="I3" s="64" t="s">
        <v>432</v>
      </c>
      <c r="J3" s="64"/>
      <c r="K3" s="48"/>
    </row>
    <row r="4" spans="1:11" ht="69" x14ac:dyDescent="0.3">
      <c r="A4" s="48" t="s">
        <v>138</v>
      </c>
      <c r="B4" s="113" t="s">
        <v>159</v>
      </c>
      <c r="C4" s="48" t="s">
        <v>433</v>
      </c>
      <c r="D4" s="64" t="s">
        <v>434</v>
      </c>
      <c r="E4" s="64" t="s">
        <v>435</v>
      </c>
      <c r="F4" s="64" t="s">
        <v>436</v>
      </c>
      <c r="G4" s="48" t="s">
        <v>431</v>
      </c>
      <c r="H4" s="48" t="s">
        <v>318</v>
      </c>
      <c r="I4" s="64" t="s">
        <v>432</v>
      </c>
      <c r="J4" s="64"/>
      <c r="K4" s="48"/>
    </row>
    <row r="5" spans="1:11" ht="69" x14ac:dyDescent="0.3">
      <c r="A5" s="48" t="s">
        <v>138</v>
      </c>
      <c r="B5" s="113" t="s">
        <v>159</v>
      </c>
      <c r="C5" s="48" t="s">
        <v>437</v>
      </c>
      <c r="D5" s="64" t="s">
        <v>438</v>
      </c>
      <c r="E5" s="64" t="s">
        <v>439</v>
      </c>
      <c r="F5" s="64" t="s">
        <v>440</v>
      </c>
      <c r="G5" s="48" t="s">
        <v>431</v>
      </c>
      <c r="H5" s="48" t="s">
        <v>318</v>
      </c>
      <c r="I5" s="64" t="s">
        <v>432</v>
      </c>
      <c r="J5" s="64"/>
      <c r="K5" s="48"/>
    </row>
    <row r="6" spans="1:11" ht="69" x14ac:dyDescent="0.3">
      <c r="A6" s="48" t="s">
        <v>138</v>
      </c>
      <c r="B6" s="113" t="s">
        <v>159</v>
      </c>
      <c r="C6" s="115" t="s">
        <v>441</v>
      </c>
      <c r="D6" s="115" t="s">
        <v>442</v>
      </c>
      <c r="E6" s="115" t="s">
        <v>443</v>
      </c>
      <c r="F6" s="115" t="s">
        <v>444</v>
      </c>
      <c r="G6" s="48" t="s">
        <v>445</v>
      </c>
      <c r="H6" s="48" t="s">
        <v>446</v>
      </c>
      <c r="I6" s="64" t="s">
        <v>447</v>
      </c>
      <c r="J6" s="64"/>
      <c r="K6" s="48"/>
    </row>
    <row r="7" spans="1:11" ht="69" x14ac:dyDescent="0.3">
      <c r="A7" s="48" t="s">
        <v>138</v>
      </c>
      <c r="B7" s="113" t="s">
        <v>159</v>
      </c>
      <c r="C7" s="48" t="s">
        <v>448</v>
      </c>
      <c r="D7" s="64" t="s">
        <v>449</v>
      </c>
      <c r="E7" s="64" t="s">
        <v>450</v>
      </c>
      <c r="F7" s="64" t="s">
        <v>451</v>
      </c>
      <c r="G7" s="48" t="s">
        <v>445</v>
      </c>
      <c r="H7" s="48" t="s">
        <v>452</v>
      </c>
      <c r="I7" s="64"/>
      <c r="J7" s="64"/>
      <c r="K7" s="48"/>
    </row>
    <row r="8" spans="1:11" ht="69" x14ac:dyDescent="0.3">
      <c r="A8" s="48" t="s">
        <v>138</v>
      </c>
      <c r="B8" s="113" t="s">
        <v>159</v>
      </c>
      <c r="C8" s="48" t="s">
        <v>453</v>
      </c>
      <c r="D8" s="64" t="s">
        <v>454</v>
      </c>
      <c r="E8" s="64" t="s">
        <v>455</v>
      </c>
      <c r="F8" s="64" t="s">
        <v>456</v>
      </c>
      <c r="G8" s="48" t="s">
        <v>445</v>
      </c>
      <c r="H8" s="48" t="s">
        <v>457</v>
      </c>
      <c r="I8" s="64" t="s">
        <v>432</v>
      </c>
      <c r="J8" s="64"/>
      <c r="K8" s="48"/>
    </row>
    <row r="9" spans="1:11" ht="69" x14ac:dyDescent="0.3">
      <c r="A9" s="48" t="s">
        <v>138</v>
      </c>
      <c r="B9" s="48" t="s">
        <v>159</v>
      </c>
      <c r="C9" s="48" t="s">
        <v>458</v>
      </c>
      <c r="D9" s="64" t="s">
        <v>459</v>
      </c>
      <c r="E9" s="64" t="s">
        <v>460</v>
      </c>
      <c r="F9" s="64" t="s">
        <v>461</v>
      </c>
      <c r="G9" s="48" t="s">
        <v>431</v>
      </c>
      <c r="H9" s="48" t="s">
        <v>318</v>
      </c>
      <c r="I9" s="64" t="s">
        <v>462</v>
      </c>
      <c r="J9" s="64"/>
      <c r="K9" s="48"/>
    </row>
    <row r="10" spans="1:11" ht="69" x14ac:dyDescent="0.3">
      <c r="A10" s="48" t="s">
        <v>138</v>
      </c>
      <c r="B10" s="48" t="s">
        <v>159</v>
      </c>
      <c r="C10" s="48" t="s">
        <v>463</v>
      </c>
      <c r="D10" s="64" t="s">
        <v>464</v>
      </c>
      <c r="E10" s="64" t="s">
        <v>465</v>
      </c>
      <c r="F10" s="64" t="s">
        <v>466</v>
      </c>
      <c r="G10" s="48" t="s">
        <v>445</v>
      </c>
      <c r="H10" s="48" t="s">
        <v>452</v>
      </c>
      <c r="I10" s="64" t="s">
        <v>462</v>
      </c>
      <c r="J10" s="64"/>
      <c r="K10" s="48"/>
    </row>
    <row r="11" spans="1:11" ht="69" x14ac:dyDescent="0.3">
      <c r="A11" s="48" t="s">
        <v>138</v>
      </c>
      <c r="B11" s="48" t="s">
        <v>140</v>
      </c>
      <c r="C11" s="115" t="s">
        <v>467</v>
      </c>
      <c r="D11" s="115" t="s">
        <v>468</v>
      </c>
      <c r="E11" s="115" t="s">
        <v>469</v>
      </c>
      <c r="F11" s="115" t="s">
        <v>470</v>
      </c>
      <c r="G11" s="48" t="s">
        <v>431</v>
      </c>
      <c r="H11" s="48" t="s">
        <v>446</v>
      </c>
      <c r="I11" s="64"/>
      <c r="J11" s="64"/>
      <c r="K11" s="48"/>
    </row>
    <row r="12" spans="1:11" ht="69" x14ac:dyDescent="0.3">
      <c r="A12" s="48" t="s">
        <v>138</v>
      </c>
      <c r="B12" s="48" t="s">
        <v>140</v>
      </c>
      <c r="C12" s="48" t="s">
        <v>471</v>
      </c>
      <c r="D12" s="64" t="s">
        <v>472</v>
      </c>
      <c r="E12" s="64" t="s">
        <v>473</v>
      </c>
      <c r="F12" s="64" t="s">
        <v>474</v>
      </c>
      <c r="G12" s="48" t="s">
        <v>431</v>
      </c>
      <c r="H12" s="48" t="s">
        <v>446</v>
      </c>
      <c r="I12" s="64"/>
      <c r="J12" s="64"/>
      <c r="K12" s="48"/>
    </row>
    <row r="13" spans="1:11" ht="69" x14ac:dyDescent="0.3">
      <c r="A13" s="48" t="s">
        <v>138</v>
      </c>
      <c r="B13" s="48" t="s">
        <v>140</v>
      </c>
      <c r="C13" s="48" t="s">
        <v>475</v>
      </c>
      <c r="D13" s="64" t="s">
        <v>476</v>
      </c>
      <c r="E13" s="64" t="s">
        <v>477</v>
      </c>
      <c r="F13" s="64" t="s">
        <v>478</v>
      </c>
      <c r="G13" s="48" t="s">
        <v>431</v>
      </c>
      <c r="H13" s="48" t="s">
        <v>479</v>
      </c>
      <c r="I13" s="64" t="s">
        <v>480</v>
      </c>
      <c r="J13" s="64"/>
      <c r="K13" s="48"/>
    </row>
    <row r="14" spans="1:11" ht="69" x14ac:dyDescent="0.3">
      <c r="A14" s="48" t="s">
        <v>138</v>
      </c>
      <c r="B14" s="48" t="s">
        <v>140</v>
      </c>
      <c r="C14" s="64" t="s">
        <v>481</v>
      </c>
      <c r="D14" s="64" t="s">
        <v>482</v>
      </c>
      <c r="E14" s="64" t="s">
        <v>483</v>
      </c>
      <c r="F14" s="64" t="s">
        <v>484</v>
      </c>
      <c r="G14" s="48" t="s">
        <v>445</v>
      </c>
      <c r="H14" s="48" t="s">
        <v>446</v>
      </c>
      <c r="I14" s="64" t="s">
        <v>485</v>
      </c>
      <c r="J14" s="64"/>
      <c r="K14" s="48"/>
    </row>
    <row r="15" spans="1:11" ht="115" x14ac:dyDescent="0.3">
      <c r="A15" s="48" t="s">
        <v>138</v>
      </c>
      <c r="B15" s="48" t="s">
        <v>140</v>
      </c>
      <c r="C15" s="64" t="s">
        <v>486</v>
      </c>
      <c r="D15" s="64" t="s">
        <v>487</v>
      </c>
      <c r="E15" s="64" t="s">
        <v>488</v>
      </c>
      <c r="F15" s="64" t="s">
        <v>489</v>
      </c>
      <c r="G15" s="48" t="s">
        <v>445</v>
      </c>
      <c r="H15" s="48" t="s">
        <v>318</v>
      </c>
      <c r="I15" s="64" t="s">
        <v>490</v>
      </c>
      <c r="J15" s="64"/>
      <c r="K15" s="48"/>
    </row>
    <row r="16" spans="1:11" ht="69" x14ac:dyDescent="0.3">
      <c r="A16" s="48" t="s">
        <v>138</v>
      </c>
      <c r="B16" s="48" t="s">
        <v>140</v>
      </c>
      <c r="C16" s="48" t="s">
        <v>491</v>
      </c>
      <c r="D16" s="64" t="s">
        <v>492</v>
      </c>
      <c r="E16" s="64" t="s">
        <v>493</v>
      </c>
      <c r="F16" s="64" t="s">
        <v>494</v>
      </c>
      <c r="G16" s="48" t="s">
        <v>445</v>
      </c>
      <c r="H16" s="48" t="s">
        <v>495</v>
      </c>
      <c r="I16" s="64"/>
      <c r="J16" s="64"/>
      <c r="K16" s="48"/>
    </row>
    <row r="17" spans="1:11" ht="69" x14ac:dyDescent="0.3">
      <c r="A17" s="48" t="s">
        <v>138</v>
      </c>
      <c r="B17" s="48" t="s">
        <v>140</v>
      </c>
      <c r="C17" s="48" t="s">
        <v>496</v>
      </c>
      <c r="D17" s="64" t="s">
        <v>497</v>
      </c>
      <c r="E17" s="64" t="s">
        <v>498</v>
      </c>
      <c r="F17" s="64" t="s">
        <v>499</v>
      </c>
      <c r="G17" s="48" t="s">
        <v>445</v>
      </c>
      <c r="H17" s="48" t="s">
        <v>500</v>
      </c>
      <c r="I17" s="64"/>
      <c r="J17" s="64"/>
      <c r="K17" s="48"/>
    </row>
    <row r="18" spans="1:11" ht="46" x14ac:dyDescent="0.3">
      <c r="A18" s="48" t="s">
        <v>138</v>
      </c>
      <c r="B18" s="48" t="s">
        <v>140</v>
      </c>
      <c r="C18" s="48" t="s">
        <v>501</v>
      </c>
      <c r="D18" s="64" t="s">
        <v>502</v>
      </c>
      <c r="E18" s="64" t="s">
        <v>503</v>
      </c>
      <c r="F18" s="64" t="s">
        <v>504</v>
      </c>
      <c r="G18" s="48" t="s">
        <v>445</v>
      </c>
      <c r="H18" s="48" t="s">
        <v>505</v>
      </c>
      <c r="I18" s="64"/>
      <c r="J18" s="64"/>
      <c r="K18" s="48"/>
    </row>
    <row r="19" spans="1:11" ht="46" x14ac:dyDescent="0.3">
      <c r="A19" s="48" t="s">
        <v>138</v>
      </c>
      <c r="B19" s="48" t="s">
        <v>356</v>
      </c>
      <c r="C19" s="115" t="s">
        <v>506</v>
      </c>
      <c r="D19" s="115" t="s">
        <v>507</v>
      </c>
      <c r="E19" s="115" t="s">
        <v>508</v>
      </c>
      <c r="F19" s="115" t="s">
        <v>509</v>
      </c>
      <c r="G19" s="48" t="s">
        <v>431</v>
      </c>
      <c r="H19" s="48" t="s">
        <v>510</v>
      </c>
      <c r="I19" s="64" t="s">
        <v>511</v>
      </c>
      <c r="J19" s="64"/>
      <c r="K19" s="48"/>
    </row>
    <row r="20" spans="1:11" ht="46" x14ac:dyDescent="0.3">
      <c r="A20" s="48" t="s">
        <v>138</v>
      </c>
      <c r="B20" s="48" t="s">
        <v>356</v>
      </c>
      <c r="C20" s="48" t="s">
        <v>512</v>
      </c>
      <c r="D20" s="64" t="s">
        <v>513</v>
      </c>
      <c r="E20" s="64" t="s">
        <v>514</v>
      </c>
      <c r="F20" s="64" t="s">
        <v>515</v>
      </c>
      <c r="G20" s="48" t="s">
        <v>431</v>
      </c>
      <c r="H20" s="48" t="s">
        <v>510</v>
      </c>
      <c r="I20" s="64" t="s">
        <v>516</v>
      </c>
      <c r="J20" s="64"/>
      <c r="K20" s="48"/>
    </row>
    <row r="21" spans="1:11" ht="69" x14ac:dyDescent="0.3">
      <c r="A21" s="48" t="s">
        <v>138</v>
      </c>
      <c r="B21" s="48" t="s">
        <v>356</v>
      </c>
      <c r="C21" s="48" t="s">
        <v>517</v>
      </c>
      <c r="D21" s="64" t="s">
        <v>518</v>
      </c>
      <c r="E21" s="64" t="s">
        <v>519</v>
      </c>
      <c r="F21" s="64" t="s">
        <v>520</v>
      </c>
      <c r="G21" s="48" t="s">
        <v>431</v>
      </c>
      <c r="H21" s="48" t="s">
        <v>521</v>
      </c>
      <c r="I21" s="64"/>
      <c r="J21" s="64"/>
      <c r="K21" s="48"/>
    </row>
    <row r="22" spans="1:11" ht="69" x14ac:dyDescent="0.3">
      <c r="A22" s="48" t="s">
        <v>138</v>
      </c>
      <c r="B22" s="48" t="s">
        <v>356</v>
      </c>
      <c r="C22" s="115" t="s">
        <v>522</v>
      </c>
      <c r="D22" s="115" t="s">
        <v>523</v>
      </c>
      <c r="E22" s="115" t="s">
        <v>524</v>
      </c>
      <c r="F22" s="115" t="s">
        <v>525</v>
      </c>
      <c r="G22" s="48" t="s">
        <v>445</v>
      </c>
      <c r="H22" s="48" t="s">
        <v>446</v>
      </c>
      <c r="I22" s="64"/>
      <c r="J22" s="64"/>
      <c r="K22" s="48"/>
    </row>
    <row r="23" spans="1:11" ht="46" x14ac:dyDescent="0.3">
      <c r="A23" s="48" t="s">
        <v>138</v>
      </c>
      <c r="B23" s="48" t="s">
        <v>356</v>
      </c>
      <c r="C23" s="48" t="s">
        <v>526</v>
      </c>
      <c r="D23" s="64" t="s">
        <v>527</v>
      </c>
      <c r="E23" s="64" t="s">
        <v>528</v>
      </c>
      <c r="F23" s="64" t="s">
        <v>529</v>
      </c>
      <c r="G23" s="48" t="s">
        <v>445</v>
      </c>
      <c r="H23" s="48" t="s">
        <v>530</v>
      </c>
      <c r="I23" s="64"/>
      <c r="J23" s="64"/>
      <c r="K23" s="48"/>
    </row>
    <row r="24" spans="1:11" ht="69" x14ac:dyDescent="0.3">
      <c r="A24" s="48" t="s">
        <v>138</v>
      </c>
      <c r="B24" s="48" t="s">
        <v>356</v>
      </c>
      <c r="C24" s="48" t="s">
        <v>531</v>
      </c>
      <c r="D24" s="64" t="s">
        <v>532</v>
      </c>
      <c r="E24" s="64" t="s">
        <v>533</v>
      </c>
      <c r="F24" s="64" t="s">
        <v>534</v>
      </c>
      <c r="G24" s="48" t="s">
        <v>445</v>
      </c>
      <c r="H24" s="48" t="s">
        <v>535</v>
      </c>
      <c r="I24" s="64"/>
      <c r="J24" s="64"/>
      <c r="K24" s="48"/>
    </row>
    <row r="25" spans="1:11" ht="69" x14ac:dyDescent="0.3">
      <c r="A25" s="48" t="s">
        <v>138</v>
      </c>
      <c r="B25" s="48" t="s">
        <v>170</v>
      </c>
      <c r="C25" s="115" t="s">
        <v>536</v>
      </c>
      <c r="D25" s="115" t="s">
        <v>537</v>
      </c>
      <c r="E25" s="115" t="s">
        <v>538</v>
      </c>
      <c r="F25" s="115" t="s">
        <v>539</v>
      </c>
      <c r="G25" s="48" t="s">
        <v>431</v>
      </c>
      <c r="H25" s="48" t="s">
        <v>318</v>
      </c>
      <c r="I25" s="64" t="s">
        <v>540</v>
      </c>
      <c r="J25" s="64"/>
      <c r="K25" s="48"/>
    </row>
    <row r="26" spans="1:11" ht="69" x14ac:dyDescent="0.3">
      <c r="A26" s="48" t="s">
        <v>138</v>
      </c>
      <c r="B26" s="48" t="s">
        <v>170</v>
      </c>
      <c r="C26" s="48" t="s">
        <v>541</v>
      </c>
      <c r="D26" s="64" t="s">
        <v>542</v>
      </c>
      <c r="E26" s="64" t="s">
        <v>543</v>
      </c>
      <c r="F26" s="64" t="s">
        <v>544</v>
      </c>
      <c r="G26" s="48" t="s">
        <v>431</v>
      </c>
      <c r="H26" s="48" t="s">
        <v>545</v>
      </c>
      <c r="I26" s="64"/>
      <c r="J26" s="64"/>
      <c r="K26" s="48"/>
    </row>
    <row r="27" spans="1:11" ht="69" x14ac:dyDescent="0.3">
      <c r="A27" s="48" t="s">
        <v>138</v>
      </c>
      <c r="B27" s="48" t="s">
        <v>170</v>
      </c>
      <c r="C27" s="48" t="s">
        <v>546</v>
      </c>
      <c r="D27" s="64" t="s">
        <v>547</v>
      </c>
      <c r="E27" s="64" t="s">
        <v>548</v>
      </c>
      <c r="F27" s="64" t="s">
        <v>549</v>
      </c>
      <c r="G27" s="48" t="s">
        <v>431</v>
      </c>
      <c r="H27" s="48" t="s">
        <v>318</v>
      </c>
      <c r="I27" s="64" t="s">
        <v>550</v>
      </c>
      <c r="J27" s="64"/>
      <c r="K27" s="48"/>
    </row>
    <row r="28" spans="1:11" ht="69" x14ac:dyDescent="0.3">
      <c r="A28" s="48" t="s">
        <v>138</v>
      </c>
      <c r="B28" s="48" t="s">
        <v>170</v>
      </c>
      <c r="C28" s="48" t="s">
        <v>551</v>
      </c>
      <c r="D28" s="64" t="s">
        <v>552</v>
      </c>
      <c r="E28" s="64" t="s">
        <v>553</v>
      </c>
      <c r="F28" s="64" t="s">
        <v>554</v>
      </c>
      <c r="G28" s="48" t="s">
        <v>431</v>
      </c>
      <c r="H28" s="48" t="s">
        <v>318</v>
      </c>
      <c r="I28" s="64"/>
      <c r="J28" s="64"/>
      <c r="K28" s="48"/>
    </row>
    <row r="29" spans="1:11" ht="69" x14ac:dyDescent="0.3">
      <c r="A29" s="48" t="s">
        <v>138</v>
      </c>
      <c r="B29" s="48" t="s">
        <v>170</v>
      </c>
      <c r="C29" s="115" t="s">
        <v>555</v>
      </c>
      <c r="D29" s="115" t="s">
        <v>556</v>
      </c>
      <c r="E29" s="115" t="s">
        <v>557</v>
      </c>
      <c r="F29" s="115" t="s">
        <v>558</v>
      </c>
      <c r="G29" s="48" t="s">
        <v>445</v>
      </c>
      <c r="H29" s="48" t="s">
        <v>318</v>
      </c>
      <c r="I29" s="64"/>
      <c r="J29" s="64"/>
      <c r="K29" s="48"/>
    </row>
    <row r="30" spans="1:11" ht="46" x14ac:dyDescent="0.3">
      <c r="A30" s="48" t="s">
        <v>138</v>
      </c>
      <c r="B30" s="48" t="s">
        <v>170</v>
      </c>
      <c r="C30" s="48" t="s">
        <v>559</v>
      </c>
      <c r="D30" s="64" t="s">
        <v>560</v>
      </c>
      <c r="E30" s="64" t="s">
        <v>561</v>
      </c>
      <c r="F30" s="64" t="s">
        <v>562</v>
      </c>
      <c r="G30" s="48" t="s">
        <v>445</v>
      </c>
      <c r="H30" s="48" t="s">
        <v>318</v>
      </c>
      <c r="I30" s="64"/>
      <c r="J30" s="64"/>
      <c r="K30" s="48"/>
    </row>
    <row r="31" spans="1:11" ht="161" x14ac:dyDescent="0.3">
      <c r="A31" s="48" t="s">
        <v>138</v>
      </c>
      <c r="B31" s="48" t="s">
        <v>170</v>
      </c>
      <c r="C31" s="48" t="s">
        <v>563</v>
      </c>
      <c r="D31" s="64" t="s">
        <v>564</v>
      </c>
      <c r="E31" s="64" t="s">
        <v>565</v>
      </c>
      <c r="F31" s="64" t="s">
        <v>566</v>
      </c>
      <c r="G31" s="48" t="s">
        <v>445</v>
      </c>
      <c r="H31" s="48" t="s">
        <v>318</v>
      </c>
      <c r="I31" s="64" t="s">
        <v>567</v>
      </c>
      <c r="J31" s="64"/>
      <c r="K31" s="48"/>
    </row>
    <row r="32" spans="1:11" ht="69" x14ac:dyDescent="0.3">
      <c r="A32" s="48" t="s">
        <v>138</v>
      </c>
      <c r="B32" s="48" t="s">
        <v>170</v>
      </c>
      <c r="C32" s="48" t="s">
        <v>568</v>
      </c>
      <c r="D32" s="64" t="s">
        <v>569</v>
      </c>
      <c r="E32" s="64" t="s">
        <v>570</v>
      </c>
      <c r="F32" s="64" t="s">
        <v>571</v>
      </c>
      <c r="G32" s="48" t="s">
        <v>445</v>
      </c>
      <c r="H32" s="48" t="s">
        <v>318</v>
      </c>
      <c r="I32" s="64" t="s">
        <v>572</v>
      </c>
      <c r="J32" s="64"/>
      <c r="K32" s="48"/>
    </row>
    <row r="33" spans="1:11" ht="92" x14ac:dyDescent="0.3">
      <c r="A33" s="48" t="s">
        <v>138</v>
      </c>
      <c r="B33" s="48" t="s">
        <v>139</v>
      </c>
      <c r="C33" s="48" t="s">
        <v>573</v>
      </c>
      <c r="D33" s="64" t="s">
        <v>574</v>
      </c>
      <c r="E33" s="64" t="s">
        <v>575</v>
      </c>
      <c r="F33" s="64" t="s">
        <v>576</v>
      </c>
      <c r="G33" s="48" t="s">
        <v>431</v>
      </c>
      <c r="H33" s="48" t="s">
        <v>318</v>
      </c>
      <c r="I33" s="64" t="s">
        <v>577</v>
      </c>
      <c r="J33" s="64"/>
      <c r="K33" s="48"/>
    </row>
    <row r="34" spans="1:11" ht="69" x14ac:dyDescent="0.3">
      <c r="A34" s="48" t="s">
        <v>138</v>
      </c>
      <c r="B34" s="48" t="s">
        <v>139</v>
      </c>
      <c r="C34" s="48" t="s">
        <v>578</v>
      </c>
      <c r="D34" s="64" t="s">
        <v>579</v>
      </c>
      <c r="E34" s="64" t="s">
        <v>580</v>
      </c>
      <c r="F34" s="64" t="s">
        <v>581</v>
      </c>
      <c r="G34" s="48" t="s">
        <v>431</v>
      </c>
      <c r="H34" s="48" t="s">
        <v>318</v>
      </c>
      <c r="I34" s="64"/>
      <c r="J34" s="64"/>
      <c r="K34" s="48"/>
    </row>
    <row r="35" spans="1:11" ht="69" x14ac:dyDescent="0.3">
      <c r="A35" s="48" t="s">
        <v>138</v>
      </c>
      <c r="B35" s="48" t="s">
        <v>139</v>
      </c>
      <c r="C35" s="48" t="s">
        <v>582</v>
      </c>
      <c r="D35" s="64" t="s">
        <v>583</v>
      </c>
      <c r="E35" s="64" t="s">
        <v>584</v>
      </c>
      <c r="F35" s="64" t="s">
        <v>585</v>
      </c>
      <c r="G35" s="48" t="s">
        <v>431</v>
      </c>
      <c r="H35" s="48" t="s">
        <v>318</v>
      </c>
      <c r="I35" s="64" t="s">
        <v>586</v>
      </c>
      <c r="J35" s="64"/>
      <c r="K35" s="48"/>
    </row>
    <row r="36" spans="1:11" ht="69" x14ac:dyDescent="0.3">
      <c r="A36" s="48" t="s">
        <v>138</v>
      </c>
      <c r="B36" s="48" t="s">
        <v>139</v>
      </c>
      <c r="C36" s="115" t="s">
        <v>587</v>
      </c>
      <c r="D36" s="115" t="s">
        <v>588</v>
      </c>
      <c r="E36" s="115" t="s">
        <v>589</v>
      </c>
      <c r="F36" s="115" t="s">
        <v>590</v>
      </c>
      <c r="G36" s="48" t="s">
        <v>445</v>
      </c>
      <c r="H36" s="48" t="s">
        <v>318</v>
      </c>
      <c r="I36" s="64" t="s">
        <v>591</v>
      </c>
      <c r="J36" s="64"/>
      <c r="K36" s="48"/>
    </row>
    <row r="37" spans="1:11" ht="69" x14ac:dyDescent="0.3">
      <c r="A37" s="48" t="s">
        <v>138</v>
      </c>
      <c r="B37" s="48" t="s">
        <v>139</v>
      </c>
      <c r="C37" s="48" t="s">
        <v>592</v>
      </c>
      <c r="D37" s="64" t="s">
        <v>593</v>
      </c>
      <c r="E37" s="64" t="s">
        <v>594</v>
      </c>
      <c r="F37" s="64" t="s">
        <v>595</v>
      </c>
      <c r="G37" s="48" t="s">
        <v>445</v>
      </c>
      <c r="H37" s="48" t="s">
        <v>318</v>
      </c>
      <c r="I37" s="64" t="s">
        <v>596</v>
      </c>
      <c r="J37" s="64"/>
      <c r="K37" s="48"/>
    </row>
    <row r="38" spans="1:11" ht="69" x14ac:dyDescent="0.3">
      <c r="A38" s="48" t="s">
        <v>138</v>
      </c>
      <c r="B38" s="48" t="s">
        <v>139</v>
      </c>
      <c r="C38" s="48" t="s">
        <v>597</v>
      </c>
      <c r="D38" s="64" t="s">
        <v>598</v>
      </c>
      <c r="E38" s="64" t="s">
        <v>599</v>
      </c>
      <c r="F38" s="64" t="s">
        <v>600</v>
      </c>
      <c r="G38" s="48" t="s">
        <v>445</v>
      </c>
      <c r="H38" s="48" t="s">
        <v>495</v>
      </c>
      <c r="I38" s="64" t="s">
        <v>601</v>
      </c>
      <c r="J38" s="64"/>
      <c r="K38" s="48"/>
    </row>
    <row r="39" spans="1:11" ht="46" x14ac:dyDescent="0.3">
      <c r="A39" s="48" t="s">
        <v>138</v>
      </c>
      <c r="B39" s="48" t="s">
        <v>372</v>
      </c>
      <c r="C39" s="115" t="s">
        <v>602</v>
      </c>
      <c r="D39" s="115" t="s">
        <v>603</v>
      </c>
      <c r="E39" s="115" t="s">
        <v>508</v>
      </c>
      <c r="F39" s="115" t="s">
        <v>604</v>
      </c>
      <c r="G39" s="48" t="s">
        <v>431</v>
      </c>
      <c r="H39" s="48" t="s">
        <v>510</v>
      </c>
      <c r="I39" s="64"/>
      <c r="J39" s="64"/>
      <c r="K39" s="48"/>
    </row>
    <row r="40" spans="1:11" ht="46" x14ac:dyDescent="0.3">
      <c r="A40" s="48" t="s">
        <v>138</v>
      </c>
      <c r="B40" s="48" t="s">
        <v>372</v>
      </c>
      <c r="C40" s="48" t="s">
        <v>605</v>
      </c>
      <c r="D40" s="64" t="s">
        <v>606</v>
      </c>
      <c r="E40" s="64" t="s">
        <v>607</v>
      </c>
      <c r="F40" s="64" t="s">
        <v>608</v>
      </c>
      <c r="G40" s="48" t="s">
        <v>431</v>
      </c>
      <c r="H40" s="48" t="s">
        <v>510</v>
      </c>
      <c r="I40" s="64" t="s">
        <v>485</v>
      </c>
      <c r="J40" s="64"/>
      <c r="K40" s="48"/>
    </row>
    <row r="41" spans="1:11" ht="69" x14ac:dyDescent="0.3">
      <c r="A41" s="48" t="s">
        <v>138</v>
      </c>
      <c r="B41" s="48" t="s">
        <v>372</v>
      </c>
      <c r="C41" s="48" t="s">
        <v>609</v>
      </c>
      <c r="D41" s="64" t="s">
        <v>610</v>
      </c>
      <c r="E41" s="64" t="s">
        <v>611</v>
      </c>
      <c r="F41" s="64" t="s">
        <v>612</v>
      </c>
      <c r="G41" s="48" t="s">
        <v>431</v>
      </c>
      <c r="H41" s="48" t="s">
        <v>613</v>
      </c>
      <c r="I41" s="64" t="s">
        <v>614</v>
      </c>
      <c r="J41" s="64"/>
      <c r="K41" s="48"/>
    </row>
    <row r="42" spans="1:11" ht="69" x14ac:dyDescent="0.3">
      <c r="A42" s="48" t="s">
        <v>138</v>
      </c>
      <c r="B42" s="48" t="s">
        <v>372</v>
      </c>
      <c r="C42" s="115" t="s">
        <v>615</v>
      </c>
      <c r="D42" s="64" t="s">
        <v>616</v>
      </c>
      <c r="E42" s="64" t="s">
        <v>617</v>
      </c>
      <c r="F42" s="64" t="s">
        <v>618</v>
      </c>
      <c r="G42" s="48" t="s">
        <v>445</v>
      </c>
      <c r="H42" s="48" t="s">
        <v>619</v>
      </c>
      <c r="I42" s="64"/>
      <c r="J42" s="64"/>
      <c r="K42" s="48"/>
    </row>
    <row r="43" spans="1:11" ht="46" x14ac:dyDescent="0.3">
      <c r="A43" s="48" t="s">
        <v>138</v>
      </c>
      <c r="B43" s="48" t="s">
        <v>372</v>
      </c>
      <c r="C43" s="48" t="s">
        <v>620</v>
      </c>
      <c r="D43" s="64" t="s">
        <v>621</v>
      </c>
      <c r="E43" s="64" t="s">
        <v>622</v>
      </c>
      <c r="F43" s="64" t="s">
        <v>623</v>
      </c>
      <c r="G43" s="48" t="s">
        <v>445</v>
      </c>
      <c r="H43" s="48" t="s">
        <v>624</v>
      </c>
      <c r="I43" s="64"/>
      <c r="J43" s="64"/>
      <c r="K43" s="48"/>
    </row>
    <row r="44" spans="1:11" ht="69" x14ac:dyDescent="0.3">
      <c r="A44" s="48" t="s">
        <v>138</v>
      </c>
      <c r="B44" s="48" t="s">
        <v>372</v>
      </c>
      <c r="C44" s="48" t="s">
        <v>625</v>
      </c>
      <c r="D44" s="64" t="s">
        <v>626</v>
      </c>
      <c r="E44" s="64" t="s">
        <v>627</v>
      </c>
      <c r="F44" s="64" t="s">
        <v>628</v>
      </c>
      <c r="G44" s="48" t="s">
        <v>445</v>
      </c>
      <c r="H44" s="48" t="s">
        <v>535</v>
      </c>
      <c r="I44" s="64"/>
      <c r="J44" s="64"/>
      <c r="K44" s="48"/>
    </row>
    <row r="45" spans="1:11" ht="69" x14ac:dyDescent="0.3">
      <c r="A45" s="48" t="s">
        <v>138</v>
      </c>
      <c r="B45" s="48" t="s">
        <v>629</v>
      </c>
      <c r="C45" s="48" t="s">
        <v>630</v>
      </c>
      <c r="D45" s="64" t="s">
        <v>631</v>
      </c>
      <c r="E45" s="64" t="s">
        <v>632</v>
      </c>
      <c r="F45" s="64" t="s">
        <v>633</v>
      </c>
      <c r="G45" s="48" t="s">
        <v>431</v>
      </c>
      <c r="H45" s="48" t="s">
        <v>634</v>
      </c>
      <c r="I45" s="64" t="s">
        <v>635</v>
      </c>
      <c r="J45" s="64"/>
      <c r="K45" s="48"/>
    </row>
    <row r="46" spans="1:11" ht="69" x14ac:dyDescent="0.3">
      <c r="A46" s="48" t="s">
        <v>138</v>
      </c>
      <c r="B46" s="48" t="s">
        <v>629</v>
      </c>
      <c r="C46" s="48" t="s">
        <v>636</v>
      </c>
      <c r="D46" s="64" t="s">
        <v>637</v>
      </c>
      <c r="E46" s="64" t="s">
        <v>638</v>
      </c>
      <c r="F46" s="64" t="s">
        <v>639</v>
      </c>
      <c r="G46" s="48" t="s">
        <v>431</v>
      </c>
      <c r="H46" s="48" t="s">
        <v>634</v>
      </c>
      <c r="I46" s="64" t="s">
        <v>640</v>
      </c>
      <c r="J46" s="64"/>
      <c r="K46" s="48"/>
    </row>
    <row r="47" spans="1:11" ht="69" x14ac:dyDescent="0.3">
      <c r="A47" s="48" t="s">
        <v>138</v>
      </c>
      <c r="B47" s="48" t="s">
        <v>629</v>
      </c>
      <c r="C47" s="48" t="s">
        <v>641</v>
      </c>
      <c r="D47" s="64" t="s">
        <v>642</v>
      </c>
      <c r="E47" s="64" t="s">
        <v>643</v>
      </c>
      <c r="F47" s="64" t="s">
        <v>644</v>
      </c>
      <c r="G47" s="48" t="s">
        <v>431</v>
      </c>
      <c r="H47" s="48" t="s">
        <v>318</v>
      </c>
      <c r="I47" s="64" t="s">
        <v>645</v>
      </c>
      <c r="J47" s="64"/>
      <c r="K47" s="48"/>
    </row>
    <row r="48" spans="1:11" ht="46" x14ac:dyDescent="0.3">
      <c r="A48" s="48" t="s">
        <v>138</v>
      </c>
      <c r="B48" s="48" t="s">
        <v>629</v>
      </c>
      <c r="C48" s="48" t="s">
        <v>646</v>
      </c>
      <c r="D48" s="64" t="s">
        <v>647</v>
      </c>
      <c r="E48" s="64" t="s">
        <v>648</v>
      </c>
      <c r="F48" s="64" t="s">
        <v>649</v>
      </c>
      <c r="G48" s="48" t="s">
        <v>445</v>
      </c>
      <c r="H48" s="48" t="s">
        <v>650</v>
      </c>
      <c r="I48" s="64" t="s">
        <v>651</v>
      </c>
      <c r="J48" s="64"/>
      <c r="K48" s="48"/>
    </row>
    <row r="49" spans="1:11" ht="69" x14ac:dyDescent="0.3">
      <c r="A49" s="48" t="s">
        <v>138</v>
      </c>
      <c r="B49" s="48" t="s">
        <v>629</v>
      </c>
      <c r="C49" s="48" t="s">
        <v>652</v>
      </c>
      <c r="D49" s="64" t="s">
        <v>653</v>
      </c>
      <c r="E49" s="64" t="s">
        <v>654</v>
      </c>
      <c r="F49" s="64" t="s">
        <v>655</v>
      </c>
      <c r="G49" s="48" t="s">
        <v>445</v>
      </c>
      <c r="H49" s="48" t="s">
        <v>318</v>
      </c>
      <c r="I49" s="64" t="s">
        <v>640</v>
      </c>
      <c r="J49" s="64"/>
      <c r="K49" s="48"/>
    </row>
    <row r="50" spans="1:11" ht="69" x14ac:dyDescent="0.3">
      <c r="A50" s="48" t="s">
        <v>138</v>
      </c>
      <c r="B50" s="48" t="s">
        <v>629</v>
      </c>
      <c r="C50" s="48" t="s">
        <v>656</v>
      </c>
      <c r="D50" s="64" t="s">
        <v>657</v>
      </c>
      <c r="E50" s="64" t="s">
        <v>658</v>
      </c>
      <c r="F50" s="64" t="s">
        <v>659</v>
      </c>
      <c r="G50" s="48" t="s">
        <v>445</v>
      </c>
      <c r="H50" s="48" t="s">
        <v>660</v>
      </c>
      <c r="I50" s="64" t="s">
        <v>661</v>
      </c>
      <c r="J50" s="64"/>
      <c r="K50" s="48"/>
    </row>
    <row r="51" spans="1:11" ht="69" x14ac:dyDescent="0.3">
      <c r="A51" s="48" t="s">
        <v>138</v>
      </c>
      <c r="B51" s="48" t="s">
        <v>662</v>
      </c>
      <c r="C51" s="48" t="s">
        <v>663</v>
      </c>
      <c r="D51" s="64" t="s">
        <v>664</v>
      </c>
      <c r="E51" s="64" t="s">
        <v>665</v>
      </c>
      <c r="F51" s="64" t="s">
        <v>666</v>
      </c>
      <c r="G51" s="48" t="s">
        <v>431</v>
      </c>
      <c r="H51" s="48" t="s">
        <v>318</v>
      </c>
      <c r="I51" s="64" t="s">
        <v>667</v>
      </c>
      <c r="J51" s="64"/>
      <c r="K51" s="48"/>
    </row>
    <row r="52" spans="1:11" ht="92" x14ac:dyDescent="0.3">
      <c r="A52" s="48" t="s">
        <v>138</v>
      </c>
      <c r="B52" s="48" t="s">
        <v>662</v>
      </c>
      <c r="C52" s="48" t="s">
        <v>668</v>
      </c>
      <c r="D52" s="64" t="s">
        <v>669</v>
      </c>
      <c r="E52" s="64" t="s">
        <v>670</v>
      </c>
      <c r="F52" s="64" t="s">
        <v>671</v>
      </c>
      <c r="G52" s="48" t="s">
        <v>431</v>
      </c>
      <c r="H52" s="48" t="s">
        <v>672</v>
      </c>
      <c r="I52" s="64"/>
      <c r="J52" s="64"/>
      <c r="K52" s="48"/>
    </row>
    <row r="53" spans="1:11" ht="69" x14ac:dyDescent="0.3">
      <c r="A53" s="48" t="s">
        <v>138</v>
      </c>
      <c r="B53" s="48" t="s">
        <v>662</v>
      </c>
      <c r="C53" s="48" t="s">
        <v>673</v>
      </c>
      <c r="D53" s="64" t="s">
        <v>674</v>
      </c>
      <c r="E53" s="64" t="s">
        <v>675</v>
      </c>
      <c r="F53" s="64" t="s">
        <v>676</v>
      </c>
      <c r="G53" s="48" t="s">
        <v>445</v>
      </c>
      <c r="H53" s="48" t="s">
        <v>677</v>
      </c>
      <c r="I53" s="64"/>
      <c r="J53" s="64"/>
      <c r="K53" s="48"/>
    </row>
    <row r="54" spans="1:11" ht="92" x14ac:dyDescent="0.3">
      <c r="A54" s="48" t="s">
        <v>138</v>
      </c>
      <c r="B54" s="48" t="s">
        <v>662</v>
      </c>
      <c r="C54" s="48" t="s">
        <v>678</v>
      </c>
      <c r="D54" s="64" t="s">
        <v>679</v>
      </c>
      <c r="E54" s="64" t="s">
        <v>680</v>
      </c>
      <c r="F54" s="64" t="s">
        <v>681</v>
      </c>
      <c r="G54" s="48" t="s">
        <v>445</v>
      </c>
      <c r="H54" s="48" t="s">
        <v>495</v>
      </c>
      <c r="I54" s="64"/>
      <c r="J54" s="64"/>
      <c r="K54" s="48"/>
    </row>
    <row r="55" spans="1:11" ht="69" x14ac:dyDescent="0.3">
      <c r="A55" s="48" t="s">
        <v>138</v>
      </c>
      <c r="B55" s="48" t="s">
        <v>662</v>
      </c>
      <c r="C55" s="48" t="s">
        <v>682</v>
      </c>
      <c r="D55" s="64" t="s">
        <v>683</v>
      </c>
      <c r="E55" s="64" t="s">
        <v>684</v>
      </c>
      <c r="F55" s="64" t="s">
        <v>685</v>
      </c>
      <c r="G55" s="48" t="s">
        <v>445</v>
      </c>
      <c r="H55" s="48" t="s">
        <v>686</v>
      </c>
      <c r="I55" s="64"/>
      <c r="J55" s="64"/>
      <c r="K55" s="48"/>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sheetPr>
    <tabColor theme="0" tint="-0.14999847407452621"/>
  </sheetPr>
  <dimension ref="B2:U97"/>
  <sheetViews>
    <sheetView zoomScale="97" zoomScaleNormal="97" workbookViewId="0">
      <pane xSplit="2" ySplit="2" topLeftCell="C75" activePane="bottomRight" state="frozen"/>
      <selection pane="topRight" activeCell="C1" sqref="C1"/>
      <selection pane="bottomLeft" activeCell="A3" sqref="A3"/>
      <selection pane="bottomRight" activeCell="C3" sqref="C3"/>
    </sheetView>
  </sheetViews>
  <sheetFormatPr baseColWidth="10" defaultColWidth="11" defaultRowHeight="22" x14ac:dyDescent="0.3"/>
  <cols>
    <col min="2" max="2" width="12" style="112" bestFit="1" customWidth="1"/>
    <col min="3" max="3" width="68.1640625" style="112" bestFit="1" customWidth="1"/>
    <col min="4" max="4" width="50.5" style="112" customWidth="1"/>
    <col min="5" max="5" width="24.6640625" style="112" bestFit="1" customWidth="1"/>
    <col min="6" max="6" width="27.33203125" style="112" customWidth="1"/>
    <col min="7" max="7" width="31.1640625" style="112" customWidth="1"/>
    <col min="8" max="8" width="13.33203125" style="112" bestFit="1" customWidth="1"/>
    <col min="9" max="9" width="10.83203125" style="112"/>
    <col min="10" max="10" width="16.33203125" style="112" bestFit="1" customWidth="1"/>
    <col min="11" max="11" width="38.6640625" style="112" customWidth="1"/>
    <col min="12" max="14" width="10.83203125" style="112"/>
    <col min="15" max="15" width="26.33203125" style="112" bestFit="1" customWidth="1"/>
  </cols>
  <sheetData>
    <row r="2" spans="2:15" x14ac:dyDescent="0.3">
      <c r="B2" s="86" t="s">
        <v>687</v>
      </c>
      <c r="C2" s="86" t="s">
        <v>688</v>
      </c>
      <c r="D2" s="86" t="s">
        <v>689</v>
      </c>
      <c r="E2" s="86" t="s">
        <v>690</v>
      </c>
      <c r="F2" s="86" t="s">
        <v>691</v>
      </c>
      <c r="G2" s="86" t="s">
        <v>692</v>
      </c>
      <c r="H2" s="86" t="s">
        <v>693</v>
      </c>
      <c r="I2" s="86" t="s">
        <v>694</v>
      </c>
      <c r="J2" s="86" t="s">
        <v>695</v>
      </c>
      <c r="K2" s="86" t="s">
        <v>696</v>
      </c>
      <c r="L2" s="86" t="s">
        <v>697</v>
      </c>
    </row>
    <row r="3" spans="2:15" x14ac:dyDescent="0.3">
      <c r="B3" s="112" t="s">
        <v>698</v>
      </c>
      <c r="D3" s="112" t="s">
        <v>699</v>
      </c>
      <c r="E3" s="112" t="s">
        <v>700</v>
      </c>
      <c r="F3" s="112" t="s">
        <v>701</v>
      </c>
      <c r="G3" s="112" t="s">
        <v>701</v>
      </c>
      <c r="H3" s="112" t="s">
        <v>701</v>
      </c>
      <c r="I3" s="112" t="s">
        <v>702</v>
      </c>
      <c r="J3" s="112" t="s">
        <v>703</v>
      </c>
      <c r="K3" s="112" t="s">
        <v>704</v>
      </c>
      <c r="L3" s="112" t="s">
        <v>705</v>
      </c>
    </row>
    <row r="4" spans="2:15" x14ac:dyDescent="0.3">
      <c r="B4" s="112" t="s">
        <v>698</v>
      </c>
      <c r="D4" s="112" t="s">
        <v>699</v>
      </c>
      <c r="E4" s="112" t="s">
        <v>706</v>
      </c>
      <c r="F4" s="112" t="s">
        <v>701</v>
      </c>
      <c r="G4" s="112" t="s">
        <v>701</v>
      </c>
      <c r="H4" s="112" t="s">
        <v>701</v>
      </c>
      <c r="I4" s="112" t="s">
        <v>702</v>
      </c>
      <c r="J4" s="112" t="s">
        <v>703</v>
      </c>
      <c r="K4" s="112" t="s">
        <v>707</v>
      </c>
      <c r="L4" s="112" t="s">
        <v>705</v>
      </c>
      <c r="O4" s="130"/>
    </row>
    <row r="5" spans="2:15" x14ac:dyDescent="0.3">
      <c r="B5" s="112" t="s">
        <v>698</v>
      </c>
      <c r="D5" s="112" t="s">
        <v>699</v>
      </c>
      <c r="E5" s="112" t="s">
        <v>706</v>
      </c>
      <c r="F5" s="112" t="s">
        <v>701</v>
      </c>
      <c r="G5" s="112" t="s">
        <v>701</v>
      </c>
      <c r="H5" s="112" t="s">
        <v>701</v>
      </c>
      <c r="I5" s="112" t="s">
        <v>708</v>
      </c>
      <c r="J5" s="112" t="s">
        <v>708</v>
      </c>
      <c r="K5" s="112" t="s">
        <v>709</v>
      </c>
      <c r="L5" s="112" t="s">
        <v>710</v>
      </c>
      <c r="O5" s="133"/>
    </row>
    <row r="6" spans="2:15" x14ac:dyDescent="0.3">
      <c r="B6" s="112" t="s">
        <v>698</v>
      </c>
      <c r="D6" s="112" t="s">
        <v>699</v>
      </c>
      <c r="E6" s="112" t="s">
        <v>711</v>
      </c>
      <c r="F6" s="112" t="s">
        <v>701</v>
      </c>
      <c r="G6" s="112" t="s">
        <v>701</v>
      </c>
      <c r="H6" s="112" t="s">
        <v>701</v>
      </c>
      <c r="I6" s="112" t="s">
        <v>702</v>
      </c>
      <c r="J6" s="112" t="s">
        <v>703</v>
      </c>
      <c r="K6" s="112" t="s">
        <v>712</v>
      </c>
      <c r="L6" s="112" t="s">
        <v>705</v>
      </c>
    </row>
    <row r="7" spans="2:15" x14ac:dyDescent="0.3">
      <c r="B7" s="112" t="s">
        <v>698</v>
      </c>
      <c r="D7" s="112" t="s">
        <v>699</v>
      </c>
      <c r="E7" s="112" t="s">
        <v>711</v>
      </c>
      <c r="F7" s="112" t="s">
        <v>701</v>
      </c>
      <c r="G7" s="112" t="s">
        <v>701</v>
      </c>
      <c r="H7" s="112" t="s">
        <v>701</v>
      </c>
      <c r="I7" s="112" t="s">
        <v>702</v>
      </c>
      <c r="J7" s="112" t="s">
        <v>703</v>
      </c>
      <c r="K7" s="112" t="s">
        <v>713</v>
      </c>
      <c r="L7" s="112" t="s">
        <v>705</v>
      </c>
    </row>
    <row r="8" spans="2:15" x14ac:dyDescent="0.3">
      <c r="B8" s="112" t="s">
        <v>698</v>
      </c>
      <c r="D8" s="112" t="s">
        <v>699</v>
      </c>
      <c r="E8" s="112" t="s">
        <v>711</v>
      </c>
      <c r="F8" s="112" t="s">
        <v>701</v>
      </c>
      <c r="G8" s="112" t="s">
        <v>701</v>
      </c>
      <c r="H8" s="112" t="s">
        <v>701</v>
      </c>
      <c r="I8" s="112" t="s">
        <v>702</v>
      </c>
      <c r="J8" s="112" t="s">
        <v>703</v>
      </c>
      <c r="K8" s="112" t="s">
        <v>714</v>
      </c>
      <c r="L8" s="112" t="s">
        <v>705</v>
      </c>
      <c r="O8" s="133"/>
    </row>
    <row r="9" spans="2:15" x14ac:dyDescent="0.3">
      <c r="B9" s="112" t="s">
        <v>715</v>
      </c>
      <c r="C9" s="130" t="s">
        <v>716</v>
      </c>
      <c r="D9" s="130" t="s">
        <v>717</v>
      </c>
      <c r="E9" s="112" t="s">
        <v>718</v>
      </c>
      <c r="O9" s="133"/>
    </row>
    <row r="10" spans="2:15" x14ac:dyDescent="0.3">
      <c r="B10" s="112" t="s">
        <v>715</v>
      </c>
      <c r="C10" s="112" t="s">
        <v>719</v>
      </c>
      <c r="D10" s="112" t="s">
        <v>269</v>
      </c>
      <c r="E10" s="112" t="s">
        <v>370</v>
      </c>
      <c r="F10" s="112" t="s">
        <v>719</v>
      </c>
      <c r="G10" s="112" t="s">
        <v>720</v>
      </c>
      <c r="H10" s="112" t="s">
        <v>701</v>
      </c>
      <c r="I10" s="112" t="s">
        <v>702</v>
      </c>
      <c r="J10" s="112" t="s">
        <v>721</v>
      </c>
    </row>
    <row r="11" spans="2:15" x14ac:dyDescent="0.3">
      <c r="B11" s="112" t="s">
        <v>715</v>
      </c>
      <c r="C11" s="112" t="s">
        <v>722</v>
      </c>
      <c r="D11" s="112" t="s">
        <v>723</v>
      </c>
      <c r="E11" s="112" t="s">
        <v>370</v>
      </c>
      <c r="F11" s="112" t="s">
        <v>724</v>
      </c>
      <c r="G11" s="112" t="s">
        <v>725</v>
      </c>
      <c r="H11" s="112" t="s">
        <v>701</v>
      </c>
    </row>
    <row r="12" spans="2:15" x14ac:dyDescent="0.3">
      <c r="B12" s="112" t="s">
        <v>715</v>
      </c>
      <c r="C12" s="112" t="s">
        <v>726</v>
      </c>
      <c r="D12" s="112" t="s">
        <v>727</v>
      </c>
      <c r="E12" s="112" t="s">
        <v>365</v>
      </c>
      <c r="F12" s="112" t="s">
        <v>727</v>
      </c>
      <c r="G12" s="112" t="s">
        <v>728</v>
      </c>
      <c r="I12" s="112" t="s">
        <v>702</v>
      </c>
      <c r="J12" s="112" t="s">
        <v>729</v>
      </c>
    </row>
    <row r="13" spans="2:15" x14ac:dyDescent="0.3">
      <c r="B13" s="112" t="s">
        <v>715</v>
      </c>
      <c r="C13" s="112" t="s">
        <v>730</v>
      </c>
      <c r="D13" s="112" t="s">
        <v>727</v>
      </c>
      <c r="E13" s="112" t="s">
        <v>376</v>
      </c>
      <c r="F13" s="112" t="s">
        <v>731</v>
      </c>
      <c r="G13" s="112" t="s">
        <v>701</v>
      </c>
      <c r="H13" s="112" t="s">
        <v>701</v>
      </c>
      <c r="I13" s="112" t="s">
        <v>701</v>
      </c>
      <c r="J13" s="112" t="s">
        <v>701</v>
      </c>
    </row>
    <row r="14" spans="2:15" x14ac:dyDescent="0.3">
      <c r="B14" s="112" t="s">
        <v>715</v>
      </c>
      <c r="C14" s="112" t="s">
        <v>732</v>
      </c>
      <c r="D14" s="112" t="s">
        <v>733</v>
      </c>
      <c r="I14" s="112" t="s">
        <v>702</v>
      </c>
      <c r="J14" s="112" t="s">
        <v>703</v>
      </c>
    </row>
    <row r="15" spans="2:15" x14ac:dyDescent="0.3">
      <c r="B15" s="112" t="s">
        <v>715</v>
      </c>
      <c r="C15" s="112" t="s">
        <v>734</v>
      </c>
      <c r="D15" s="112" t="s">
        <v>735</v>
      </c>
      <c r="I15" s="112" t="s">
        <v>702</v>
      </c>
      <c r="J15" s="112" t="s">
        <v>703</v>
      </c>
    </row>
    <row r="16" spans="2:15" x14ac:dyDescent="0.3">
      <c r="B16" s="112" t="s">
        <v>698</v>
      </c>
      <c r="C16" s="112" t="s">
        <v>732</v>
      </c>
      <c r="D16" s="112" t="s">
        <v>736</v>
      </c>
      <c r="E16" s="112" t="s">
        <v>349</v>
      </c>
      <c r="F16" s="112" t="s">
        <v>737</v>
      </c>
      <c r="G16" s="112" t="s">
        <v>701</v>
      </c>
      <c r="H16" s="112" t="s">
        <v>701</v>
      </c>
      <c r="I16" s="112" t="s">
        <v>702</v>
      </c>
      <c r="J16" s="112" t="s">
        <v>703</v>
      </c>
      <c r="K16" s="112" t="s">
        <v>738</v>
      </c>
      <c r="L16" s="112" t="s">
        <v>705</v>
      </c>
    </row>
    <row r="17" spans="2:21" x14ac:dyDescent="0.3">
      <c r="B17" s="112" t="s">
        <v>698</v>
      </c>
      <c r="C17" s="112" t="s">
        <v>732</v>
      </c>
      <c r="D17" s="112" t="s">
        <v>736</v>
      </c>
      <c r="E17" s="112" t="s">
        <v>349</v>
      </c>
      <c r="F17" s="112" t="s">
        <v>737</v>
      </c>
      <c r="G17" s="112" t="s">
        <v>701</v>
      </c>
      <c r="H17" s="112" t="s">
        <v>701</v>
      </c>
      <c r="I17" s="112" t="s">
        <v>702</v>
      </c>
      <c r="J17" s="112" t="s">
        <v>703</v>
      </c>
      <c r="K17" s="112" t="s">
        <v>739</v>
      </c>
      <c r="L17" s="112" t="s">
        <v>740</v>
      </c>
    </row>
    <row r="18" spans="2:21" x14ac:dyDescent="0.3">
      <c r="B18" s="112" t="s">
        <v>698</v>
      </c>
      <c r="C18" s="112" t="s">
        <v>732</v>
      </c>
      <c r="D18" s="112" t="s">
        <v>736</v>
      </c>
      <c r="E18" s="112" t="s">
        <v>349</v>
      </c>
      <c r="F18" s="112" t="s">
        <v>741</v>
      </c>
      <c r="G18" s="112" t="s">
        <v>742</v>
      </c>
      <c r="H18" s="112" t="s">
        <v>701</v>
      </c>
      <c r="I18" s="112" t="s">
        <v>702</v>
      </c>
      <c r="J18" s="112" t="s">
        <v>703</v>
      </c>
      <c r="K18" s="112" t="s">
        <v>743</v>
      </c>
      <c r="L18" s="112" t="s">
        <v>705</v>
      </c>
    </row>
    <row r="19" spans="2:21" x14ac:dyDescent="0.3">
      <c r="B19" s="112" t="s">
        <v>698</v>
      </c>
      <c r="C19" s="112" t="s">
        <v>732</v>
      </c>
      <c r="D19" s="112" t="s">
        <v>736</v>
      </c>
      <c r="E19" s="112" t="s">
        <v>349</v>
      </c>
      <c r="F19" s="112" t="s">
        <v>744</v>
      </c>
      <c r="G19" s="112" t="s">
        <v>745</v>
      </c>
      <c r="H19" s="112" t="s">
        <v>701</v>
      </c>
      <c r="I19" s="112" t="s">
        <v>702</v>
      </c>
      <c r="J19" s="112" t="s">
        <v>703</v>
      </c>
      <c r="K19" s="112" t="s">
        <v>746</v>
      </c>
      <c r="L19" s="112" t="s">
        <v>747</v>
      </c>
    </row>
    <row r="20" spans="2:21" x14ac:dyDescent="0.3">
      <c r="B20" s="112" t="s">
        <v>698</v>
      </c>
      <c r="C20" s="112" t="s">
        <v>732</v>
      </c>
      <c r="D20" s="112" t="s">
        <v>736</v>
      </c>
      <c r="E20" s="112" t="s">
        <v>349</v>
      </c>
      <c r="F20" s="112" t="s">
        <v>748</v>
      </c>
      <c r="G20" s="112" t="s">
        <v>749</v>
      </c>
      <c r="H20" s="112" t="s">
        <v>701</v>
      </c>
      <c r="I20" s="112" t="s">
        <v>702</v>
      </c>
      <c r="J20" s="112" t="s">
        <v>703</v>
      </c>
      <c r="K20" s="112" t="s">
        <v>750</v>
      </c>
      <c r="L20" s="112" t="s">
        <v>751</v>
      </c>
      <c r="R20" s="112"/>
      <c r="S20" s="112"/>
      <c r="T20" s="112"/>
      <c r="U20" s="112"/>
    </row>
    <row r="21" spans="2:21" x14ac:dyDescent="0.3">
      <c r="B21" s="112" t="s">
        <v>698</v>
      </c>
      <c r="C21" s="112" t="s">
        <v>732</v>
      </c>
      <c r="D21" s="112" t="s">
        <v>752</v>
      </c>
      <c r="E21" s="112" t="s">
        <v>349</v>
      </c>
      <c r="F21" s="112" t="s">
        <v>753</v>
      </c>
      <c r="G21" s="112" t="s">
        <v>754</v>
      </c>
      <c r="H21" s="112" t="s">
        <v>701</v>
      </c>
      <c r="I21" s="112" t="s">
        <v>702</v>
      </c>
      <c r="J21" s="112" t="s">
        <v>703</v>
      </c>
      <c r="K21" s="112" t="s">
        <v>755</v>
      </c>
      <c r="L21" s="112" t="s">
        <v>756</v>
      </c>
      <c r="R21" s="112"/>
      <c r="S21" s="112"/>
      <c r="T21" s="112"/>
      <c r="U21" s="112"/>
    </row>
    <row r="22" spans="2:21" x14ac:dyDescent="0.3">
      <c r="B22" s="112" t="s">
        <v>698</v>
      </c>
      <c r="C22" s="112" t="s">
        <v>732</v>
      </c>
      <c r="D22" s="112" t="s">
        <v>752</v>
      </c>
      <c r="E22" s="112" t="s">
        <v>349</v>
      </c>
      <c r="F22" s="112" t="s">
        <v>753</v>
      </c>
      <c r="G22" s="112" t="s">
        <v>757</v>
      </c>
      <c r="H22" s="112" t="s">
        <v>701</v>
      </c>
      <c r="I22" s="112" t="s">
        <v>702</v>
      </c>
      <c r="J22" s="112" t="s">
        <v>703</v>
      </c>
      <c r="K22" s="112" t="s">
        <v>758</v>
      </c>
      <c r="L22" s="112" t="s">
        <v>705</v>
      </c>
      <c r="R22" s="112"/>
      <c r="S22" s="112"/>
      <c r="T22" s="112"/>
      <c r="U22" s="112"/>
    </row>
    <row r="23" spans="2:21" x14ac:dyDescent="0.3">
      <c r="B23" s="112" t="s">
        <v>698</v>
      </c>
      <c r="C23" s="112" t="s">
        <v>732</v>
      </c>
      <c r="D23" s="112" t="s">
        <v>752</v>
      </c>
      <c r="E23" s="112" t="s">
        <v>349</v>
      </c>
      <c r="F23" s="112" t="s">
        <v>759</v>
      </c>
      <c r="G23" s="112" t="s">
        <v>760</v>
      </c>
      <c r="H23" s="112" t="s">
        <v>701</v>
      </c>
      <c r="I23" s="112" t="s">
        <v>702</v>
      </c>
      <c r="J23" s="112" t="s">
        <v>703</v>
      </c>
      <c r="K23" s="112" t="s">
        <v>761</v>
      </c>
      <c r="L23" s="112" t="s">
        <v>705</v>
      </c>
      <c r="R23" s="112"/>
      <c r="S23" s="112"/>
      <c r="T23" s="112"/>
      <c r="U23" s="112"/>
    </row>
    <row r="24" spans="2:21" x14ac:dyDescent="0.3">
      <c r="B24" s="112" t="s">
        <v>698</v>
      </c>
      <c r="C24" s="112" t="s">
        <v>732</v>
      </c>
      <c r="D24" s="112" t="s">
        <v>752</v>
      </c>
      <c r="E24" s="112" t="s">
        <v>349</v>
      </c>
      <c r="F24" s="112" t="s">
        <v>762</v>
      </c>
      <c r="G24" s="112" t="s">
        <v>763</v>
      </c>
      <c r="H24" s="112" t="s">
        <v>701</v>
      </c>
      <c r="I24" s="112" t="s">
        <v>702</v>
      </c>
      <c r="J24" s="112" t="s">
        <v>703</v>
      </c>
      <c r="K24" s="112" t="s">
        <v>764</v>
      </c>
      <c r="L24" s="112" t="s">
        <v>705</v>
      </c>
      <c r="R24" s="112"/>
      <c r="S24" s="112"/>
      <c r="T24" s="112"/>
      <c r="U24" s="112"/>
    </row>
    <row r="25" spans="2:21" x14ac:dyDescent="0.3">
      <c r="B25" s="112" t="s">
        <v>715</v>
      </c>
      <c r="D25" s="112" t="s">
        <v>765</v>
      </c>
      <c r="E25" s="112" t="s">
        <v>766</v>
      </c>
      <c r="F25" s="112" t="s">
        <v>767</v>
      </c>
      <c r="G25" s="112" t="s">
        <v>701</v>
      </c>
      <c r="H25" s="112" t="s">
        <v>701</v>
      </c>
      <c r="I25" s="112" t="s">
        <v>702</v>
      </c>
      <c r="J25" s="112" t="s">
        <v>703</v>
      </c>
      <c r="K25" s="112" t="s">
        <v>768</v>
      </c>
      <c r="L25" s="112" t="s">
        <v>705</v>
      </c>
      <c r="R25" s="112"/>
      <c r="S25" s="112"/>
      <c r="T25" s="112"/>
      <c r="U25" s="112"/>
    </row>
    <row r="26" spans="2:21" x14ac:dyDescent="0.3">
      <c r="B26" s="112" t="s">
        <v>715</v>
      </c>
      <c r="C26" s="112" t="s">
        <v>769</v>
      </c>
      <c r="D26" s="112" t="s">
        <v>765</v>
      </c>
      <c r="E26" s="112" t="s">
        <v>349</v>
      </c>
      <c r="F26" s="112" t="s">
        <v>770</v>
      </c>
      <c r="G26" s="112" t="s">
        <v>138</v>
      </c>
      <c r="H26" s="112" t="s">
        <v>771</v>
      </c>
      <c r="I26" s="112" t="s">
        <v>702</v>
      </c>
      <c r="J26" s="112" t="s">
        <v>703</v>
      </c>
      <c r="K26" s="112" t="s">
        <v>772</v>
      </c>
      <c r="L26" s="112" t="s">
        <v>705</v>
      </c>
      <c r="R26" s="112"/>
      <c r="S26" s="112"/>
      <c r="T26" s="112"/>
      <c r="U26" s="112"/>
    </row>
    <row r="27" spans="2:21" x14ac:dyDescent="0.3">
      <c r="B27" s="112" t="s">
        <v>715</v>
      </c>
      <c r="C27" s="112" t="s">
        <v>769</v>
      </c>
      <c r="D27" s="112" t="s">
        <v>765</v>
      </c>
      <c r="E27" s="112" t="s">
        <v>349</v>
      </c>
      <c r="F27" s="112" t="s">
        <v>773</v>
      </c>
      <c r="G27" s="112" t="s">
        <v>701</v>
      </c>
      <c r="H27" s="112" t="s">
        <v>701</v>
      </c>
      <c r="I27" s="112" t="s">
        <v>702</v>
      </c>
      <c r="J27" s="112" t="s">
        <v>703</v>
      </c>
      <c r="K27" s="112" t="s">
        <v>774</v>
      </c>
      <c r="L27" s="112" t="s">
        <v>775</v>
      </c>
      <c r="R27" s="112"/>
      <c r="S27" s="112"/>
      <c r="T27" s="112"/>
      <c r="U27" s="112"/>
    </row>
    <row r="28" spans="2:21" x14ac:dyDescent="0.3">
      <c r="B28" s="112" t="s">
        <v>715</v>
      </c>
      <c r="C28" s="112" t="s">
        <v>769</v>
      </c>
      <c r="D28" s="112" t="s">
        <v>765</v>
      </c>
      <c r="E28" s="112" t="s">
        <v>349</v>
      </c>
      <c r="F28" s="112" t="s">
        <v>776</v>
      </c>
      <c r="G28" s="112" t="s">
        <v>701</v>
      </c>
      <c r="H28" s="112" t="s">
        <v>701</v>
      </c>
      <c r="I28" s="112" t="s">
        <v>702</v>
      </c>
      <c r="J28" s="112" t="s">
        <v>703</v>
      </c>
      <c r="K28" s="112" t="s">
        <v>777</v>
      </c>
      <c r="L28" s="112" t="s">
        <v>775</v>
      </c>
      <c r="R28" s="112"/>
      <c r="S28" s="112"/>
      <c r="T28" s="112"/>
      <c r="U28" s="112"/>
    </row>
    <row r="29" spans="2:21" x14ac:dyDescent="0.3">
      <c r="B29" s="112" t="s">
        <v>715</v>
      </c>
      <c r="D29" s="112" t="s">
        <v>778</v>
      </c>
      <c r="E29" s="112" t="s">
        <v>718</v>
      </c>
      <c r="F29" s="112" t="s">
        <v>701</v>
      </c>
      <c r="G29" s="112" t="s">
        <v>701</v>
      </c>
      <c r="H29" s="112" t="s">
        <v>701</v>
      </c>
      <c r="I29" s="112" t="s">
        <v>702</v>
      </c>
      <c r="J29" s="112" t="s">
        <v>703</v>
      </c>
      <c r="K29" s="112" t="s">
        <v>779</v>
      </c>
      <c r="L29" s="112" t="s">
        <v>705</v>
      </c>
      <c r="R29" s="112"/>
      <c r="S29" s="112"/>
      <c r="T29" s="112"/>
      <c r="U29" s="112"/>
    </row>
    <row r="30" spans="2:21" x14ac:dyDescent="0.3">
      <c r="B30" s="112" t="s">
        <v>715</v>
      </c>
      <c r="D30" s="112" t="s">
        <v>778</v>
      </c>
      <c r="E30" s="112" t="s">
        <v>780</v>
      </c>
      <c r="F30" s="112" t="s">
        <v>781</v>
      </c>
      <c r="G30" s="112" t="s">
        <v>701</v>
      </c>
      <c r="H30" s="112" t="s">
        <v>701</v>
      </c>
      <c r="I30" s="112" t="s">
        <v>702</v>
      </c>
      <c r="J30" s="112" t="s">
        <v>703</v>
      </c>
      <c r="K30" s="112" t="s">
        <v>782</v>
      </c>
      <c r="L30" s="112" t="s">
        <v>705</v>
      </c>
      <c r="R30" s="112"/>
      <c r="S30" s="112"/>
      <c r="T30" s="112"/>
      <c r="U30" s="112"/>
    </row>
    <row r="31" spans="2:21" ht="23" x14ac:dyDescent="0.3">
      <c r="B31" s="112" t="s">
        <v>715</v>
      </c>
      <c r="C31" s="133" t="s">
        <v>783</v>
      </c>
      <c r="D31" s="112" t="s">
        <v>784</v>
      </c>
      <c r="E31" s="112" t="s">
        <v>354</v>
      </c>
      <c r="F31" s="112" t="s">
        <v>785</v>
      </c>
      <c r="G31" s="112" t="s">
        <v>786</v>
      </c>
      <c r="H31" s="112" t="s">
        <v>787</v>
      </c>
      <c r="I31" s="112" t="s">
        <v>702</v>
      </c>
      <c r="J31" s="112" t="s">
        <v>721</v>
      </c>
      <c r="K31" s="112" t="s">
        <v>788</v>
      </c>
      <c r="L31" s="112" t="s">
        <v>789</v>
      </c>
      <c r="R31" s="112"/>
      <c r="S31" s="112"/>
      <c r="T31" s="112"/>
      <c r="U31" s="112"/>
    </row>
    <row r="32" spans="2:21" ht="23" x14ac:dyDescent="0.3">
      <c r="B32" s="112" t="s">
        <v>715</v>
      </c>
      <c r="C32" s="133" t="s">
        <v>783</v>
      </c>
      <c r="D32" s="112" t="s">
        <v>784</v>
      </c>
      <c r="E32" s="112" t="s">
        <v>354</v>
      </c>
      <c r="F32" s="112" t="s">
        <v>785</v>
      </c>
      <c r="G32" s="112" t="s">
        <v>790</v>
      </c>
      <c r="H32" s="112" t="s">
        <v>791</v>
      </c>
      <c r="I32" s="112" t="s">
        <v>702</v>
      </c>
      <c r="J32" s="112" t="s">
        <v>721</v>
      </c>
      <c r="K32" s="112" t="s">
        <v>792</v>
      </c>
      <c r="L32" s="112" t="s">
        <v>789</v>
      </c>
      <c r="R32" s="112"/>
      <c r="S32" s="112"/>
      <c r="T32" s="112"/>
      <c r="U32" s="112"/>
    </row>
    <row r="33" spans="2:21" ht="23" x14ac:dyDescent="0.3">
      <c r="B33" s="112" t="s">
        <v>715</v>
      </c>
      <c r="C33" s="133" t="s">
        <v>783</v>
      </c>
      <c r="D33" s="112" t="s">
        <v>784</v>
      </c>
      <c r="E33" s="112" t="s">
        <v>354</v>
      </c>
      <c r="F33" s="112" t="s">
        <v>785</v>
      </c>
      <c r="G33" s="112" t="s">
        <v>793</v>
      </c>
      <c r="H33" s="112" t="s">
        <v>794</v>
      </c>
      <c r="I33" s="112" t="s">
        <v>702</v>
      </c>
      <c r="J33" s="112" t="s">
        <v>721</v>
      </c>
      <c r="K33" s="112" t="s">
        <v>795</v>
      </c>
      <c r="L33" s="112" t="s">
        <v>796</v>
      </c>
      <c r="R33" s="112"/>
      <c r="S33" s="112"/>
      <c r="T33" s="112"/>
      <c r="U33" s="112"/>
    </row>
    <row r="34" spans="2:21" ht="23" x14ac:dyDescent="0.3">
      <c r="B34" s="112" t="s">
        <v>715</v>
      </c>
      <c r="C34" s="133" t="s">
        <v>783</v>
      </c>
      <c r="D34" s="112" t="s">
        <v>797</v>
      </c>
      <c r="E34" s="112" t="s">
        <v>354</v>
      </c>
      <c r="F34" s="112" t="s">
        <v>798</v>
      </c>
      <c r="G34" s="112" t="s">
        <v>799</v>
      </c>
      <c r="H34" s="112" t="s">
        <v>701</v>
      </c>
      <c r="I34" s="112" t="s">
        <v>702</v>
      </c>
      <c r="J34" s="112" t="s">
        <v>721</v>
      </c>
      <c r="K34" s="112" t="s">
        <v>800</v>
      </c>
      <c r="L34" s="112" t="s">
        <v>705</v>
      </c>
      <c r="R34" s="112"/>
      <c r="S34" s="112"/>
      <c r="T34" s="112"/>
      <c r="U34" s="112"/>
    </row>
    <row r="35" spans="2:21" ht="23" x14ac:dyDescent="0.3">
      <c r="B35" s="112" t="s">
        <v>715</v>
      </c>
      <c r="C35" s="133" t="s">
        <v>783</v>
      </c>
      <c r="D35" s="112" t="s">
        <v>797</v>
      </c>
      <c r="E35" s="112" t="s">
        <v>354</v>
      </c>
      <c r="F35" s="112" t="s">
        <v>801</v>
      </c>
      <c r="G35" s="112" t="s">
        <v>701</v>
      </c>
      <c r="H35" s="112" t="s">
        <v>701</v>
      </c>
      <c r="I35" s="112" t="s">
        <v>702</v>
      </c>
      <c r="J35" s="112" t="s">
        <v>721</v>
      </c>
      <c r="K35" s="112" t="s">
        <v>802</v>
      </c>
      <c r="L35" s="112" t="s">
        <v>803</v>
      </c>
      <c r="R35" s="112"/>
      <c r="S35" s="112"/>
      <c r="T35" s="112"/>
      <c r="U35" s="112"/>
    </row>
    <row r="36" spans="2:21" ht="23" x14ac:dyDescent="0.3">
      <c r="B36" s="112" t="s">
        <v>715</v>
      </c>
      <c r="C36" s="133" t="s">
        <v>783</v>
      </c>
      <c r="D36" s="112" t="s">
        <v>797</v>
      </c>
      <c r="E36" s="112" t="s">
        <v>354</v>
      </c>
      <c r="F36" s="112" t="s">
        <v>804</v>
      </c>
      <c r="G36" s="112" t="s">
        <v>701</v>
      </c>
      <c r="H36" s="112" t="s">
        <v>701</v>
      </c>
      <c r="I36" s="112" t="s">
        <v>702</v>
      </c>
      <c r="J36" s="112" t="s">
        <v>721</v>
      </c>
      <c r="K36" s="112" t="s">
        <v>805</v>
      </c>
      <c r="L36" s="112" t="s">
        <v>803</v>
      </c>
      <c r="R36" s="112"/>
      <c r="S36" s="112"/>
      <c r="T36" s="112"/>
      <c r="U36" s="112"/>
    </row>
    <row r="37" spans="2:21" ht="23" x14ac:dyDescent="0.3">
      <c r="B37" s="112" t="s">
        <v>715</v>
      </c>
      <c r="C37" s="133" t="s">
        <v>783</v>
      </c>
      <c r="D37" s="112" t="s">
        <v>797</v>
      </c>
      <c r="E37" s="112" t="s">
        <v>354</v>
      </c>
      <c r="F37" s="112" t="s">
        <v>806</v>
      </c>
      <c r="G37" s="112" t="s">
        <v>773</v>
      </c>
      <c r="H37" s="112" t="s">
        <v>701</v>
      </c>
      <c r="I37" s="112" t="s">
        <v>702</v>
      </c>
      <c r="J37" s="112" t="s">
        <v>721</v>
      </c>
      <c r="K37" s="112" t="s">
        <v>807</v>
      </c>
      <c r="L37" s="112" t="s">
        <v>705</v>
      </c>
      <c r="R37" s="112"/>
      <c r="S37" s="112"/>
      <c r="T37" s="112"/>
      <c r="U37" s="112"/>
    </row>
    <row r="38" spans="2:21" ht="23" x14ac:dyDescent="0.3">
      <c r="B38" s="112" t="s">
        <v>715</v>
      </c>
      <c r="C38" s="133" t="s">
        <v>783</v>
      </c>
      <c r="D38" s="112" t="s">
        <v>808</v>
      </c>
      <c r="E38" s="112" t="s">
        <v>718</v>
      </c>
      <c r="F38" s="112" t="s">
        <v>701</v>
      </c>
      <c r="G38" s="112" t="s">
        <v>701</v>
      </c>
      <c r="H38" s="112" t="s">
        <v>701</v>
      </c>
      <c r="I38" s="112" t="s">
        <v>702</v>
      </c>
      <c r="J38" s="112" t="s">
        <v>721</v>
      </c>
      <c r="K38" s="112" t="s">
        <v>809</v>
      </c>
      <c r="L38" s="112" t="s">
        <v>705</v>
      </c>
      <c r="R38" s="112"/>
      <c r="S38" s="112"/>
      <c r="T38" s="112"/>
      <c r="U38" s="112"/>
    </row>
    <row r="39" spans="2:21" ht="23" x14ac:dyDescent="0.3">
      <c r="B39" s="112" t="s">
        <v>715</v>
      </c>
      <c r="C39" s="133" t="s">
        <v>783</v>
      </c>
      <c r="D39" s="112" t="s">
        <v>808</v>
      </c>
      <c r="E39" s="112" t="s">
        <v>718</v>
      </c>
      <c r="F39" s="112" t="s">
        <v>701</v>
      </c>
      <c r="G39" s="112" t="s">
        <v>701</v>
      </c>
      <c r="H39" s="112" t="s">
        <v>701</v>
      </c>
      <c r="I39" s="112" t="s">
        <v>702</v>
      </c>
      <c r="J39" s="112" t="s">
        <v>721</v>
      </c>
      <c r="K39" s="112" t="s">
        <v>810</v>
      </c>
      <c r="L39" s="112" t="s">
        <v>705</v>
      </c>
      <c r="R39" s="112"/>
      <c r="S39" s="112"/>
      <c r="T39" s="112"/>
      <c r="U39" s="112"/>
    </row>
    <row r="40" spans="2:21" ht="23" x14ac:dyDescent="0.3">
      <c r="B40" s="112" t="s">
        <v>715</v>
      </c>
      <c r="C40" s="133" t="s">
        <v>783</v>
      </c>
      <c r="D40" s="112" t="s">
        <v>808</v>
      </c>
      <c r="E40" s="112" t="s">
        <v>381</v>
      </c>
      <c r="F40" s="112" t="s">
        <v>811</v>
      </c>
      <c r="G40" s="112" t="s">
        <v>701</v>
      </c>
      <c r="H40" s="112" t="s">
        <v>701</v>
      </c>
      <c r="I40" s="112" t="s">
        <v>702</v>
      </c>
      <c r="J40" s="112" t="s">
        <v>721</v>
      </c>
      <c r="K40" s="112" t="s">
        <v>812</v>
      </c>
      <c r="L40" s="112" t="s">
        <v>813</v>
      </c>
      <c r="R40" s="112"/>
      <c r="S40" s="112"/>
      <c r="T40" s="112"/>
      <c r="U40" s="112"/>
    </row>
    <row r="41" spans="2:21" x14ac:dyDescent="0.3">
      <c r="B41" s="112" t="s">
        <v>698</v>
      </c>
      <c r="C41" s="112" t="s">
        <v>282</v>
      </c>
      <c r="E41" s="112" t="s">
        <v>814</v>
      </c>
      <c r="F41" s="112" t="s">
        <v>701</v>
      </c>
      <c r="G41" s="112" t="s">
        <v>701</v>
      </c>
      <c r="H41" s="112" t="s">
        <v>701</v>
      </c>
      <c r="I41" s="112" t="s">
        <v>702</v>
      </c>
      <c r="J41" s="112" t="s">
        <v>815</v>
      </c>
      <c r="K41" s="112" t="s">
        <v>816</v>
      </c>
      <c r="L41" s="112" t="s">
        <v>817</v>
      </c>
      <c r="R41" s="112"/>
      <c r="S41" s="112"/>
      <c r="T41" s="112"/>
      <c r="U41" s="112"/>
    </row>
    <row r="42" spans="2:21" x14ac:dyDescent="0.3">
      <c r="B42" s="112" t="s">
        <v>698</v>
      </c>
      <c r="C42" s="112" t="s">
        <v>282</v>
      </c>
      <c r="E42" s="112" t="s">
        <v>814</v>
      </c>
      <c r="F42" s="112" t="s">
        <v>701</v>
      </c>
      <c r="G42" s="112" t="s">
        <v>701</v>
      </c>
      <c r="H42" s="112" t="s">
        <v>701</v>
      </c>
      <c r="I42" s="112" t="s">
        <v>708</v>
      </c>
      <c r="J42" s="112" t="s">
        <v>708</v>
      </c>
      <c r="K42" s="112" t="s">
        <v>818</v>
      </c>
      <c r="L42" s="112" t="s">
        <v>819</v>
      </c>
      <c r="R42" s="112"/>
      <c r="S42" s="112"/>
      <c r="T42" s="112"/>
      <c r="U42" s="112"/>
    </row>
    <row r="43" spans="2:21" x14ac:dyDescent="0.3">
      <c r="B43" s="112" t="s">
        <v>698</v>
      </c>
      <c r="C43" s="112" t="s">
        <v>282</v>
      </c>
      <c r="E43" s="112" t="s">
        <v>700</v>
      </c>
      <c r="F43" s="112" t="s">
        <v>701</v>
      </c>
      <c r="G43" s="112" t="s">
        <v>701</v>
      </c>
      <c r="H43" s="112" t="s">
        <v>701</v>
      </c>
      <c r="I43" s="112" t="s">
        <v>702</v>
      </c>
      <c r="J43" s="112" t="s">
        <v>815</v>
      </c>
      <c r="K43" s="112" t="s">
        <v>820</v>
      </c>
      <c r="L43" s="112" t="s">
        <v>819</v>
      </c>
      <c r="R43" s="112"/>
      <c r="S43" s="112"/>
      <c r="T43" s="112"/>
      <c r="U43" s="112"/>
    </row>
    <row r="44" spans="2:21" x14ac:dyDescent="0.3">
      <c r="B44" s="112" t="s">
        <v>698</v>
      </c>
      <c r="C44" s="112" t="s">
        <v>282</v>
      </c>
      <c r="E44" s="112" t="s">
        <v>711</v>
      </c>
      <c r="F44" s="112" t="s">
        <v>701</v>
      </c>
      <c r="G44" s="112" t="s">
        <v>701</v>
      </c>
      <c r="H44" s="112" t="s">
        <v>701</v>
      </c>
      <c r="I44" s="112" t="s">
        <v>702</v>
      </c>
      <c r="J44" s="112" t="s">
        <v>815</v>
      </c>
      <c r="K44" s="112" t="s">
        <v>821</v>
      </c>
      <c r="L44" s="112" t="s">
        <v>705</v>
      </c>
      <c r="R44" s="112"/>
      <c r="S44" s="112"/>
      <c r="T44" s="112"/>
      <c r="U44" s="112"/>
    </row>
    <row r="45" spans="2:21" x14ac:dyDescent="0.3">
      <c r="B45" s="112" t="s">
        <v>138</v>
      </c>
      <c r="C45" s="112" t="s">
        <v>822</v>
      </c>
      <c r="D45" s="112" t="s">
        <v>823</v>
      </c>
      <c r="E45" s="112" t="s">
        <v>360</v>
      </c>
      <c r="F45" s="112" t="s">
        <v>824</v>
      </c>
      <c r="G45" s="112" t="s">
        <v>701</v>
      </c>
      <c r="H45" s="112" t="s">
        <v>701</v>
      </c>
      <c r="I45" s="112" t="s">
        <v>702</v>
      </c>
      <c r="J45" s="112" t="s">
        <v>815</v>
      </c>
      <c r="K45" s="112" t="s">
        <v>825</v>
      </c>
      <c r="L45" s="112" t="s">
        <v>826</v>
      </c>
      <c r="R45" s="112"/>
      <c r="S45" s="112"/>
      <c r="T45" s="112"/>
      <c r="U45" s="112"/>
    </row>
    <row r="46" spans="2:21" x14ac:dyDescent="0.3">
      <c r="B46" s="112" t="s">
        <v>138</v>
      </c>
      <c r="C46" s="112" t="s">
        <v>822</v>
      </c>
      <c r="D46" s="112" t="s">
        <v>823</v>
      </c>
      <c r="E46" s="112" t="s">
        <v>360</v>
      </c>
      <c r="F46" s="112" t="s">
        <v>770</v>
      </c>
      <c r="G46" s="112" t="s">
        <v>715</v>
      </c>
      <c r="H46" s="112" t="s">
        <v>701</v>
      </c>
      <c r="I46" s="112" t="s">
        <v>702</v>
      </c>
      <c r="J46" s="112" t="s">
        <v>815</v>
      </c>
      <c r="K46" s="112" t="s">
        <v>827</v>
      </c>
      <c r="L46" s="112" t="s">
        <v>828</v>
      </c>
      <c r="R46" s="112"/>
      <c r="S46" s="112"/>
      <c r="T46" s="112"/>
      <c r="U46" s="112"/>
    </row>
    <row r="47" spans="2:21" x14ac:dyDescent="0.3">
      <c r="B47" s="112" t="s">
        <v>138</v>
      </c>
      <c r="C47" s="112" t="s">
        <v>822</v>
      </c>
      <c r="D47" s="112" t="s">
        <v>823</v>
      </c>
      <c r="E47" s="112" t="s">
        <v>360</v>
      </c>
      <c r="F47" s="112" t="s">
        <v>829</v>
      </c>
      <c r="G47" s="112" t="s">
        <v>701</v>
      </c>
      <c r="H47" s="112" t="s">
        <v>701</v>
      </c>
      <c r="I47" s="112" t="s">
        <v>702</v>
      </c>
      <c r="J47" s="112" t="s">
        <v>815</v>
      </c>
      <c r="K47" s="112" t="s">
        <v>830</v>
      </c>
      <c r="L47" s="112" t="s">
        <v>705</v>
      </c>
      <c r="R47" s="112"/>
      <c r="S47" s="112"/>
      <c r="T47" s="112"/>
      <c r="U47" s="112"/>
    </row>
    <row r="48" spans="2:21" x14ac:dyDescent="0.3">
      <c r="B48" s="112" t="s">
        <v>138</v>
      </c>
      <c r="C48" s="112" t="s">
        <v>822</v>
      </c>
      <c r="D48" s="112" t="s">
        <v>823</v>
      </c>
      <c r="E48" s="112" t="s">
        <v>780</v>
      </c>
      <c r="F48" s="112" t="s">
        <v>781</v>
      </c>
      <c r="G48" s="112" t="s">
        <v>701</v>
      </c>
      <c r="H48" s="112" t="s">
        <v>701</v>
      </c>
      <c r="I48" s="112" t="s">
        <v>702</v>
      </c>
      <c r="J48" s="112" t="s">
        <v>815</v>
      </c>
      <c r="K48" s="112" t="s">
        <v>831</v>
      </c>
      <c r="L48" s="112" t="s">
        <v>832</v>
      </c>
      <c r="R48" s="112"/>
      <c r="S48" s="112"/>
      <c r="T48" s="112"/>
      <c r="U48" s="112"/>
    </row>
    <row r="49" spans="2:21" x14ac:dyDescent="0.3">
      <c r="B49" s="112" t="s">
        <v>698</v>
      </c>
      <c r="C49" s="112" t="s">
        <v>282</v>
      </c>
      <c r="D49" s="112" t="s">
        <v>833</v>
      </c>
      <c r="E49" s="112" t="s">
        <v>360</v>
      </c>
      <c r="F49" s="112" t="s">
        <v>834</v>
      </c>
      <c r="G49" s="112" t="s">
        <v>701</v>
      </c>
      <c r="H49" s="112" t="s">
        <v>701</v>
      </c>
      <c r="I49" s="112" t="s">
        <v>702</v>
      </c>
      <c r="J49" s="112" t="s">
        <v>815</v>
      </c>
      <c r="K49" s="112" t="s">
        <v>835</v>
      </c>
      <c r="L49" s="112" t="s">
        <v>826</v>
      </c>
      <c r="R49" s="112"/>
      <c r="S49" s="112"/>
      <c r="T49" s="112"/>
      <c r="U49" s="112"/>
    </row>
    <row r="50" spans="2:21" x14ac:dyDescent="0.3">
      <c r="B50" s="112" t="s">
        <v>698</v>
      </c>
      <c r="C50" s="112" t="s">
        <v>282</v>
      </c>
      <c r="D50" s="112" t="s">
        <v>833</v>
      </c>
      <c r="E50" s="112" t="s">
        <v>360</v>
      </c>
      <c r="F50" s="112" t="s">
        <v>776</v>
      </c>
      <c r="G50" s="112" t="s">
        <v>701</v>
      </c>
      <c r="H50" s="112" t="s">
        <v>701</v>
      </c>
      <c r="I50" s="112" t="s">
        <v>702</v>
      </c>
      <c r="J50" s="112" t="s">
        <v>815</v>
      </c>
      <c r="K50" s="112" t="s">
        <v>836</v>
      </c>
      <c r="L50" s="112" t="s">
        <v>705</v>
      </c>
      <c r="R50" s="112"/>
      <c r="S50" s="112"/>
      <c r="T50" s="112"/>
      <c r="U50" s="112"/>
    </row>
    <row r="51" spans="2:21" x14ac:dyDescent="0.3">
      <c r="B51" s="112" t="s">
        <v>698</v>
      </c>
      <c r="C51" s="112" t="s">
        <v>282</v>
      </c>
      <c r="D51" s="112" t="s">
        <v>833</v>
      </c>
      <c r="E51" s="112" t="s">
        <v>360</v>
      </c>
      <c r="F51" s="112" t="s">
        <v>837</v>
      </c>
      <c r="G51" s="112" t="s">
        <v>838</v>
      </c>
      <c r="H51" s="112" t="s">
        <v>701</v>
      </c>
      <c r="I51" s="112" t="s">
        <v>702</v>
      </c>
      <c r="J51" s="112" t="s">
        <v>815</v>
      </c>
      <c r="K51" s="112" t="s">
        <v>839</v>
      </c>
      <c r="L51" s="112" t="s">
        <v>840</v>
      </c>
      <c r="R51" s="112"/>
      <c r="S51" s="112"/>
      <c r="T51" s="112"/>
      <c r="U51" s="112"/>
    </row>
    <row r="52" spans="2:21" x14ac:dyDescent="0.3">
      <c r="B52" s="112" t="s">
        <v>698</v>
      </c>
      <c r="C52" s="112" t="s">
        <v>282</v>
      </c>
      <c r="D52" s="112" t="s">
        <v>833</v>
      </c>
      <c r="E52" s="112" t="s">
        <v>701</v>
      </c>
      <c r="F52" s="112" t="s">
        <v>701</v>
      </c>
      <c r="G52" s="112" t="s">
        <v>701</v>
      </c>
      <c r="H52" s="112" t="s">
        <v>701</v>
      </c>
      <c r="I52" s="112" t="s">
        <v>701</v>
      </c>
      <c r="J52" s="112" t="s">
        <v>701</v>
      </c>
      <c r="K52" s="112" t="s">
        <v>841</v>
      </c>
      <c r="L52" s="112" t="s">
        <v>842</v>
      </c>
      <c r="R52" s="112"/>
      <c r="S52" s="112"/>
      <c r="T52" s="112"/>
      <c r="U52" s="112"/>
    </row>
    <row r="53" spans="2:21" x14ac:dyDescent="0.3">
      <c r="B53" s="112" t="s">
        <v>715</v>
      </c>
      <c r="C53" s="112" t="s">
        <v>843</v>
      </c>
    </row>
    <row r="54" spans="2:21" x14ac:dyDescent="0.3">
      <c r="B54" s="112" t="s">
        <v>698</v>
      </c>
      <c r="C54" s="112" t="s">
        <v>844</v>
      </c>
    </row>
    <row r="55" spans="2:21" x14ac:dyDescent="0.3">
      <c r="B55" s="112" t="s">
        <v>698</v>
      </c>
      <c r="C55" s="112" t="s">
        <v>845</v>
      </c>
    </row>
    <row r="56" spans="2:21" x14ac:dyDescent="0.3">
      <c r="B56" s="112" t="s">
        <v>698</v>
      </c>
      <c r="C56" s="112" t="s">
        <v>846</v>
      </c>
      <c r="E56" s="112" t="s">
        <v>354</v>
      </c>
    </row>
    <row r="57" spans="2:21" x14ac:dyDescent="0.3">
      <c r="B57" s="112" t="s">
        <v>138</v>
      </c>
      <c r="C57" s="112" t="s">
        <v>847</v>
      </c>
      <c r="D57" s="112" t="s">
        <v>848</v>
      </c>
    </row>
    <row r="58" spans="2:21" x14ac:dyDescent="0.3">
      <c r="B58" s="112" t="s">
        <v>138</v>
      </c>
      <c r="C58" s="112" t="s">
        <v>849</v>
      </c>
    </row>
    <row r="59" spans="2:21" x14ac:dyDescent="0.3">
      <c r="B59" s="112" t="s">
        <v>138</v>
      </c>
      <c r="C59" s="112" t="s">
        <v>850</v>
      </c>
    </row>
    <row r="60" spans="2:21" x14ac:dyDescent="0.3">
      <c r="B60" s="112" t="s">
        <v>138</v>
      </c>
      <c r="C60" s="112" t="s">
        <v>851</v>
      </c>
      <c r="D60" s="112" t="s">
        <v>852</v>
      </c>
    </row>
    <row r="61" spans="2:21" x14ac:dyDescent="0.3">
      <c r="B61" s="112" t="s">
        <v>138</v>
      </c>
      <c r="C61" s="112" t="s">
        <v>853</v>
      </c>
      <c r="D61" s="112" t="s">
        <v>852</v>
      </c>
    </row>
    <row r="62" spans="2:21" x14ac:dyDescent="0.3">
      <c r="B62" s="112" t="s">
        <v>138</v>
      </c>
      <c r="C62" s="112" t="s">
        <v>854</v>
      </c>
      <c r="D62" s="112" t="s">
        <v>852</v>
      </c>
    </row>
    <row r="63" spans="2:21" x14ac:dyDescent="0.3">
      <c r="B63" s="112" t="s">
        <v>138</v>
      </c>
      <c r="C63" s="112" t="s">
        <v>855</v>
      </c>
      <c r="D63" s="112" t="s">
        <v>852</v>
      </c>
    </row>
    <row r="64" spans="2:21" x14ac:dyDescent="0.3">
      <c r="B64" s="112" t="s">
        <v>138</v>
      </c>
      <c r="C64" s="112" t="s">
        <v>856</v>
      </c>
      <c r="D64" s="112" t="s">
        <v>857</v>
      </c>
    </row>
    <row r="65" spans="2:4" x14ac:dyDescent="0.3">
      <c r="B65" s="112" t="s">
        <v>138</v>
      </c>
      <c r="C65" s="112" t="s">
        <v>858</v>
      </c>
      <c r="D65" s="112" t="s">
        <v>852</v>
      </c>
    </row>
    <row r="66" spans="2:4" x14ac:dyDescent="0.3">
      <c r="B66" s="112" t="s">
        <v>138</v>
      </c>
      <c r="C66" s="112" t="s">
        <v>859</v>
      </c>
      <c r="D66" s="112" t="s">
        <v>735</v>
      </c>
    </row>
    <row r="67" spans="2:4" x14ac:dyDescent="0.3">
      <c r="B67" s="112" t="s">
        <v>138</v>
      </c>
      <c r="C67" s="112" t="s">
        <v>860</v>
      </c>
      <c r="D67" s="112" t="s">
        <v>861</v>
      </c>
    </row>
    <row r="68" spans="2:4" x14ac:dyDescent="0.3">
      <c r="B68" s="112" t="s">
        <v>138</v>
      </c>
      <c r="C68" s="112" t="s">
        <v>862</v>
      </c>
    </row>
    <row r="69" spans="2:4" x14ac:dyDescent="0.3">
      <c r="B69" s="112" t="s">
        <v>138</v>
      </c>
      <c r="C69" s="112" t="s">
        <v>863</v>
      </c>
    </row>
    <row r="70" spans="2:4" x14ac:dyDescent="0.3">
      <c r="B70" s="112" t="s">
        <v>138</v>
      </c>
      <c r="C70" s="112" t="s">
        <v>864</v>
      </c>
    </row>
    <row r="71" spans="2:4" x14ac:dyDescent="0.3">
      <c r="B71" s="112" t="s">
        <v>138</v>
      </c>
      <c r="C71" s="112" t="s">
        <v>865</v>
      </c>
    </row>
    <row r="72" spans="2:4" x14ac:dyDescent="0.3">
      <c r="B72" s="112" t="s">
        <v>138</v>
      </c>
      <c r="C72" s="112" t="s">
        <v>866</v>
      </c>
    </row>
    <row r="73" spans="2:4" x14ac:dyDescent="0.3">
      <c r="B73" s="112" t="s">
        <v>138</v>
      </c>
      <c r="C73" s="112" t="s">
        <v>867</v>
      </c>
    </row>
    <row r="74" spans="2:4" x14ac:dyDescent="0.3">
      <c r="B74" s="112" t="s">
        <v>138</v>
      </c>
      <c r="C74" s="112" t="s">
        <v>868</v>
      </c>
      <c r="D74" s="112" t="s">
        <v>852</v>
      </c>
    </row>
    <row r="75" spans="2:4" x14ac:dyDescent="0.3">
      <c r="B75" s="112" t="s">
        <v>138</v>
      </c>
      <c r="C75" s="112" t="s">
        <v>869</v>
      </c>
    </row>
    <row r="76" spans="2:4" x14ac:dyDescent="0.3">
      <c r="B76" s="112" t="s">
        <v>138</v>
      </c>
      <c r="C76" s="112" t="s">
        <v>870</v>
      </c>
    </row>
    <row r="77" spans="2:4" x14ac:dyDescent="0.3">
      <c r="B77" s="112" t="s">
        <v>138</v>
      </c>
      <c r="C77" s="112" t="s">
        <v>871</v>
      </c>
      <c r="D77" s="112" t="s">
        <v>872</v>
      </c>
    </row>
    <row r="78" spans="2:4" x14ac:dyDescent="0.3">
      <c r="B78" s="112" t="s">
        <v>138</v>
      </c>
      <c r="C78" s="112" t="s">
        <v>873</v>
      </c>
      <c r="D78" s="112" t="s">
        <v>852</v>
      </c>
    </row>
    <row r="79" spans="2:4" x14ac:dyDescent="0.3">
      <c r="B79" s="112" t="s">
        <v>138</v>
      </c>
      <c r="C79" s="112" t="s">
        <v>874</v>
      </c>
      <c r="D79" s="112" t="s">
        <v>875</v>
      </c>
    </row>
    <row r="80" spans="2:4" x14ac:dyDescent="0.3">
      <c r="B80" s="112" t="s">
        <v>138</v>
      </c>
      <c r="C80" s="112" t="s">
        <v>876</v>
      </c>
      <c r="D80" s="112" t="s">
        <v>877</v>
      </c>
    </row>
    <row r="81" spans="2:4" ht="23" x14ac:dyDescent="0.3">
      <c r="B81" s="112" t="s">
        <v>138</v>
      </c>
      <c r="C81" s="133" t="s">
        <v>878</v>
      </c>
      <c r="D81" s="133" t="s">
        <v>733</v>
      </c>
    </row>
    <row r="82" spans="2:4" x14ac:dyDescent="0.3">
      <c r="B82" s="112" t="s">
        <v>138</v>
      </c>
      <c r="C82" s="112" t="s">
        <v>879</v>
      </c>
      <c r="D82" s="112" t="s">
        <v>733</v>
      </c>
    </row>
    <row r="83" spans="2:4" x14ac:dyDescent="0.3">
      <c r="B83" s="112" t="s">
        <v>138</v>
      </c>
      <c r="C83" s="112" t="s">
        <v>880</v>
      </c>
    </row>
    <row r="84" spans="2:4" x14ac:dyDescent="0.3">
      <c r="B84" s="112" t="s">
        <v>138</v>
      </c>
    </row>
    <row r="85" spans="2:4" x14ac:dyDescent="0.3">
      <c r="B85" s="112" t="s">
        <v>138</v>
      </c>
      <c r="C85" s="112" t="s">
        <v>881</v>
      </c>
      <c r="D85" s="112" t="s">
        <v>882</v>
      </c>
    </row>
    <row r="86" spans="2:4" x14ac:dyDescent="0.3">
      <c r="B86" s="112" t="s">
        <v>138</v>
      </c>
      <c r="C86" s="112" t="s">
        <v>883</v>
      </c>
      <c r="D86" s="112" t="s">
        <v>735</v>
      </c>
    </row>
    <row r="87" spans="2:4" x14ac:dyDescent="0.3">
      <c r="B87" s="112" t="s">
        <v>138</v>
      </c>
      <c r="C87" s="112" t="s">
        <v>822</v>
      </c>
      <c r="D87" s="112" t="s">
        <v>282</v>
      </c>
    </row>
    <row r="88" spans="2:4" x14ac:dyDescent="0.3">
      <c r="B88" s="112" t="s">
        <v>138</v>
      </c>
      <c r="C88" s="112" t="s">
        <v>884</v>
      </c>
      <c r="D88" s="112" t="s">
        <v>733</v>
      </c>
    </row>
    <row r="89" spans="2:4" ht="23" x14ac:dyDescent="0.3">
      <c r="B89" s="112" t="s">
        <v>138</v>
      </c>
      <c r="C89" s="133" t="s">
        <v>885</v>
      </c>
    </row>
    <row r="90" spans="2:4" ht="23" x14ac:dyDescent="0.3">
      <c r="B90" s="112" t="s">
        <v>138</v>
      </c>
      <c r="C90" s="133" t="s">
        <v>886</v>
      </c>
    </row>
    <row r="91" spans="2:4" ht="23" x14ac:dyDescent="0.3">
      <c r="B91" s="112" t="s">
        <v>138</v>
      </c>
      <c r="C91" s="133" t="s">
        <v>887</v>
      </c>
    </row>
    <row r="92" spans="2:4" ht="23" x14ac:dyDescent="0.3">
      <c r="B92" s="112" t="s">
        <v>138</v>
      </c>
      <c r="C92" s="133" t="s">
        <v>888</v>
      </c>
    </row>
    <row r="93" spans="2:4" ht="23" x14ac:dyDescent="0.3">
      <c r="B93" s="112" t="s">
        <v>138</v>
      </c>
      <c r="C93" s="133" t="s">
        <v>889</v>
      </c>
    </row>
    <row r="94" spans="2:4" ht="23" x14ac:dyDescent="0.3">
      <c r="B94" s="112" t="s">
        <v>138</v>
      </c>
      <c r="C94" s="133" t="s">
        <v>890</v>
      </c>
    </row>
    <row r="95" spans="2:4" ht="23" x14ac:dyDescent="0.3">
      <c r="B95" s="112" t="s">
        <v>138</v>
      </c>
      <c r="C95" s="133" t="s">
        <v>878</v>
      </c>
    </row>
    <row r="96" spans="2:4" ht="23" x14ac:dyDescent="0.3">
      <c r="B96" s="112" t="s">
        <v>138</v>
      </c>
      <c r="C96" s="133" t="s">
        <v>879</v>
      </c>
    </row>
    <row r="97" spans="2:3" ht="23" x14ac:dyDescent="0.3">
      <c r="B97" s="112" t="s">
        <v>698</v>
      </c>
      <c r="C97" s="133" t="s">
        <v>891</v>
      </c>
    </row>
  </sheetData>
  <pageMargins left="0.7" right="0.7" top="0.75" bottom="0.75" header="0.3" footer="0.3"/>
  <pageSetup orientation="portrait" horizontalDpi="0" verticalDpi="0"/>
</worksheet>
</file>

<file path=xl/worksheets/sheet10.xml><?xml version="1.0" encoding="utf-8"?>
<worksheet xmlns="http://schemas.openxmlformats.org/spreadsheetml/2006/main">
  <sheetPr>
    <tabColor rgb="009AA5B1"/>
    <outlinePr summaryBelow="1" summaryRight="1"/>
    <pageSetUpPr/>
  </sheetPr>
  <dimension ref="A1:BC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34" customWidth="1" min="4" max="4"/>
    <col width="14" customWidth="1" min="5" max="5"/>
    <col width="24" customWidth="1" min="6" max="6"/>
    <col width="12" customWidth="1" min="7" max="7"/>
    <col width="12" customWidth="1" min="8" max="8"/>
    <col width="11" customWidth="1" min="9" max="9"/>
    <col width="11" customWidth="1" min="10" max="10"/>
    <col width="14" customWidth="1" min="11" max="11"/>
    <col width="7" customWidth="1" min="12" max="12"/>
    <col width="7" customWidth="1" min="13" max="13"/>
    <col width="12" customWidth="1" min="14" max="14"/>
    <col width="7" customWidth="1" min="15" max="15"/>
    <col width="11" customWidth="1" min="16" max="16"/>
    <col width="11" customWidth="1" min="17" max="17"/>
    <col width="11" customWidth="1" min="18" max="18"/>
    <col width="11" customWidth="1" min="19" max="19"/>
    <col width="9" customWidth="1" min="20" max="20"/>
    <col width="9" customWidth="1" min="21" max="21"/>
    <col width="8" customWidth="1" min="22" max="22"/>
    <col width="9" customWidth="1" min="23" max="23"/>
    <col width="34" customWidth="1" min="24" max="24"/>
    <col width="42" customWidth="1" min="25" max="25"/>
    <col width="34" customWidth="1" min="52" max="52"/>
    <col width="60" customWidth="1" min="53" max="53"/>
    <col width="12" customWidth="1" min="54" max="54"/>
    <col width="12" customWidth="1" min="55" max="55"/>
  </cols>
  <sheetData>
    <row r="1" ht="28" customHeight="1">
      <c r="A1" s="301" t="inlineStr">
        <is>
          <t>Weekly Row</t>
        </is>
      </c>
      <c r="B1" s="301" t="inlineStr">
        <is>
          <t>Title</t>
        </is>
      </c>
      <c r="C1" s="301" t="inlineStr">
        <is>
          <t>Portfolio</t>
        </is>
      </c>
      <c r="D1" s="301" t="inlineStr">
        <is>
          <t>Theme</t>
        </is>
      </c>
      <c r="E1" s="301" t="inlineStr">
        <is>
          <t>Jira</t>
        </is>
      </c>
      <c r="F1" s="301" t="inlineStr">
        <is>
          <t>Status</t>
        </is>
      </c>
      <c r="G1" s="301" t="inlineStr">
        <is>
          <t>UX From</t>
        </is>
      </c>
      <c r="H1" s="301" t="inlineStr">
        <is>
          <t>UX To</t>
        </is>
      </c>
      <c r="I1" s="301" t="inlineStr">
        <is>
          <t>Dev From</t>
        </is>
      </c>
      <c r="J1" s="301" t="inlineStr">
        <is>
          <t>Dev To</t>
        </is>
      </c>
      <c r="K1" s="301" t="inlineStr">
        <is>
          <t>Product Ticket</t>
        </is>
      </c>
      <c r="L1" s="301" t="inlineStr">
        <is>
          <t>Theme Rank</t>
        </is>
      </c>
      <c r="M1" s="301" t="inlineStr">
        <is>
          <t>Status Rank</t>
        </is>
      </c>
      <c r="N1" s="301" t="inlineStr">
        <is>
          <t>Sort Key</t>
        </is>
      </c>
      <c r="O1" s="301" t="inlineStr">
        <is>
          <t>Rank</t>
        </is>
      </c>
      <c r="P1" s="301" t="inlineStr">
        <is>
          <t>Dev From Raw</t>
        </is>
      </c>
      <c r="Q1" s="301" t="inlineStr">
        <is>
          <t>Dev To Raw</t>
        </is>
      </c>
      <c r="R1" s="301" t="inlineStr">
        <is>
          <t>Dev From Parsed</t>
        </is>
      </c>
      <c r="S1" s="301" t="inlineStr">
        <is>
          <t>Dev To Parsed</t>
        </is>
      </c>
      <c r="T1" s="301" t="inlineStr">
        <is>
          <t>UX Weeks</t>
        </is>
      </c>
      <c r="U1" s="301" t="inlineStr">
        <is>
          <t>Theme Ctrl Row</t>
        </is>
      </c>
      <c r="V1" s="301" t="inlineStr">
        <is>
          <t>Included</t>
        </is>
      </c>
      <c r="W1" s="301" t="inlineStr">
        <is>
          <t>Alpha Rank</t>
        </is>
      </c>
      <c r="X1" s="301" t="inlineStr">
        <is>
          <t>Theme #2</t>
        </is>
      </c>
      <c r="Y1" s="301" t="inlineStr">
        <is>
          <t>Sort Name</t>
        </is>
      </c>
      <c r="AA1" s="302" t="n">
        <v>46023</v>
      </c>
      <c r="AB1" s="302" t="n">
        <v>46054</v>
      </c>
      <c r="AC1" s="302" t="n">
        <v>46082</v>
      </c>
      <c r="AD1" s="302" t="n">
        <v>46113</v>
      </c>
      <c r="AE1" s="302" t="n">
        <v>46143</v>
      </c>
      <c r="AF1" s="302" t="n">
        <v>46174</v>
      </c>
      <c r="AG1" s="302" t="n">
        <v>46204</v>
      </c>
      <c r="AH1" s="302" t="n">
        <v>46235</v>
      </c>
      <c r="AI1" s="302" t="n">
        <v>46266</v>
      </c>
      <c r="AJ1" s="302" t="n">
        <v>46296</v>
      </c>
      <c r="AK1" s="302" t="n">
        <v>46327</v>
      </c>
      <c r="AL1" s="302" t="n">
        <v>46357</v>
      </c>
      <c r="AM1" s="302" t="n">
        <v>46388</v>
      </c>
      <c r="AN1" s="302" t="n">
        <v>46419</v>
      </c>
      <c r="AO1" s="302" t="n">
        <v>46447</v>
      </c>
      <c r="AP1" s="302" t="n">
        <v>46478</v>
      </c>
      <c r="AQ1" s="302" t="n">
        <v>46508</v>
      </c>
      <c r="AR1" s="302" t="n">
        <v>46539</v>
      </c>
      <c r="AS1" s="302" t="n">
        <v>46569</v>
      </c>
      <c r="AT1" s="302" t="n">
        <v>46600</v>
      </c>
      <c r="AU1" s="302" t="n">
        <v>46631</v>
      </c>
      <c r="AV1" s="302" t="n">
        <v>46661</v>
      </c>
      <c r="AW1" s="302" t="n">
        <v>46692</v>
      </c>
      <c r="AX1" s="302" t="n">
        <v>46722</v>
      </c>
      <c r="AZ1" s="303" t="inlineStr">
        <is>
          <t>AUTO-GENERATED HELPER — do not edit. Row r here = UX Weekly row r = Dev Tracker row r. Columns AA-AX flag, per month, whether that month holds at least one resourced UX week. Month names are parsed from a literal string, so nothing here breaks if a row is deleted.</t>
        </is>
      </c>
      <c r="BB1" s="304" t="inlineStr">
        <is>
          <t>Disc From</t>
        </is>
      </c>
      <c r="BC1" s="304" t="inlineStr">
        <is>
          <t>Disc To</t>
        </is>
      </c>
    </row>
    <row r="2">
      <c r="A2" s="305" t="n">
        <v>2</v>
      </c>
      <c r="B2" s="305">
        <f>IF(TRIM('UX + Dev'!E2)="","",TRIM('UX + Dev'!E2))</f>
      </c>
      <c r="C2" s="305">
        <f>IF($B2="","",'UX + Dev'!B2)</f>
      </c>
      <c r="D2" s="305">
        <f>IF($B2="","",IF(TRIM('UX + Dev'!C2)="","(No theme assigned)",TRIM('UX + Dev'!C2)))</f>
      </c>
      <c r="E2" s="305">
        <f>IF($B2="","",TRIM('UX + Dev'!F2))</f>
      </c>
      <c r="F2" s="305">
        <f>IF($B2="","",'UX + Dev'!G2)</f>
      </c>
      <c r="G2" s="306">
        <f t="array" ref="G2">IF($B2="","",IF($T2=0,"",IFERROR(MIN(IF('UX + Dev'!$AB2:$DN2&lt;&gt;"",'UX + Dev'!$AB$1:$DN$1)),"")))</f>
      </c>
      <c r="H2" s="306">
        <f t="array" ref="H2">IF($B2="","",IF($T2=0,"",IFERROR(MAX(IF('UX + Dev'!$AB2:$DN2&lt;&gt;"",'UX + Dev'!$AB$1:$DN$1)),"")))</f>
      </c>
      <c r="I2" s="307">
        <f>IF($R2&lt;&gt;"",$R2,IF($S2&lt;&gt;"",$S2,""))</f>
      </c>
      <c r="J2" s="307">
        <f>IF($S2&lt;&gt;"",EOMONTH($S2,0),IF($R2&lt;&gt;"",EOMONTH($R2,0),""))</f>
      </c>
      <c r="K2" s="305">
        <f>IF($B2="","",IF(COUNTA('UX + Dev'!AA2)=0,"",TRIM('UX + Dev'!AA2)))</f>
      </c>
      <c r="L2" s="305">
        <f>IF($B2="","",IFERROR(MATCH($D2,Control!$E$4:$E$30,0),99))</f>
      </c>
      <c r="M2" s="305">
        <f>IF($B2="","",IFERROR(MATCH($F2,Control!$B$4:$B$30,0),99))</f>
      </c>
      <c r="N2" s="305">
        <f>IF($V2&lt;&gt;1,"",IF('Roadmap (Auto)'!$D$3="Status, then Theme",$M2*1000000+$L2*10000+ROW(),IF('Roadmap (Auto)'!$D$3="Dev start (earliest)",IF($I2="",99999999,$I2)*10000+ROW(),IF('Roadmap (Auto)'!$D$3="UX start (earliest)",IF($G2="",99999999,$G2)*10000+ROW(),IF('Roadmap (Auto)'!$D$3="Deliverable A-Z",$W2*10000+ROW(),$L2*1000000+$M2*10000+ROW())))))</f>
      </c>
      <c r="O2" s="305">
        <f>IF($N2="","",COUNTIF($N$2:$N$151,"&lt;"&amp;$N2)+1)</f>
      </c>
      <c r="P2" s="305">
        <f>IF($B2="","",IF(COUNTA('UX + Dev'!X2)=0,"",'UX + Dev'!X2))</f>
      </c>
      <c r="Q2" s="305">
        <f>IF($B2="","",IF(COUNTA('UX + Dev'!Y2)=0,"",'UX + Dev'!Y2))</f>
      </c>
      <c r="R2" s="307">
        <f>IF($P2="","",IF(ISNUMBER($P2),DATE(YEAR($P2),MONTH($P2),1),IFERROR(DATE(IFERROR(VALUE(RIGHT(TRIM($P2),4)),YEAR(TODAY())),(SEARCH(LEFT(TRIM($P2),3),"JanFebMarAprMayJunJulAugSepOctNovDec")+2)/3,1),"")))</f>
      </c>
      <c r="S2" s="307">
        <f>IF($Q2="","",IF(ISNUMBER($Q2),DATE(YEAR($Q2),MONTH($Q2),1),IFERROR(DATE(IFERROR(VALUE(RIGHT(TRIM($Q2),4)),YEAR(TODAY())),(SEARCH(LEFT(TRIM($Q2),3),"JanFebMarAprMayJunJulAugSepOctNovDec")+2)/3,1),"")))</f>
      </c>
      <c r="T2" s="305">
        <f>IF($B2="","",COUNTA('UX + Dev'!$AB2:$DN2))</f>
      </c>
      <c r="U2" s="305">
        <f>IF($B2="","",IFERROR(MATCH($D2,Control!$E$4:$E$30,0)+3,0))</f>
      </c>
      <c r="V2" s="305">
        <f>IF($B2="","",IF(AND(OR('Roadmap (Auto)'!$A$3="",'Roadmap (Auto)'!$A$3="(All)",ISNUMBER(SEARCH('Roadmap (Auto)'!$A$3,$C2&amp;""))),OR('Roadmap (Auto)'!$B$3="",'Roadmap (Auto)'!$B$3="(All)",$D2='Roadmap (Auto)'!$B$3,$X2='Roadmap (Auto)'!$B$3),OR('Roadmap (Auto)'!$C$3="",'Roadmap (Auto)'!$C$3="(All)",$F2='Roadmap (Auto)'!$C$3)),1,0))</f>
      </c>
      <c r="W2" s="305">
        <f>IF($B2="","",COUNTIF($Y$2:$Y$151,"&lt;"&amp;$Y2)+1)</f>
      </c>
      <c r="X2" s="305">
        <f>IF($B2="","",IF(TRIM('UX + Dev'!D2)="","",TRIM('UX + Dev'!D2)))</f>
      </c>
      <c r="Y2" s="305">
        <f>IF($B2="","",SUBSTITUTE(SUBSTITUTE(SUBSTITUTE(SUBSTITUTE(SUBSTITUTE(SUBSTITUTE(SUBSTITUTE(SUBSTITUTE(SUBSTITUTE(SUBSTITUTE(SUBSTITUTE(SUBSTITUTE(SUBSTITUTE(SUBSTITUTE(SUBSTITUTE(SUBSTITUTE(SUBSTITUTE(SUBSTITUTE(SUBSTITUTE(SUBSTITUTE(SUBSTITUTE(SUBSTITUTE(SUBSTITUTE(SUBSTITUTE(SUBSTITUTE(UPPER($B2)," ",""),"-",""),":",""),"/",""),"&amp;",""),"|",""),"'",""),"’",""),"&lt;",""),"&gt;",""),",",""),"$",""),".",""),"(",""),")",""),"*",""),"?",""),"~",""),"_",""),"+",""),"#",""),";",""),"!",""),"%",""),"@",""))</f>
      </c>
      <c r="AA2">
        <f>IF($B2="",0,COUNTIFS('UX + Dev'!$AB$1:$DN$1,"&gt;="&amp;AA$1,'UX + Dev'!$AB$1:$DN$1,"&lt;="&amp;EOMONTH(AA$1,0),'UX + Dev'!$AB2:$DN2,"&lt;&gt;"))</f>
      </c>
      <c r="AB2">
        <f>IF($B2="",0,COUNTIFS('UX + Dev'!$AB$1:$DN$1,"&gt;="&amp;AB$1,'UX + Dev'!$AB$1:$DN$1,"&lt;="&amp;EOMONTH(AB$1,0),'UX + Dev'!$AB2:$DN2,"&lt;&gt;"))</f>
      </c>
      <c r="AC2">
        <f>IF($B2="",0,COUNTIFS('UX + Dev'!$AB$1:$DN$1,"&gt;="&amp;AC$1,'UX + Dev'!$AB$1:$DN$1,"&lt;="&amp;EOMONTH(AC$1,0),'UX + Dev'!$AB2:$DN2,"&lt;&gt;"))</f>
      </c>
      <c r="AD2">
        <f>IF($B2="",0,COUNTIFS('UX + Dev'!$AB$1:$DN$1,"&gt;="&amp;AD$1,'UX + Dev'!$AB$1:$DN$1,"&lt;="&amp;EOMONTH(AD$1,0),'UX + Dev'!$AB2:$DN2,"&lt;&gt;"))</f>
      </c>
      <c r="AE2">
        <f>IF($B2="",0,COUNTIFS('UX + Dev'!$AB$1:$DN$1,"&gt;="&amp;AE$1,'UX + Dev'!$AB$1:$DN$1,"&lt;="&amp;EOMONTH(AE$1,0),'UX + Dev'!$AB2:$DN2,"&lt;&gt;"))</f>
      </c>
      <c r="AF2">
        <f>IF($B2="",0,COUNTIFS('UX + Dev'!$AB$1:$DN$1,"&gt;="&amp;AF$1,'UX + Dev'!$AB$1:$DN$1,"&lt;="&amp;EOMONTH(AF$1,0),'UX + Dev'!$AB2:$DN2,"&lt;&gt;"))</f>
      </c>
      <c r="AG2">
        <f>IF($B2="",0,COUNTIFS('UX + Dev'!$AB$1:$DN$1,"&gt;="&amp;AG$1,'UX + Dev'!$AB$1:$DN$1,"&lt;="&amp;EOMONTH(AG$1,0),'UX + Dev'!$AB2:$DN2,"&lt;&gt;"))</f>
      </c>
      <c r="AH2">
        <f>IF($B2="",0,COUNTIFS('UX + Dev'!$AB$1:$DN$1,"&gt;="&amp;AH$1,'UX + Dev'!$AB$1:$DN$1,"&lt;="&amp;EOMONTH(AH$1,0),'UX + Dev'!$AB2:$DN2,"&lt;&gt;"))</f>
      </c>
      <c r="AI2">
        <f>IF($B2="",0,COUNTIFS('UX + Dev'!$AB$1:$DN$1,"&gt;="&amp;AI$1,'UX + Dev'!$AB$1:$DN$1,"&lt;="&amp;EOMONTH(AI$1,0),'UX + Dev'!$AB2:$DN2,"&lt;&gt;"))</f>
      </c>
      <c r="AJ2">
        <f>IF($B2="",0,COUNTIFS('UX + Dev'!$AB$1:$DN$1,"&gt;="&amp;AJ$1,'UX + Dev'!$AB$1:$DN$1,"&lt;="&amp;EOMONTH(AJ$1,0),'UX + Dev'!$AB2:$DN2,"&lt;&gt;"))</f>
      </c>
      <c r="AK2">
        <f>IF($B2="",0,COUNTIFS('UX + Dev'!$AB$1:$DN$1,"&gt;="&amp;AK$1,'UX + Dev'!$AB$1:$DN$1,"&lt;="&amp;EOMONTH(AK$1,0),'UX + Dev'!$AB2:$DN2,"&lt;&gt;"))</f>
      </c>
      <c r="AL2">
        <f>IF($B2="",0,COUNTIFS('UX + Dev'!$AB$1:$DN$1,"&gt;="&amp;AL$1,'UX + Dev'!$AB$1:$DN$1,"&lt;="&amp;EOMONTH(AL$1,0),'UX + Dev'!$AB2:$DN2,"&lt;&gt;"))</f>
      </c>
      <c r="AM2">
        <f>IF($B2="",0,COUNTIFS('UX + Dev'!$AB$1:$DN$1,"&gt;="&amp;AM$1,'UX + Dev'!$AB$1:$DN$1,"&lt;="&amp;EOMONTH(AM$1,0),'UX + Dev'!$AB2:$DN2,"&lt;&gt;"))</f>
      </c>
      <c r="AN2">
        <f>IF($B2="",0,COUNTIFS('UX + Dev'!$AB$1:$DN$1,"&gt;="&amp;AN$1,'UX + Dev'!$AB$1:$DN$1,"&lt;="&amp;EOMONTH(AN$1,0),'UX + Dev'!$AB2:$DN2,"&lt;&gt;"))</f>
      </c>
      <c r="AO2">
        <f>IF($B2="",0,COUNTIFS('UX + Dev'!$AB$1:$DN$1,"&gt;="&amp;AO$1,'UX + Dev'!$AB$1:$DN$1,"&lt;="&amp;EOMONTH(AO$1,0),'UX + Dev'!$AB2:$DN2,"&lt;&gt;"))</f>
      </c>
      <c r="AP2">
        <f>IF($B2="",0,COUNTIFS('UX + Dev'!$AB$1:$DN$1,"&gt;="&amp;AP$1,'UX + Dev'!$AB$1:$DN$1,"&lt;="&amp;EOMONTH(AP$1,0),'UX + Dev'!$AB2:$DN2,"&lt;&gt;"))</f>
      </c>
      <c r="AQ2">
        <f>IF($B2="",0,COUNTIFS('UX + Dev'!$AB$1:$DN$1,"&gt;="&amp;AQ$1,'UX + Dev'!$AB$1:$DN$1,"&lt;="&amp;EOMONTH(AQ$1,0),'UX + Dev'!$AB2:$DN2,"&lt;&gt;"))</f>
      </c>
      <c r="AR2">
        <f>IF($B2="",0,COUNTIFS('UX + Dev'!$AB$1:$DN$1,"&gt;="&amp;AR$1,'UX + Dev'!$AB$1:$DN$1,"&lt;="&amp;EOMONTH(AR$1,0),'UX + Dev'!$AB2:$DN2,"&lt;&gt;"))</f>
      </c>
      <c r="AS2">
        <f>IF($B2="",0,COUNTIFS('UX + Dev'!$AB$1:$DN$1,"&gt;="&amp;AS$1,'UX + Dev'!$AB$1:$DN$1,"&lt;="&amp;EOMONTH(AS$1,0),'UX + Dev'!$AB2:$DN2,"&lt;&gt;"))</f>
      </c>
      <c r="AT2">
        <f>IF($B2="",0,COUNTIFS('UX + Dev'!$AB$1:$DN$1,"&gt;="&amp;AT$1,'UX + Dev'!$AB$1:$DN$1,"&lt;="&amp;EOMONTH(AT$1,0),'UX + Dev'!$AB2:$DN2,"&lt;&gt;"))</f>
      </c>
      <c r="AU2">
        <f>IF($B2="",0,COUNTIFS('UX + Dev'!$AB$1:$DN$1,"&gt;="&amp;AU$1,'UX + Dev'!$AB$1:$DN$1,"&lt;="&amp;EOMONTH(AU$1,0),'UX + Dev'!$AB2:$DN2,"&lt;&gt;"))</f>
      </c>
      <c r="AV2">
        <f>IF($B2="",0,COUNTIFS('UX + Dev'!$AB$1:$DN$1,"&gt;="&amp;AV$1,'UX + Dev'!$AB$1:$DN$1,"&lt;="&amp;EOMONTH(AV$1,0),'UX + Dev'!$AB2:$DN2,"&lt;&gt;"))</f>
      </c>
      <c r="AW2">
        <f>IF($B2="",0,COUNTIFS('UX + Dev'!$AB$1:$DN$1,"&gt;="&amp;AW$1,'UX + Dev'!$AB$1:$DN$1,"&lt;="&amp;EOMONTH(AW$1,0),'UX + Dev'!$AB2:$DN2,"&lt;&gt;"))</f>
      </c>
      <c r="AX2">
        <f>IF($B2="",0,COUNTIFS('UX + Dev'!$AB$1:$DN$1,"&gt;="&amp;AX$1,'UX + Dev'!$AB$1:$DN$1,"&lt;="&amp;EOMONTH(AX$1,0),'UX + Dev'!$AB2:$DN2,"&lt;&gt;"))</f>
      </c>
      <c r="BB2" s="308">
        <f>IF($B2="","",IF(COUNTA('UX + Dev'!U2)&gt;0,DATE(YEAR('UX + Dev'!U2),MONTH('UX + Dev'!U2),1),IF(COUNTA('UX + Dev'!V2)&gt;0,DATE(YEAR('UX + Dev'!V2),MONTH('UX + Dev'!V2),1),"")))</f>
      </c>
      <c r="BC2" s="308">
        <f>IF($B2="","",IF(COUNTA('UX + Dev'!V2)&gt;0,EOMONTH('UX + Dev'!V2,0),IF(COUNTA('UX + Dev'!U2)&gt;0,EOMONTH('UX + Dev'!U2,0),"")))</f>
      </c>
    </row>
    <row r="3">
      <c r="A3" s="305" t="n">
        <v>3</v>
      </c>
      <c r="B3" s="305">
        <f>IF(TRIM('UX + Dev'!E3)="","",TRIM('UX + Dev'!E3))</f>
      </c>
      <c r="C3" s="305">
        <f>IF($B3="","",'UX + Dev'!B3)</f>
      </c>
      <c r="D3" s="305">
        <f>IF($B3="","",IF(TRIM('UX + Dev'!C3)="","(No theme assigned)",TRIM('UX + Dev'!C3)))</f>
      </c>
      <c r="E3" s="305">
        <f>IF($B3="","",TRIM('UX + Dev'!F3))</f>
      </c>
      <c r="F3" s="305">
        <f>IF($B3="","",'UX + Dev'!G3)</f>
      </c>
      <c r="G3" s="306">
        <f t="array" ref="G3">IF($B3="","",IF($T3=0,"",IFERROR(MIN(IF('UX + Dev'!$AB3:$DN3&lt;&gt;"",'UX + Dev'!$AB$1:$DN$1)),"")))</f>
      </c>
      <c r="H3" s="306">
        <f t="array" ref="H3">IF($B3="","",IF($T3=0,"",IFERROR(MAX(IF('UX + Dev'!$AB3:$DN3&lt;&gt;"",'UX + Dev'!$AB$1:$DN$1)),"")))</f>
      </c>
      <c r="I3" s="307">
        <f>IF($R3&lt;&gt;"",$R3,IF($S3&lt;&gt;"",$S3,""))</f>
      </c>
      <c r="J3" s="307">
        <f>IF($S3&lt;&gt;"",EOMONTH($S3,0),IF($R3&lt;&gt;"",EOMONTH($R3,0),""))</f>
      </c>
      <c r="K3" s="305">
        <f>IF($B3="","",IF(COUNTA('UX + Dev'!AA3)=0,"",TRIM('UX + Dev'!AA3)))</f>
      </c>
      <c r="L3" s="305">
        <f>IF($B3="","",IFERROR(MATCH($D3,Control!$E$4:$E$30,0),99))</f>
      </c>
      <c r="M3" s="305">
        <f>IF($B3="","",IFERROR(MATCH($F3,Control!$B$4:$B$30,0),99))</f>
      </c>
      <c r="N3" s="305">
        <f>IF($V3&lt;&gt;1,"",IF('Roadmap (Auto)'!$D$3="Status, then Theme",$M3*1000000+$L3*10000+ROW(),IF('Roadmap (Auto)'!$D$3="Dev start (earliest)",IF($I3="",99999999,$I3)*10000+ROW(),IF('Roadmap (Auto)'!$D$3="UX start (earliest)",IF($G3="",99999999,$G3)*10000+ROW(),IF('Roadmap (Auto)'!$D$3="Deliverable A-Z",$W3*10000+ROW(),$L3*1000000+$M3*10000+ROW())))))</f>
      </c>
      <c r="O3" s="305">
        <f>IF($N3="","",COUNTIF($N$2:$N$151,"&lt;"&amp;$N3)+1)</f>
      </c>
      <c r="P3" s="305">
        <f>IF($B3="","",IF(COUNTA('UX + Dev'!X3)=0,"",'UX + Dev'!X3))</f>
      </c>
      <c r="Q3" s="305">
        <f>IF($B3="","",IF(COUNTA('UX + Dev'!Y3)=0,"",'UX + Dev'!Y3))</f>
      </c>
      <c r="R3" s="307">
        <f>IF($P3="","",IF(ISNUMBER($P3),DATE(YEAR($P3),MONTH($P3),1),IFERROR(DATE(IFERROR(VALUE(RIGHT(TRIM($P3),4)),YEAR(TODAY())),(SEARCH(LEFT(TRIM($P3),3),"JanFebMarAprMayJunJulAugSepOctNovDec")+2)/3,1),"")))</f>
      </c>
      <c r="S3" s="307">
        <f>IF($Q3="","",IF(ISNUMBER($Q3),DATE(YEAR($Q3),MONTH($Q3),1),IFERROR(DATE(IFERROR(VALUE(RIGHT(TRIM($Q3),4)),YEAR(TODAY())),(SEARCH(LEFT(TRIM($Q3),3),"JanFebMarAprMayJunJulAugSepOctNovDec")+2)/3,1),"")))</f>
      </c>
      <c r="T3" s="305">
        <f>IF($B3="","",COUNTA('UX + Dev'!$AB3:$DN3))</f>
      </c>
      <c r="U3" s="305">
        <f>IF($B3="","",IFERROR(MATCH($D3,Control!$E$4:$E$30,0)+3,0))</f>
      </c>
      <c r="V3" s="305">
        <f>IF($B3="","",IF(AND(OR('Roadmap (Auto)'!$A$3="",'Roadmap (Auto)'!$A$3="(All)",ISNUMBER(SEARCH('Roadmap (Auto)'!$A$3,$C3&amp;""))),OR('Roadmap (Auto)'!$B$3="",'Roadmap (Auto)'!$B$3="(All)",$D3='Roadmap (Auto)'!$B$3,$X3='Roadmap (Auto)'!$B$3),OR('Roadmap (Auto)'!$C$3="",'Roadmap (Auto)'!$C$3="(All)",$F3='Roadmap (Auto)'!$C$3)),1,0))</f>
      </c>
      <c r="W3" s="305">
        <f>IF($B3="","",COUNTIF($Y$2:$Y$151,"&lt;"&amp;$Y3)+1)</f>
      </c>
      <c r="X3" s="305">
        <f>IF($B3="","",IF(TRIM('UX + Dev'!D3)="","",TRIM('UX + Dev'!D3)))</f>
      </c>
      <c r="Y3" s="305">
        <f>IF($B3="","",SUBSTITUTE(SUBSTITUTE(SUBSTITUTE(SUBSTITUTE(SUBSTITUTE(SUBSTITUTE(SUBSTITUTE(SUBSTITUTE(SUBSTITUTE(SUBSTITUTE(SUBSTITUTE(SUBSTITUTE(SUBSTITUTE(SUBSTITUTE(SUBSTITUTE(SUBSTITUTE(SUBSTITUTE(SUBSTITUTE(SUBSTITUTE(SUBSTITUTE(SUBSTITUTE(SUBSTITUTE(SUBSTITUTE(SUBSTITUTE(SUBSTITUTE(UPPER($B3)," ",""),"-",""),":",""),"/",""),"&amp;",""),"|",""),"'",""),"’",""),"&lt;",""),"&gt;",""),",",""),"$",""),".",""),"(",""),")",""),"*",""),"?",""),"~",""),"_",""),"+",""),"#",""),";",""),"!",""),"%",""),"@",""))</f>
      </c>
      <c r="AA3">
        <f>IF($B3="",0,COUNTIFS('UX + Dev'!$AB$1:$DN$1,"&gt;="&amp;AA$1,'UX + Dev'!$AB$1:$DN$1,"&lt;="&amp;EOMONTH(AA$1,0),'UX + Dev'!$AB3:$DN3,"&lt;&gt;"))</f>
      </c>
      <c r="AB3">
        <f>IF($B3="",0,COUNTIFS('UX + Dev'!$AB$1:$DN$1,"&gt;="&amp;AB$1,'UX + Dev'!$AB$1:$DN$1,"&lt;="&amp;EOMONTH(AB$1,0),'UX + Dev'!$AB3:$DN3,"&lt;&gt;"))</f>
      </c>
      <c r="AC3">
        <f>IF($B3="",0,COUNTIFS('UX + Dev'!$AB$1:$DN$1,"&gt;="&amp;AC$1,'UX + Dev'!$AB$1:$DN$1,"&lt;="&amp;EOMONTH(AC$1,0),'UX + Dev'!$AB3:$DN3,"&lt;&gt;"))</f>
      </c>
      <c r="AD3">
        <f>IF($B3="",0,COUNTIFS('UX + Dev'!$AB$1:$DN$1,"&gt;="&amp;AD$1,'UX + Dev'!$AB$1:$DN$1,"&lt;="&amp;EOMONTH(AD$1,0),'UX + Dev'!$AB3:$DN3,"&lt;&gt;"))</f>
      </c>
      <c r="AE3">
        <f>IF($B3="",0,COUNTIFS('UX + Dev'!$AB$1:$DN$1,"&gt;="&amp;AE$1,'UX + Dev'!$AB$1:$DN$1,"&lt;="&amp;EOMONTH(AE$1,0),'UX + Dev'!$AB3:$DN3,"&lt;&gt;"))</f>
      </c>
      <c r="AF3">
        <f>IF($B3="",0,COUNTIFS('UX + Dev'!$AB$1:$DN$1,"&gt;="&amp;AF$1,'UX + Dev'!$AB$1:$DN$1,"&lt;="&amp;EOMONTH(AF$1,0),'UX + Dev'!$AB3:$DN3,"&lt;&gt;"))</f>
      </c>
      <c r="AG3">
        <f>IF($B3="",0,COUNTIFS('UX + Dev'!$AB$1:$DN$1,"&gt;="&amp;AG$1,'UX + Dev'!$AB$1:$DN$1,"&lt;="&amp;EOMONTH(AG$1,0),'UX + Dev'!$AB3:$DN3,"&lt;&gt;"))</f>
      </c>
      <c r="AH3">
        <f>IF($B3="",0,COUNTIFS('UX + Dev'!$AB$1:$DN$1,"&gt;="&amp;AH$1,'UX + Dev'!$AB$1:$DN$1,"&lt;="&amp;EOMONTH(AH$1,0),'UX + Dev'!$AB3:$DN3,"&lt;&gt;"))</f>
      </c>
      <c r="AI3">
        <f>IF($B3="",0,COUNTIFS('UX + Dev'!$AB$1:$DN$1,"&gt;="&amp;AI$1,'UX + Dev'!$AB$1:$DN$1,"&lt;="&amp;EOMONTH(AI$1,0),'UX + Dev'!$AB3:$DN3,"&lt;&gt;"))</f>
      </c>
      <c r="AJ3">
        <f>IF($B3="",0,COUNTIFS('UX + Dev'!$AB$1:$DN$1,"&gt;="&amp;AJ$1,'UX + Dev'!$AB$1:$DN$1,"&lt;="&amp;EOMONTH(AJ$1,0),'UX + Dev'!$AB3:$DN3,"&lt;&gt;"))</f>
      </c>
      <c r="AK3">
        <f>IF($B3="",0,COUNTIFS('UX + Dev'!$AB$1:$DN$1,"&gt;="&amp;AK$1,'UX + Dev'!$AB$1:$DN$1,"&lt;="&amp;EOMONTH(AK$1,0),'UX + Dev'!$AB3:$DN3,"&lt;&gt;"))</f>
      </c>
      <c r="AL3">
        <f>IF($B3="",0,COUNTIFS('UX + Dev'!$AB$1:$DN$1,"&gt;="&amp;AL$1,'UX + Dev'!$AB$1:$DN$1,"&lt;="&amp;EOMONTH(AL$1,0),'UX + Dev'!$AB3:$DN3,"&lt;&gt;"))</f>
      </c>
      <c r="AM3">
        <f>IF($B3="",0,COUNTIFS('UX + Dev'!$AB$1:$DN$1,"&gt;="&amp;AM$1,'UX + Dev'!$AB$1:$DN$1,"&lt;="&amp;EOMONTH(AM$1,0),'UX + Dev'!$AB3:$DN3,"&lt;&gt;"))</f>
      </c>
      <c r="AN3">
        <f>IF($B3="",0,COUNTIFS('UX + Dev'!$AB$1:$DN$1,"&gt;="&amp;AN$1,'UX + Dev'!$AB$1:$DN$1,"&lt;="&amp;EOMONTH(AN$1,0),'UX + Dev'!$AB3:$DN3,"&lt;&gt;"))</f>
      </c>
      <c r="AO3">
        <f>IF($B3="",0,COUNTIFS('UX + Dev'!$AB$1:$DN$1,"&gt;="&amp;AO$1,'UX + Dev'!$AB$1:$DN$1,"&lt;="&amp;EOMONTH(AO$1,0),'UX + Dev'!$AB3:$DN3,"&lt;&gt;"))</f>
      </c>
      <c r="AP3">
        <f>IF($B3="",0,COUNTIFS('UX + Dev'!$AB$1:$DN$1,"&gt;="&amp;AP$1,'UX + Dev'!$AB$1:$DN$1,"&lt;="&amp;EOMONTH(AP$1,0),'UX + Dev'!$AB3:$DN3,"&lt;&gt;"))</f>
      </c>
      <c r="AQ3">
        <f>IF($B3="",0,COUNTIFS('UX + Dev'!$AB$1:$DN$1,"&gt;="&amp;AQ$1,'UX + Dev'!$AB$1:$DN$1,"&lt;="&amp;EOMONTH(AQ$1,0),'UX + Dev'!$AB3:$DN3,"&lt;&gt;"))</f>
      </c>
      <c r="AR3">
        <f>IF($B3="",0,COUNTIFS('UX + Dev'!$AB$1:$DN$1,"&gt;="&amp;AR$1,'UX + Dev'!$AB$1:$DN$1,"&lt;="&amp;EOMONTH(AR$1,0),'UX + Dev'!$AB3:$DN3,"&lt;&gt;"))</f>
      </c>
      <c r="AS3">
        <f>IF($B3="",0,COUNTIFS('UX + Dev'!$AB$1:$DN$1,"&gt;="&amp;AS$1,'UX + Dev'!$AB$1:$DN$1,"&lt;="&amp;EOMONTH(AS$1,0),'UX + Dev'!$AB3:$DN3,"&lt;&gt;"))</f>
      </c>
      <c r="AT3">
        <f>IF($B3="",0,COUNTIFS('UX + Dev'!$AB$1:$DN$1,"&gt;="&amp;AT$1,'UX + Dev'!$AB$1:$DN$1,"&lt;="&amp;EOMONTH(AT$1,0),'UX + Dev'!$AB3:$DN3,"&lt;&gt;"))</f>
      </c>
      <c r="AU3">
        <f>IF($B3="",0,COUNTIFS('UX + Dev'!$AB$1:$DN$1,"&gt;="&amp;AU$1,'UX + Dev'!$AB$1:$DN$1,"&lt;="&amp;EOMONTH(AU$1,0),'UX + Dev'!$AB3:$DN3,"&lt;&gt;"))</f>
      </c>
      <c r="AV3">
        <f>IF($B3="",0,COUNTIFS('UX + Dev'!$AB$1:$DN$1,"&gt;="&amp;AV$1,'UX + Dev'!$AB$1:$DN$1,"&lt;="&amp;EOMONTH(AV$1,0),'UX + Dev'!$AB3:$DN3,"&lt;&gt;"))</f>
      </c>
      <c r="AW3">
        <f>IF($B3="",0,COUNTIFS('UX + Dev'!$AB$1:$DN$1,"&gt;="&amp;AW$1,'UX + Dev'!$AB$1:$DN$1,"&lt;="&amp;EOMONTH(AW$1,0),'UX + Dev'!$AB3:$DN3,"&lt;&gt;"))</f>
      </c>
      <c r="AX3">
        <f>IF($B3="",0,COUNTIFS('UX + Dev'!$AB$1:$DN$1,"&gt;="&amp;AX$1,'UX + Dev'!$AB$1:$DN$1,"&lt;="&amp;EOMONTH(AX$1,0),'UX + Dev'!$AB3:$DN3,"&lt;&gt;"))</f>
      </c>
      <c r="AZ3" s="309" t="inlineStr">
        <is>
          <t>Theme detail — drives the panel on Roadmap (Auto)</t>
        </is>
      </c>
      <c r="BA3" s="265" t="n"/>
      <c r="BB3" s="308">
        <f>IF($B3="","",IF(COUNTA('UX + Dev'!U3)&gt;0,DATE(YEAR('UX + Dev'!U3),MONTH('UX + Dev'!U3),1),IF(COUNTA('UX + Dev'!V3)&gt;0,DATE(YEAR('UX + Dev'!V3),MONTH('UX + Dev'!V3),1),"")))</f>
      </c>
      <c r="BC3" s="308">
        <f>IF($B3="","",IF(COUNTA('UX + Dev'!V3)&gt;0,EOMONTH('UX + Dev'!V3,0),IF(COUNTA('UX + Dev'!U3)&gt;0,EOMONTH('UX + Dev'!U3,0),"")))</f>
      </c>
    </row>
    <row r="4">
      <c r="A4" s="305" t="n">
        <v>4</v>
      </c>
      <c r="B4" s="305">
        <f>IF(TRIM('UX + Dev'!E4)="","",TRIM('UX + Dev'!E4))</f>
      </c>
      <c r="C4" s="305">
        <f>IF($B4="","",'UX + Dev'!B4)</f>
      </c>
      <c r="D4" s="305">
        <f>IF($B4="","",IF(TRIM('UX + Dev'!C4)="","(No theme assigned)",TRIM('UX + Dev'!C4)))</f>
      </c>
      <c r="E4" s="305">
        <f>IF($B4="","",TRIM('UX + Dev'!F4))</f>
      </c>
      <c r="F4" s="305">
        <f>IF($B4="","",'UX + Dev'!G4)</f>
      </c>
      <c r="G4" s="306">
        <f t="array" ref="G4">IF($B4="","",IF($T4=0,"",IFERROR(MIN(IF('UX + Dev'!$AB4:$DN4&lt;&gt;"",'UX + Dev'!$AB$1:$DN$1)),"")))</f>
      </c>
      <c r="H4" s="306">
        <f t="array" ref="H4">IF($B4="","",IF($T4=0,"",IFERROR(MAX(IF('UX + Dev'!$AB4:$DN4&lt;&gt;"",'UX + Dev'!$AB$1:$DN$1)),"")))</f>
      </c>
      <c r="I4" s="307">
        <f>IF($R4&lt;&gt;"",$R4,IF($S4&lt;&gt;"",$S4,""))</f>
      </c>
      <c r="J4" s="307">
        <f>IF($S4&lt;&gt;"",EOMONTH($S4,0),IF($R4&lt;&gt;"",EOMONTH($R4,0),""))</f>
      </c>
      <c r="K4" s="305">
        <f>IF($B4="","",IF(COUNTA('UX + Dev'!AA4)=0,"",TRIM('UX + Dev'!AA4)))</f>
      </c>
      <c r="L4" s="305">
        <f>IF($B4="","",IFERROR(MATCH($D4,Control!$E$4:$E$30,0),99))</f>
      </c>
      <c r="M4" s="305">
        <f>IF($B4="","",IFERROR(MATCH($F4,Control!$B$4:$B$30,0),99))</f>
      </c>
      <c r="N4" s="305">
        <f>IF($V4&lt;&gt;1,"",IF('Roadmap (Auto)'!$D$3="Status, then Theme",$M4*1000000+$L4*10000+ROW(),IF('Roadmap (Auto)'!$D$3="Dev start (earliest)",IF($I4="",99999999,$I4)*10000+ROW(),IF('Roadmap (Auto)'!$D$3="UX start (earliest)",IF($G4="",99999999,$G4)*10000+ROW(),IF('Roadmap (Auto)'!$D$3="Deliverable A-Z",$W4*10000+ROW(),$L4*1000000+$M4*10000+ROW())))))</f>
      </c>
      <c r="O4" s="305">
        <f>IF($N4="","",COUNTIF($N$2:$N$151,"&lt;"&amp;$N4)+1)</f>
      </c>
      <c r="P4" s="305">
        <f>IF($B4="","",IF(COUNTA('UX + Dev'!X4)=0,"",'UX + Dev'!X4))</f>
      </c>
      <c r="Q4" s="305">
        <f>IF($B4="","",IF(COUNTA('UX + Dev'!Y4)=0,"",'UX + Dev'!Y4))</f>
      </c>
      <c r="R4" s="307">
        <f>IF($P4="","",IF(ISNUMBER($P4),DATE(YEAR($P4),MONTH($P4),1),IFERROR(DATE(IFERROR(VALUE(RIGHT(TRIM($P4),4)),YEAR(TODAY())),(SEARCH(LEFT(TRIM($P4),3),"JanFebMarAprMayJunJulAugSepOctNovDec")+2)/3,1),"")))</f>
      </c>
      <c r="S4" s="307">
        <f>IF($Q4="","",IF(ISNUMBER($Q4),DATE(YEAR($Q4),MONTH($Q4),1),IFERROR(DATE(IFERROR(VALUE(RIGHT(TRIM($Q4),4)),YEAR(TODAY())),(SEARCH(LEFT(TRIM($Q4),3),"JanFebMarAprMayJunJulAugSepOctNovDec")+2)/3,1),"")))</f>
      </c>
      <c r="T4" s="305">
        <f>IF($B4="","",COUNTA('UX + Dev'!$AB4:$DN4))</f>
      </c>
      <c r="U4" s="305">
        <f>IF($B4="","",IFERROR(MATCH($D4,Control!$E$4:$E$30,0)+3,0))</f>
      </c>
      <c r="V4" s="305">
        <f>IF($B4="","",IF(AND(OR('Roadmap (Auto)'!$A$3="",'Roadmap (Auto)'!$A$3="(All)",ISNUMBER(SEARCH('Roadmap (Auto)'!$A$3,$C4&amp;""))),OR('Roadmap (Auto)'!$B$3="",'Roadmap (Auto)'!$B$3="(All)",$D4='Roadmap (Auto)'!$B$3,$X4='Roadmap (Auto)'!$B$3),OR('Roadmap (Auto)'!$C$3="",'Roadmap (Auto)'!$C$3="(All)",$F4='Roadmap (Auto)'!$C$3)),1,0))</f>
      </c>
      <c r="W4" s="305">
        <f>IF($B4="","",COUNTIF($Y$2:$Y$151,"&lt;"&amp;$Y4)+1)</f>
      </c>
      <c r="X4" s="305">
        <f>IF($B4="","",IF(TRIM('UX + Dev'!D4)="","",TRIM('UX + Dev'!D4)))</f>
      </c>
      <c r="Y4" s="305">
        <f>IF($B4="","",SUBSTITUTE(SUBSTITUTE(SUBSTITUTE(SUBSTITUTE(SUBSTITUTE(SUBSTITUTE(SUBSTITUTE(SUBSTITUTE(SUBSTITUTE(SUBSTITUTE(SUBSTITUTE(SUBSTITUTE(SUBSTITUTE(SUBSTITUTE(SUBSTITUTE(SUBSTITUTE(SUBSTITUTE(SUBSTITUTE(SUBSTITUTE(SUBSTITUTE(SUBSTITUTE(SUBSTITUTE(SUBSTITUTE(SUBSTITUTE(SUBSTITUTE(UPPER($B4)," ",""),"-",""),":",""),"/",""),"&amp;",""),"|",""),"'",""),"’",""),"&lt;",""),"&gt;",""),",",""),"$",""),".",""),"(",""),")",""),"*",""),"?",""),"~",""),"_",""),"+",""),"#",""),";",""),"!",""),"%",""),"@",""))</f>
      </c>
      <c r="AA4">
        <f>IF($B4="",0,COUNTIFS('UX + Dev'!$AB$1:$DN$1,"&gt;="&amp;AA$1,'UX + Dev'!$AB$1:$DN$1,"&lt;="&amp;EOMONTH(AA$1,0),'UX + Dev'!$AB4:$DN4,"&lt;&gt;"))</f>
      </c>
      <c r="AB4">
        <f>IF($B4="",0,COUNTIFS('UX + Dev'!$AB$1:$DN$1,"&gt;="&amp;AB$1,'UX + Dev'!$AB$1:$DN$1,"&lt;="&amp;EOMONTH(AB$1,0),'UX + Dev'!$AB4:$DN4,"&lt;&gt;"))</f>
      </c>
      <c r="AC4">
        <f>IF($B4="",0,COUNTIFS('UX + Dev'!$AB$1:$DN$1,"&gt;="&amp;AC$1,'UX + Dev'!$AB$1:$DN$1,"&lt;="&amp;EOMONTH(AC$1,0),'UX + Dev'!$AB4:$DN4,"&lt;&gt;"))</f>
      </c>
      <c r="AD4">
        <f>IF($B4="",0,COUNTIFS('UX + Dev'!$AB$1:$DN$1,"&gt;="&amp;AD$1,'UX + Dev'!$AB$1:$DN$1,"&lt;="&amp;EOMONTH(AD$1,0),'UX + Dev'!$AB4:$DN4,"&lt;&gt;"))</f>
      </c>
      <c r="AE4">
        <f>IF($B4="",0,COUNTIFS('UX + Dev'!$AB$1:$DN$1,"&gt;="&amp;AE$1,'UX + Dev'!$AB$1:$DN$1,"&lt;="&amp;EOMONTH(AE$1,0),'UX + Dev'!$AB4:$DN4,"&lt;&gt;"))</f>
      </c>
      <c r="AF4">
        <f>IF($B4="",0,COUNTIFS('UX + Dev'!$AB$1:$DN$1,"&gt;="&amp;AF$1,'UX + Dev'!$AB$1:$DN$1,"&lt;="&amp;EOMONTH(AF$1,0),'UX + Dev'!$AB4:$DN4,"&lt;&gt;"))</f>
      </c>
      <c r="AG4">
        <f>IF($B4="",0,COUNTIFS('UX + Dev'!$AB$1:$DN$1,"&gt;="&amp;AG$1,'UX + Dev'!$AB$1:$DN$1,"&lt;="&amp;EOMONTH(AG$1,0),'UX + Dev'!$AB4:$DN4,"&lt;&gt;"))</f>
      </c>
      <c r="AH4">
        <f>IF($B4="",0,COUNTIFS('UX + Dev'!$AB$1:$DN$1,"&gt;="&amp;AH$1,'UX + Dev'!$AB$1:$DN$1,"&lt;="&amp;EOMONTH(AH$1,0),'UX + Dev'!$AB4:$DN4,"&lt;&gt;"))</f>
      </c>
      <c r="AI4">
        <f>IF($B4="",0,COUNTIFS('UX + Dev'!$AB$1:$DN$1,"&gt;="&amp;AI$1,'UX + Dev'!$AB$1:$DN$1,"&lt;="&amp;EOMONTH(AI$1,0),'UX + Dev'!$AB4:$DN4,"&lt;&gt;"))</f>
      </c>
      <c r="AJ4">
        <f>IF($B4="",0,COUNTIFS('UX + Dev'!$AB$1:$DN$1,"&gt;="&amp;AJ$1,'UX + Dev'!$AB$1:$DN$1,"&lt;="&amp;EOMONTH(AJ$1,0),'UX + Dev'!$AB4:$DN4,"&lt;&gt;"))</f>
      </c>
      <c r="AK4">
        <f>IF($B4="",0,COUNTIFS('UX + Dev'!$AB$1:$DN$1,"&gt;="&amp;AK$1,'UX + Dev'!$AB$1:$DN$1,"&lt;="&amp;EOMONTH(AK$1,0),'UX + Dev'!$AB4:$DN4,"&lt;&gt;"))</f>
      </c>
      <c r="AL4">
        <f>IF($B4="",0,COUNTIFS('UX + Dev'!$AB$1:$DN$1,"&gt;="&amp;AL$1,'UX + Dev'!$AB$1:$DN$1,"&lt;="&amp;EOMONTH(AL$1,0),'UX + Dev'!$AB4:$DN4,"&lt;&gt;"))</f>
      </c>
      <c r="AM4">
        <f>IF($B4="",0,COUNTIFS('UX + Dev'!$AB$1:$DN$1,"&gt;="&amp;AM$1,'UX + Dev'!$AB$1:$DN$1,"&lt;="&amp;EOMONTH(AM$1,0),'UX + Dev'!$AB4:$DN4,"&lt;&gt;"))</f>
      </c>
      <c r="AN4">
        <f>IF($B4="",0,COUNTIFS('UX + Dev'!$AB$1:$DN$1,"&gt;="&amp;AN$1,'UX + Dev'!$AB$1:$DN$1,"&lt;="&amp;EOMONTH(AN$1,0),'UX + Dev'!$AB4:$DN4,"&lt;&gt;"))</f>
      </c>
      <c r="AO4">
        <f>IF($B4="",0,COUNTIFS('UX + Dev'!$AB$1:$DN$1,"&gt;="&amp;AO$1,'UX + Dev'!$AB$1:$DN$1,"&lt;="&amp;EOMONTH(AO$1,0),'UX + Dev'!$AB4:$DN4,"&lt;&gt;"))</f>
      </c>
      <c r="AP4">
        <f>IF($B4="",0,COUNTIFS('UX + Dev'!$AB$1:$DN$1,"&gt;="&amp;AP$1,'UX + Dev'!$AB$1:$DN$1,"&lt;="&amp;EOMONTH(AP$1,0),'UX + Dev'!$AB4:$DN4,"&lt;&gt;"))</f>
      </c>
      <c r="AQ4">
        <f>IF($B4="",0,COUNTIFS('UX + Dev'!$AB$1:$DN$1,"&gt;="&amp;AQ$1,'UX + Dev'!$AB$1:$DN$1,"&lt;="&amp;EOMONTH(AQ$1,0),'UX + Dev'!$AB4:$DN4,"&lt;&gt;"))</f>
      </c>
      <c r="AR4">
        <f>IF($B4="",0,COUNTIFS('UX + Dev'!$AB$1:$DN$1,"&gt;="&amp;AR$1,'UX + Dev'!$AB$1:$DN$1,"&lt;="&amp;EOMONTH(AR$1,0),'UX + Dev'!$AB4:$DN4,"&lt;&gt;"))</f>
      </c>
      <c r="AS4">
        <f>IF($B4="",0,COUNTIFS('UX + Dev'!$AB$1:$DN$1,"&gt;="&amp;AS$1,'UX + Dev'!$AB$1:$DN$1,"&lt;="&amp;EOMONTH(AS$1,0),'UX + Dev'!$AB4:$DN4,"&lt;&gt;"))</f>
      </c>
      <c r="AT4">
        <f>IF($B4="",0,COUNTIFS('UX + Dev'!$AB$1:$DN$1,"&gt;="&amp;AT$1,'UX + Dev'!$AB$1:$DN$1,"&lt;="&amp;EOMONTH(AT$1,0),'UX + Dev'!$AB4:$DN4,"&lt;&gt;"))</f>
      </c>
      <c r="AU4">
        <f>IF($B4="",0,COUNTIFS('UX + Dev'!$AB$1:$DN$1,"&gt;="&amp;AU$1,'UX + Dev'!$AB$1:$DN$1,"&lt;="&amp;EOMONTH(AU$1,0),'UX + Dev'!$AB4:$DN4,"&lt;&gt;"))</f>
      </c>
      <c r="AV4">
        <f>IF($B4="",0,COUNTIFS('UX + Dev'!$AB$1:$DN$1,"&gt;="&amp;AV$1,'UX + Dev'!$AB$1:$DN$1,"&lt;="&amp;EOMONTH(AV$1,0),'UX + Dev'!$AB4:$DN4,"&lt;&gt;"))</f>
      </c>
      <c r="AW4">
        <f>IF($B4="",0,COUNTIFS('UX + Dev'!$AB$1:$DN$1,"&gt;="&amp;AW$1,'UX + Dev'!$AB$1:$DN$1,"&lt;="&amp;EOMONTH(AW$1,0),'UX + Dev'!$AB4:$DN4,"&lt;&gt;"))</f>
      </c>
      <c r="AX4">
        <f>IF($B4="",0,COUNTIFS('UX + Dev'!$AB$1:$DN$1,"&gt;="&amp;AX$1,'UX + Dev'!$AB$1:$DN$1,"&lt;="&amp;EOMONTH(AX$1,0),'UX + Dev'!$AB4:$DN4,"&lt;&gt;"))</f>
      </c>
      <c r="AZ4" s="309" t="inlineStr">
        <is>
          <t>Control row</t>
        </is>
      </c>
      <c r="BA4" s="265">
        <f>IFERROR(MATCH('Roadmap (Auto)'!$B$3,Control!$E$4:$E$30,0),0)</f>
      </c>
      <c r="BB4" s="308">
        <f>IF($B4="","",IF(COUNTA('UX + Dev'!U4)&gt;0,DATE(YEAR('UX + Dev'!U4),MONTH('UX + Dev'!U4),1),IF(COUNTA('UX + Dev'!V4)&gt;0,DATE(YEAR('UX + Dev'!V4),MONTH('UX + Dev'!V4),1),"")))</f>
      </c>
      <c r="BC4" s="308">
        <f>IF($B4="","",IF(COUNTA('UX + Dev'!V4)&gt;0,EOMONTH('UX + Dev'!V4,0),IF(COUNTA('UX + Dev'!U4)&gt;0,EOMONTH('UX + Dev'!U4,0),"")))</f>
      </c>
    </row>
    <row r="5">
      <c r="A5" s="305" t="n">
        <v>5</v>
      </c>
      <c r="B5" s="305">
        <f>IF(TRIM('UX + Dev'!E5)="","",TRIM('UX + Dev'!E5))</f>
      </c>
      <c r="C5" s="305">
        <f>IF($B5="","",'UX + Dev'!B5)</f>
      </c>
      <c r="D5" s="305">
        <f>IF($B5="","",IF(TRIM('UX + Dev'!C5)="","(No theme assigned)",TRIM('UX + Dev'!C5)))</f>
      </c>
      <c r="E5" s="305">
        <f>IF($B5="","",TRIM('UX + Dev'!F5))</f>
      </c>
      <c r="F5" s="305">
        <f>IF($B5="","",'UX + Dev'!G5)</f>
      </c>
      <c r="G5" s="306">
        <f t="array" ref="G5">IF($B5="","",IF($T5=0,"",IFERROR(MIN(IF('UX + Dev'!$AB5:$DN5&lt;&gt;"",'UX + Dev'!$AB$1:$DN$1)),"")))</f>
      </c>
      <c r="H5" s="306">
        <f t="array" ref="H5">IF($B5="","",IF($T5=0,"",IFERROR(MAX(IF('UX + Dev'!$AB5:$DN5&lt;&gt;"",'UX + Dev'!$AB$1:$DN$1)),"")))</f>
      </c>
      <c r="I5" s="307">
        <f>IF($R5&lt;&gt;"",$R5,IF($S5&lt;&gt;"",$S5,""))</f>
      </c>
      <c r="J5" s="307">
        <f>IF($S5&lt;&gt;"",EOMONTH($S5,0),IF($R5&lt;&gt;"",EOMONTH($R5,0),""))</f>
      </c>
      <c r="K5" s="305">
        <f>IF($B5="","",IF(COUNTA('UX + Dev'!AA5)=0,"",TRIM('UX + Dev'!AA5)))</f>
      </c>
      <c r="L5" s="305">
        <f>IF($B5="","",IFERROR(MATCH($D5,Control!$E$4:$E$30,0),99))</f>
      </c>
      <c r="M5" s="305">
        <f>IF($B5="","",IFERROR(MATCH($F5,Control!$B$4:$B$30,0),99))</f>
      </c>
      <c r="N5" s="305">
        <f>IF($V5&lt;&gt;1,"",IF('Roadmap (Auto)'!$D$3="Status, then Theme",$M5*1000000+$L5*10000+ROW(),IF('Roadmap (Auto)'!$D$3="Dev start (earliest)",IF($I5="",99999999,$I5)*10000+ROW(),IF('Roadmap (Auto)'!$D$3="UX start (earliest)",IF($G5="",99999999,$G5)*10000+ROW(),IF('Roadmap (Auto)'!$D$3="Deliverable A-Z",$W5*10000+ROW(),$L5*1000000+$M5*10000+ROW())))))</f>
      </c>
      <c r="O5" s="305">
        <f>IF($N5="","",COUNTIF($N$2:$N$151,"&lt;"&amp;$N5)+1)</f>
      </c>
      <c r="P5" s="305">
        <f>IF($B5="","",IF(COUNTA('UX + Dev'!X5)=0,"",'UX + Dev'!X5))</f>
      </c>
      <c r="Q5" s="305">
        <f>IF($B5="","",IF(COUNTA('UX + Dev'!Y5)=0,"",'UX + Dev'!Y5))</f>
      </c>
      <c r="R5" s="307">
        <f>IF($P5="","",IF(ISNUMBER($P5),DATE(YEAR($P5),MONTH($P5),1),IFERROR(DATE(IFERROR(VALUE(RIGHT(TRIM($P5),4)),YEAR(TODAY())),(SEARCH(LEFT(TRIM($P5),3),"JanFebMarAprMayJunJulAugSepOctNovDec")+2)/3,1),"")))</f>
      </c>
      <c r="S5" s="307">
        <f>IF($Q5="","",IF(ISNUMBER($Q5),DATE(YEAR($Q5),MONTH($Q5),1),IFERROR(DATE(IFERROR(VALUE(RIGHT(TRIM($Q5),4)),YEAR(TODAY())),(SEARCH(LEFT(TRIM($Q5),3),"JanFebMarAprMayJunJulAugSepOctNovDec")+2)/3,1),"")))</f>
      </c>
      <c r="T5" s="305">
        <f>IF($B5="","",COUNTA('UX + Dev'!$AB5:$DN5))</f>
      </c>
      <c r="U5" s="305">
        <f>IF($B5="","",IFERROR(MATCH($D5,Control!$E$4:$E$30,0)+3,0))</f>
      </c>
      <c r="V5" s="305">
        <f>IF($B5="","",IF(AND(OR('Roadmap (Auto)'!$A$3="",'Roadmap (Auto)'!$A$3="(All)",ISNUMBER(SEARCH('Roadmap (Auto)'!$A$3,$C5&amp;""))),OR('Roadmap (Auto)'!$B$3="",'Roadmap (Auto)'!$B$3="(All)",$D5='Roadmap (Auto)'!$B$3,$X5='Roadmap (Auto)'!$B$3),OR('Roadmap (Auto)'!$C$3="",'Roadmap (Auto)'!$C$3="(All)",$F5='Roadmap (Auto)'!$C$3)),1,0))</f>
      </c>
      <c r="W5" s="305">
        <f>IF($B5="","",COUNTIF($Y$2:$Y$151,"&lt;"&amp;$Y5)+1)</f>
      </c>
      <c r="X5" s="305">
        <f>IF($B5="","",IF(TRIM('UX + Dev'!D5)="","",TRIM('UX + Dev'!D5)))</f>
      </c>
      <c r="Y5" s="305">
        <f>IF($B5="","",SUBSTITUTE(SUBSTITUTE(SUBSTITUTE(SUBSTITUTE(SUBSTITUTE(SUBSTITUTE(SUBSTITUTE(SUBSTITUTE(SUBSTITUTE(SUBSTITUTE(SUBSTITUTE(SUBSTITUTE(SUBSTITUTE(SUBSTITUTE(SUBSTITUTE(SUBSTITUTE(SUBSTITUTE(SUBSTITUTE(SUBSTITUTE(SUBSTITUTE(SUBSTITUTE(SUBSTITUTE(SUBSTITUTE(SUBSTITUTE(SUBSTITUTE(UPPER($B5)," ",""),"-",""),":",""),"/",""),"&amp;",""),"|",""),"'",""),"’",""),"&lt;",""),"&gt;",""),",",""),"$",""),".",""),"(",""),")",""),"*",""),"?",""),"~",""),"_",""),"+",""),"#",""),";",""),"!",""),"%",""),"@",""))</f>
      </c>
      <c r="AA5">
        <f>IF($B5="",0,COUNTIFS('UX + Dev'!$AB$1:$DN$1,"&gt;="&amp;AA$1,'UX + Dev'!$AB$1:$DN$1,"&lt;="&amp;EOMONTH(AA$1,0),'UX + Dev'!$AB5:$DN5,"&lt;&gt;"))</f>
      </c>
      <c r="AB5">
        <f>IF($B5="",0,COUNTIFS('UX + Dev'!$AB$1:$DN$1,"&gt;="&amp;AB$1,'UX + Dev'!$AB$1:$DN$1,"&lt;="&amp;EOMONTH(AB$1,0),'UX + Dev'!$AB5:$DN5,"&lt;&gt;"))</f>
      </c>
      <c r="AC5">
        <f>IF($B5="",0,COUNTIFS('UX + Dev'!$AB$1:$DN$1,"&gt;="&amp;AC$1,'UX + Dev'!$AB$1:$DN$1,"&lt;="&amp;EOMONTH(AC$1,0),'UX + Dev'!$AB5:$DN5,"&lt;&gt;"))</f>
      </c>
      <c r="AD5">
        <f>IF($B5="",0,COUNTIFS('UX + Dev'!$AB$1:$DN$1,"&gt;="&amp;AD$1,'UX + Dev'!$AB$1:$DN$1,"&lt;="&amp;EOMONTH(AD$1,0),'UX + Dev'!$AB5:$DN5,"&lt;&gt;"))</f>
      </c>
      <c r="AE5">
        <f>IF($B5="",0,COUNTIFS('UX + Dev'!$AB$1:$DN$1,"&gt;="&amp;AE$1,'UX + Dev'!$AB$1:$DN$1,"&lt;="&amp;EOMONTH(AE$1,0),'UX + Dev'!$AB5:$DN5,"&lt;&gt;"))</f>
      </c>
      <c r="AF5">
        <f>IF($B5="",0,COUNTIFS('UX + Dev'!$AB$1:$DN$1,"&gt;="&amp;AF$1,'UX + Dev'!$AB$1:$DN$1,"&lt;="&amp;EOMONTH(AF$1,0),'UX + Dev'!$AB5:$DN5,"&lt;&gt;"))</f>
      </c>
      <c r="AG5">
        <f>IF($B5="",0,COUNTIFS('UX + Dev'!$AB$1:$DN$1,"&gt;="&amp;AG$1,'UX + Dev'!$AB$1:$DN$1,"&lt;="&amp;EOMONTH(AG$1,0),'UX + Dev'!$AB5:$DN5,"&lt;&gt;"))</f>
      </c>
      <c r="AH5">
        <f>IF($B5="",0,COUNTIFS('UX + Dev'!$AB$1:$DN$1,"&gt;="&amp;AH$1,'UX + Dev'!$AB$1:$DN$1,"&lt;="&amp;EOMONTH(AH$1,0),'UX + Dev'!$AB5:$DN5,"&lt;&gt;"))</f>
      </c>
      <c r="AI5">
        <f>IF($B5="",0,COUNTIFS('UX + Dev'!$AB$1:$DN$1,"&gt;="&amp;AI$1,'UX + Dev'!$AB$1:$DN$1,"&lt;="&amp;EOMONTH(AI$1,0),'UX + Dev'!$AB5:$DN5,"&lt;&gt;"))</f>
      </c>
      <c r="AJ5">
        <f>IF($B5="",0,COUNTIFS('UX + Dev'!$AB$1:$DN$1,"&gt;="&amp;AJ$1,'UX + Dev'!$AB$1:$DN$1,"&lt;="&amp;EOMONTH(AJ$1,0),'UX + Dev'!$AB5:$DN5,"&lt;&gt;"))</f>
      </c>
      <c r="AK5">
        <f>IF($B5="",0,COUNTIFS('UX + Dev'!$AB$1:$DN$1,"&gt;="&amp;AK$1,'UX + Dev'!$AB$1:$DN$1,"&lt;="&amp;EOMONTH(AK$1,0),'UX + Dev'!$AB5:$DN5,"&lt;&gt;"))</f>
      </c>
      <c r="AL5">
        <f>IF($B5="",0,COUNTIFS('UX + Dev'!$AB$1:$DN$1,"&gt;="&amp;AL$1,'UX + Dev'!$AB$1:$DN$1,"&lt;="&amp;EOMONTH(AL$1,0),'UX + Dev'!$AB5:$DN5,"&lt;&gt;"))</f>
      </c>
      <c r="AM5">
        <f>IF($B5="",0,COUNTIFS('UX + Dev'!$AB$1:$DN$1,"&gt;="&amp;AM$1,'UX + Dev'!$AB$1:$DN$1,"&lt;="&amp;EOMONTH(AM$1,0),'UX + Dev'!$AB5:$DN5,"&lt;&gt;"))</f>
      </c>
      <c r="AN5">
        <f>IF($B5="",0,COUNTIFS('UX + Dev'!$AB$1:$DN$1,"&gt;="&amp;AN$1,'UX + Dev'!$AB$1:$DN$1,"&lt;="&amp;EOMONTH(AN$1,0),'UX + Dev'!$AB5:$DN5,"&lt;&gt;"))</f>
      </c>
      <c r="AO5">
        <f>IF($B5="",0,COUNTIFS('UX + Dev'!$AB$1:$DN$1,"&gt;="&amp;AO$1,'UX + Dev'!$AB$1:$DN$1,"&lt;="&amp;EOMONTH(AO$1,0),'UX + Dev'!$AB5:$DN5,"&lt;&gt;"))</f>
      </c>
      <c r="AP5">
        <f>IF($B5="",0,COUNTIFS('UX + Dev'!$AB$1:$DN$1,"&gt;="&amp;AP$1,'UX + Dev'!$AB$1:$DN$1,"&lt;="&amp;EOMONTH(AP$1,0),'UX + Dev'!$AB5:$DN5,"&lt;&gt;"))</f>
      </c>
      <c r="AQ5">
        <f>IF($B5="",0,COUNTIFS('UX + Dev'!$AB$1:$DN$1,"&gt;="&amp;AQ$1,'UX + Dev'!$AB$1:$DN$1,"&lt;="&amp;EOMONTH(AQ$1,0),'UX + Dev'!$AB5:$DN5,"&lt;&gt;"))</f>
      </c>
      <c r="AR5">
        <f>IF($B5="",0,COUNTIFS('UX + Dev'!$AB$1:$DN$1,"&gt;="&amp;AR$1,'UX + Dev'!$AB$1:$DN$1,"&lt;="&amp;EOMONTH(AR$1,0),'UX + Dev'!$AB5:$DN5,"&lt;&gt;"))</f>
      </c>
      <c r="AS5">
        <f>IF($B5="",0,COUNTIFS('UX + Dev'!$AB$1:$DN$1,"&gt;="&amp;AS$1,'UX + Dev'!$AB$1:$DN$1,"&lt;="&amp;EOMONTH(AS$1,0),'UX + Dev'!$AB5:$DN5,"&lt;&gt;"))</f>
      </c>
      <c r="AT5">
        <f>IF($B5="",0,COUNTIFS('UX + Dev'!$AB$1:$DN$1,"&gt;="&amp;AT$1,'UX + Dev'!$AB$1:$DN$1,"&lt;="&amp;EOMONTH(AT$1,0),'UX + Dev'!$AB5:$DN5,"&lt;&gt;"))</f>
      </c>
      <c r="AU5">
        <f>IF($B5="",0,COUNTIFS('UX + Dev'!$AB$1:$DN$1,"&gt;="&amp;AU$1,'UX + Dev'!$AB$1:$DN$1,"&lt;="&amp;EOMONTH(AU$1,0),'UX + Dev'!$AB5:$DN5,"&lt;&gt;"))</f>
      </c>
      <c r="AV5">
        <f>IF($B5="",0,COUNTIFS('UX + Dev'!$AB$1:$DN$1,"&gt;="&amp;AV$1,'UX + Dev'!$AB$1:$DN$1,"&lt;="&amp;EOMONTH(AV$1,0),'UX + Dev'!$AB5:$DN5,"&lt;&gt;"))</f>
      </c>
      <c r="AW5">
        <f>IF($B5="",0,COUNTIFS('UX + Dev'!$AB$1:$DN$1,"&gt;="&amp;AW$1,'UX + Dev'!$AB$1:$DN$1,"&lt;="&amp;EOMONTH(AW$1,0),'UX + Dev'!$AB5:$DN5,"&lt;&gt;"))</f>
      </c>
      <c r="AX5">
        <f>IF($B5="",0,COUNTIFS('UX + Dev'!$AB$1:$DN$1,"&gt;="&amp;AX$1,'UX + Dev'!$AB$1:$DN$1,"&lt;="&amp;EOMONTH(AX$1,0),'UX + Dev'!$AB5:$DN5,"&lt;&gt;"))</f>
      </c>
      <c r="AZ5" s="309" t="inlineStr">
        <is>
          <t>Description</t>
        </is>
      </c>
      <c r="BA5" s="265">
        <f>IF($BA$4=0,"",IF(COUNTA(INDEX(Control!$F$4:$F$30,$BA$4))=0,"",INDEX(Control!$F$4:$F$30,$BA$4)))</f>
      </c>
      <c r="BB5" s="308">
        <f>IF($B5="","",IF(COUNTA('UX + Dev'!U5)&gt;0,DATE(YEAR('UX + Dev'!U5),MONTH('UX + Dev'!U5),1),IF(COUNTA('UX + Dev'!V5)&gt;0,DATE(YEAR('UX + Dev'!V5),MONTH('UX + Dev'!V5),1),"")))</f>
      </c>
      <c r="BC5" s="308">
        <f>IF($B5="","",IF(COUNTA('UX + Dev'!V5)&gt;0,EOMONTH('UX + Dev'!V5,0),IF(COUNTA('UX + Dev'!U5)&gt;0,EOMONTH('UX + Dev'!U5,0),"")))</f>
      </c>
    </row>
    <row r="6">
      <c r="A6" s="305" t="n">
        <v>6</v>
      </c>
      <c r="B6" s="305">
        <f>IF(TRIM('UX + Dev'!E6)="","",TRIM('UX + Dev'!E6))</f>
      </c>
      <c r="C6" s="305">
        <f>IF($B6="","",'UX + Dev'!B6)</f>
      </c>
      <c r="D6" s="305">
        <f>IF($B6="","",IF(TRIM('UX + Dev'!C6)="","(No theme assigned)",TRIM('UX + Dev'!C6)))</f>
      </c>
      <c r="E6" s="305">
        <f>IF($B6="","",TRIM('UX + Dev'!F6))</f>
      </c>
      <c r="F6" s="305">
        <f>IF($B6="","",'UX + Dev'!G6)</f>
      </c>
      <c r="G6" s="306">
        <f t="array" ref="G6">IF($B6="","",IF($T6=0,"",IFERROR(MIN(IF('UX + Dev'!$AB6:$DN6&lt;&gt;"",'UX + Dev'!$AB$1:$DN$1)),"")))</f>
      </c>
      <c r="H6" s="306">
        <f t="array" ref="H6">IF($B6="","",IF($T6=0,"",IFERROR(MAX(IF('UX + Dev'!$AB6:$DN6&lt;&gt;"",'UX + Dev'!$AB$1:$DN$1)),"")))</f>
      </c>
      <c r="I6" s="307">
        <f>IF($R6&lt;&gt;"",$R6,IF($S6&lt;&gt;"",$S6,""))</f>
      </c>
      <c r="J6" s="307">
        <f>IF($S6&lt;&gt;"",EOMONTH($S6,0),IF($R6&lt;&gt;"",EOMONTH($R6,0),""))</f>
      </c>
      <c r="K6" s="305">
        <f>IF($B6="","",IF(COUNTA('UX + Dev'!AA6)=0,"",TRIM('UX + Dev'!AA6)))</f>
      </c>
      <c r="L6" s="305">
        <f>IF($B6="","",IFERROR(MATCH($D6,Control!$E$4:$E$30,0),99))</f>
      </c>
      <c r="M6" s="305">
        <f>IF($B6="","",IFERROR(MATCH($F6,Control!$B$4:$B$30,0),99))</f>
      </c>
      <c r="N6" s="305">
        <f>IF($V6&lt;&gt;1,"",IF('Roadmap (Auto)'!$D$3="Status, then Theme",$M6*1000000+$L6*10000+ROW(),IF('Roadmap (Auto)'!$D$3="Dev start (earliest)",IF($I6="",99999999,$I6)*10000+ROW(),IF('Roadmap (Auto)'!$D$3="UX start (earliest)",IF($G6="",99999999,$G6)*10000+ROW(),IF('Roadmap (Auto)'!$D$3="Deliverable A-Z",$W6*10000+ROW(),$L6*1000000+$M6*10000+ROW())))))</f>
      </c>
      <c r="O6" s="305">
        <f>IF($N6="","",COUNTIF($N$2:$N$151,"&lt;"&amp;$N6)+1)</f>
      </c>
      <c r="P6" s="305">
        <f>IF($B6="","",IF(COUNTA('UX + Dev'!X6)=0,"",'UX + Dev'!X6))</f>
      </c>
      <c r="Q6" s="305">
        <f>IF($B6="","",IF(COUNTA('UX + Dev'!Y6)=0,"",'UX + Dev'!Y6))</f>
      </c>
      <c r="R6" s="307">
        <f>IF($P6="","",IF(ISNUMBER($P6),DATE(YEAR($P6),MONTH($P6),1),IFERROR(DATE(IFERROR(VALUE(RIGHT(TRIM($P6),4)),YEAR(TODAY())),(SEARCH(LEFT(TRIM($P6),3),"JanFebMarAprMayJunJulAugSepOctNovDec")+2)/3,1),"")))</f>
      </c>
      <c r="S6" s="307">
        <f>IF($Q6="","",IF(ISNUMBER($Q6),DATE(YEAR($Q6),MONTH($Q6),1),IFERROR(DATE(IFERROR(VALUE(RIGHT(TRIM($Q6),4)),YEAR(TODAY())),(SEARCH(LEFT(TRIM($Q6),3),"JanFebMarAprMayJunJulAugSepOctNovDec")+2)/3,1),"")))</f>
      </c>
      <c r="T6" s="305">
        <f>IF($B6="","",COUNTA('UX + Dev'!$AB6:$DN6))</f>
      </c>
      <c r="U6" s="305">
        <f>IF($B6="","",IFERROR(MATCH($D6,Control!$E$4:$E$30,0)+3,0))</f>
      </c>
      <c r="V6" s="305">
        <f>IF($B6="","",IF(AND(OR('Roadmap (Auto)'!$A$3="",'Roadmap (Auto)'!$A$3="(All)",ISNUMBER(SEARCH('Roadmap (Auto)'!$A$3,$C6&amp;""))),OR('Roadmap (Auto)'!$B$3="",'Roadmap (Auto)'!$B$3="(All)",$D6='Roadmap (Auto)'!$B$3,$X6='Roadmap (Auto)'!$B$3),OR('Roadmap (Auto)'!$C$3="",'Roadmap (Auto)'!$C$3="(All)",$F6='Roadmap (Auto)'!$C$3)),1,0))</f>
      </c>
      <c r="W6" s="305">
        <f>IF($B6="","",COUNTIF($Y$2:$Y$151,"&lt;"&amp;$Y6)+1)</f>
      </c>
      <c r="X6" s="305">
        <f>IF($B6="","",IF(TRIM('UX + Dev'!D6)="","",TRIM('UX + Dev'!D6)))</f>
      </c>
      <c r="Y6" s="305">
        <f>IF($B6="","",SUBSTITUTE(SUBSTITUTE(SUBSTITUTE(SUBSTITUTE(SUBSTITUTE(SUBSTITUTE(SUBSTITUTE(SUBSTITUTE(SUBSTITUTE(SUBSTITUTE(SUBSTITUTE(SUBSTITUTE(SUBSTITUTE(SUBSTITUTE(SUBSTITUTE(SUBSTITUTE(SUBSTITUTE(SUBSTITUTE(SUBSTITUTE(SUBSTITUTE(SUBSTITUTE(SUBSTITUTE(SUBSTITUTE(SUBSTITUTE(SUBSTITUTE(UPPER($B6)," ",""),"-",""),":",""),"/",""),"&amp;",""),"|",""),"'",""),"’",""),"&lt;",""),"&gt;",""),",",""),"$",""),".",""),"(",""),")",""),"*",""),"?",""),"~",""),"_",""),"+",""),"#",""),";",""),"!",""),"%",""),"@",""))</f>
      </c>
      <c r="AA6">
        <f>IF($B6="",0,COUNTIFS('UX + Dev'!$AB$1:$DN$1,"&gt;="&amp;AA$1,'UX + Dev'!$AB$1:$DN$1,"&lt;="&amp;EOMONTH(AA$1,0),'UX + Dev'!$AB6:$DN6,"&lt;&gt;"))</f>
      </c>
      <c r="AB6">
        <f>IF($B6="",0,COUNTIFS('UX + Dev'!$AB$1:$DN$1,"&gt;="&amp;AB$1,'UX + Dev'!$AB$1:$DN$1,"&lt;="&amp;EOMONTH(AB$1,0),'UX + Dev'!$AB6:$DN6,"&lt;&gt;"))</f>
      </c>
      <c r="AC6">
        <f>IF($B6="",0,COUNTIFS('UX + Dev'!$AB$1:$DN$1,"&gt;="&amp;AC$1,'UX + Dev'!$AB$1:$DN$1,"&lt;="&amp;EOMONTH(AC$1,0),'UX + Dev'!$AB6:$DN6,"&lt;&gt;"))</f>
      </c>
      <c r="AD6">
        <f>IF($B6="",0,COUNTIFS('UX + Dev'!$AB$1:$DN$1,"&gt;="&amp;AD$1,'UX + Dev'!$AB$1:$DN$1,"&lt;="&amp;EOMONTH(AD$1,0),'UX + Dev'!$AB6:$DN6,"&lt;&gt;"))</f>
      </c>
      <c r="AE6">
        <f>IF($B6="",0,COUNTIFS('UX + Dev'!$AB$1:$DN$1,"&gt;="&amp;AE$1,'UX + Dev'!$AB$1:$DN$1,"&lt;="&amp;EOMONTH(AE$1,0),'UX + Dev'!$AB6:$DN6,"&lt;&gt;"))</f>
      </c>
      <c r="AF6">
        <f>IF($B6="",0,COUNTIFS('UX + Dev'!$AB$1:$DN$1,"&gt;="&amp;AF$1,'UX + Dev'!$AB$1:$DN$1,"&lt;="&amp;EOMONTH(AF$1,0),'UX + Dev'!$AB6:$DN6,"&lt;&gt;"))</f>
      </c>
      <c r="AG6">
        <f>IF($B6="",0,COUNTIFS('UX + Dev'!$AB$1:$DN$1,"&gt;="&amp;AG$1,'UX + Dev'!$AB$1:$DN$1,"&lt;="&amp;EOMONTH(AG$1,0),'UX + Dev'!$AB6:$DN6,"&lt;&gt;"))</f>
      </c>
      <c r="AH6">
        <f>IF($B6="",0,COUNTIFS('UX + Dev'!$AB$1:$DN$1,"&gt;="&amp;AH$1,'UX + Dev'!$AB$1:$DN$1,"&lt;="&amp;EOMONTH(AH$1,0),'UX + Dev'!$AB6:$DN6,"&lt;&gt;"))</f>
      </c>
      <c r="AI6">
        <f>IF($B6="",0,COUNTIFS('UX + Dev'!$AB$1:$DN$1,"&gt;="&amp;AI$1,'UX + Dev'!$AB$1:$DN$1,"&lt;="&amp;EOMONTH(AI$1,0),'UX + Dev'!$AB6:$DN6,"&lt;&gt;"))</f>
      </c>
      <c r="AJ6">
        <f>IF($B6="",0,COUNTIFS('UX + Dev'!$AB$1:$DN$1,"&gt;="&amp;AJ$1,'UX + Dev'!$AB$1:$DN$1,"&lt;="&amp;EOMONTH(AJ$1,0),'UX + Dev'!$AB6:$DN6,"&lt;&gt;"))</f>
      </c>
      <c r="AK6">
        <f>IF($B6="",0,COUNTIFS('UX + Dev'!$AB$1:$DN$1,"&gt;="&amp;AK$1,'UX + Dev'!$AB$1:$DN$1,"&lt;="&amp;EOMONTH(AK$1,0),'UX + Dev'!$AB6:$DN6,"&lt;&gt;"))</f>
      </c>
      <c r="AL6">
        <f>IF($B6="",0,COUNTIFS('UX + Dev'!$AB$1:$DN$1,"&gt;="&amp;AL$1,'UX + Dev'!$AB$1:$DN$1,"&lt;="&amp;EOMONTH(AL$1,0),'UX + Dev'!$AB6:$DN6,"&lt;&gt;"))</f>
      </c>
      <c r="AM6">
        <f>IF($B6="",0,COUNTIFS('UX + Dev'!$AB$1:$DN$1,"&gt;="&amp;AM$1,'UX + Dev'!$AB$1:$DN$1,"&lt;="&amp;EOMONTH(AM$1,0),'UX + Dev'!$AB6:$DN6,"&lt;&gt;"))</f>
      </c>
      <c r="AN6">
        <f>IF($B6="",0,COUNTIFS('UX + Dev'!$AB$1:$DN$1,"&gt;="&amp;AN$1,'UX + Dev'!$AB$1:$DN$1,"&lt;="&amp;EOMONTH(AN$1,0),'UX + Dev'!$AB6:$DN6,"&lt;&gt;"))</f>
      </c>
      <c r="AO6">
        <f>IF($B6="",0,COUNTIFS('UX + Dev'!$AB$1:$DN$1,"&gt;="&amp;AO$1,'UX + Dev'!$AB$1:$DN$1,"&lt;="&amp;EOMONTH(AO$1,0),'UX + Dev'!$AB6:$DN6,"&lt;&gt;"))</f>
      </c>
      <c r="AP6">
        <f>IF($B6="",0,COUNTIFS('UX + Dev'!$AB$1:$DN$1,"&gt;="&amp;AP$1,'UX + Dev'!$AB$1:$DN$1,"&lt;="&amp;EOMONTH(AP$1,0),'UX + Dev'!$AB6:$DN6,"&lt;&gt;"))</f>
      </c>
      <c r="AQ6">
        <f>IF($B6="",0,COUNTIFS('UX + Dev'!$AB$1:$DN$1,"&gt;="&amp;AQ$1,'UX + Dev'!$AB$1:$DN$1,"&lt;="&amp;EOMONTH(AQ$1,0),'UX + Dev'!$AB6:$DN6,"&lt;&gt;"))</f>
      </c>
      <c r="AR6">
        <f>IF($B6="",0,COUNTIFS('UX + Dev'!$AB$1:$DN$1,"&gt;="&amp;AR$1,'UX + Dev'!$AB$1:$DN$1,"&lt;="&amp;EOMONTH(AR$1,0),'UX + Dev'!$AB6:$DN6,"&lt;&gt;"))</f>
      </c>
      <c r="AS6">
        <f>IF($B6="",0,COUNTIFS('UX + Dev'!$AB$1:$DN$1,"&gt;="&amp;AS$1,'UX + Dev'!$AB$1:$DN$1,"&lt;="&amp;EOMONTH(AS$1,0),'UX + Dev'!$AB6:$DN6,"&lt;&gt;"))</f>
      </c>
      <c r="AT6">
        <f>IF($B6="",0,COUNTIFS('UX + Dev'!$AB$1:$DN$1,"&gt;="&amp;AT$1,'UX + Dev'!$AB$1:$DN$1,"&lt;="&amp;EOMONTH(AT$1,0),'UX + Dev'!$AB6:$DN6,"&lt;&gt;"))</f>
      </c>
      <c r="AU6">
        <f>IF($B6="",0,COUNTIFS('UX + Dev'!$AB$1:$DN$1,"&gt;="&amp;AU$1,'UX + Dev'!$AB$1:$DN$1,"&lt;="&amp;EOMONTH(AU$1,0),'UX + Dev'!$AB6:$DN6,"&lt;&gt;"))</f>
      </c>
      <c r="AV6">
        <f>IF($B6="",0,COUNTIFS('UX + Dev'!$AB$1:$DN$1,"&gt;="&amp;AV$1,'UX + Dev'!$AB$1:$DN$1,"&lt;="&amp;EOMONTH(AV$1,0),'UX + Dev'!$AB6:$DN6,"&lt;&gt;"))</f>
      </c>
      <c r="AW6">
        <f>IF($B6="",0,COUNTIFS('UX + Dev'!$AB$1:$DN$1,"&gt;="&amp;AW$1,'UX + Dev'!$AB$1:$DN$1,"&lt;="&amp;EOMONTH(AW$1,0),'UX + Dev'!$AB6:$DN6,"&lt;&gt;"))</f>
      </c>
      <c r="AX6">
        <f>IF($B6="",0,COUNTIFS('UX + Dev'!$AB$1:$DN$1,"&gt;="&amp;AX$1,'UX + Dev'!$AB$1:$DN$1,"&lt;="&amp;EOMONTH(AX$1,0),'UX + Dev'!$AB6:$DN6,"&lt;&gt;"))</f>
      </c>
      <c r="AZ6" s="309" t="inlineStr">
        <is>
          <t>Measure adoption</t>
        </is>
      </c>
      <c r="BA6" s="265">
        <f>IF($BA$4=0,"",IF(COUNTA(INDEX(Control!$G$4:$G$30,$BA$4))=0,"",INDEX(Control!$G$4:$G$30,$BA$4)))</f>
      </c>
      <c r="BB6" s="308">
        <f>IF($B6="","",IF(COUNTA('UX + Dev'!U6)&gt;0,DATE(YEAR('UX + Dev'!U6),MONTH('UX + Dev'!U6),1),IF(COUNTA('UX + Dev'!V6)&gt;0,DATE(YEAR('UX + Dev'!V6),MONTH('UX + Dev'!V6),1),"")))</f>
      </c>
      <c r="BC6" s="308">
        <f>IF($B6="","",IF(COUNTA('UX + Dev'!V6)&gt;0,EOMONTH('UX + Dev'!V6,0),IF(COUNTA('UX + Dev'!U6)&gt;0,EOMONTH('UX + Dev'!U6,0),"")))</f>
      </c>
    </row>
    <row r="7">
      <c r="A7" s="305" t="n">
        <v>7</v>
      </c>
      <c r="B7" s="305">
        <f>IF(TRIM('UX + Dev'!E7)="","",TRIM('UX + Dev'!E7))</f>
      </c>
      <c r="C7" s="305">
        <f>IF($B7="","",'UX + Dev'!B7)</f>
      </c>
      <c r="D7" s="305">
        <f>IF($B7="","",IF(TRIM('UX + Dev'!C7)="","(No theme assigned)",TRIM('UX + Dev'!C7)))</f>
      </c>
      <c r="E7" s="305">
        <f>IF($B7="","",TRIM('UX + Dev'!F7))</f>
      </c>
      <c r="F7" s="305">
        <f>IF($B7="","",'UX + Dev'!G7)</f>
      </c>
      <c r="G7" s="306">
        <f t="array" ref="G7">IF($B7="","",IF($T7=0,"",IFERROR(MIN(IF('UX + Dev'!$AB7:$DN7&lt;&gt;"",'UX + Dev'!$AB$1:$DN$1)),"")))</f>
      </c>
      <c r="H7" s="306">
        <f t="array" ref="H7">IF($B7="","",IF($T7=0,"",IFERROR(MAX(IF('UX + Dev'!$AB7:$DN7&lt;&gt;"",'UX + Dev'!$AB$1:$DN$1)),"")))</f>
      </c>
      <c r="I7" s="307">
        <f>IF($R7&lt;&gt;"",$R7,IF($S7&lt;&gt;"",$S7,""))</f>
      </c>
      <c r="J7" s="307">
        <f>IF($S7&lt;&gt;"",EOMONTH($S7,0),IF($R7&lt;&gt;"",EOMONTH($R7,0),""))</f>
      </c>
      <c r="K7" s="305">
        <f>IF($B7="","",IF(COUNTA('UX + Dev'!AA7)=0,"",TRIM('UX + Dev'!AA7)))</f>
      </c>
      <c r="L7" s="305">
        <f>IF($B7="","",IFERROR(MATCH($D7,Control!$E$4:$E$30,0),99))</f>
      </c>
      <c r="M7" s="305">
        <f>IF($B7="","",IFERROR(MATCH($F7,Control!$B$4:$B$30,0),99))</f>
      </c>
      <c r="N7" s="305">
        <f>IF($V7&lt;&gt;1,"",IF('Roadmap (Auto)'!$D$3="Status, then Theme",$M7*1000000+$L7*10000+ROW(),IF('Roadmap (Auto)'!$D$3="Dev start (earliest)",IF($I7="",99999999,$I7)*10000+ROW(),IF('Roadmap (Auto)'!$D$3="UX start (earliest)",IF($G7="",99999999,$G7)*10000+ROW(),IF('Roadmap (Auto)'!$D$3="Deliverable A-Z",$W7*10000+ROW(),$L7*1000000+$M7*10000+ROW())))))</f>
      </c>
      <c r="O7" s="305">
        <f>IF($N7="","",COUNTIF($N$2:$N$151,"&lt;"&amp;$N7)+1)</f>
      </c>
      <c r="P7" s="305">
        <f>IF($B7="","",IF(COUNTA('UX + Dev'!X7)=0,"",'UX + Dev'!X7))</f>
      </c>
      <c r="Q7" s="305">
        <f>IF($B7="","",IF(COUNTA('UX + Dev'!Y7)=0,"",'UX + Dev'!Y7))</f>
      </c>
      <c r="R7" s="307">
        <f>IF($P7="","",IF(ISNUMBER($P7),DATE(YEAR($P7),MONTH($P7),1),IFERROR(DATE(IFERROR(VALUE(RIGHT(TRIM($P7),4)),YEAR(TODAY())),(SEARCH(LEFT(TRIM($P7),3),"JanFebMarAprMayJunJulAugSepOctNovDec")+2)/3,1),"")))</f>
      </c>
      <c r="S7" s="307">
        <f>IF($Q7="","",IF(ISNUMBER($Q7),DATE(YEAR($Q7),MONTH($Q7),1),IFERROR(DATE(IFERROR(VALUE(RIGHT(TRIM($Q7),4)),YEAR(TODAY())),(SEARCH(LEFT(TRIM($Q7),3),"JanFebMarAprMayJunJulAugSepOctNovDec")+2)/3,1),"")))</f>
      </c>
      <c r="T7" s="305">
        <f>IF($B7="","",COUNTA('UX + Dev'!$AB7:$DN7))</f>
      </c>
      <c r="U7" s="305">
        <f>IF($B7="","",IFERROR(MATCH($D7,Control!$E$4:$E$30,0)+3,0))</f>
      </c>
      <c r="V7" s="305">
        <f>IF($B7="","",IF(AND(OR('Roadmap (Auto)'!$A$3="",'Roadmap (Auto)'!$A$3="(All)",ISNUMBER(SEARCH('Roadmap (Auto)'!$A$3,$C7&amp;""))),OR('Roadmap (Auto)'!$B$3="",'Roadmap (Auto)'!$B$3="(All)",$D7='Roadmap (Auto)'!$B$3,$X7='Roadmap (Auto)'!$B$3),OR('Roadmap (Auto)'!$C$3="",'Roadmap (Auto)'!$C$3="(All)",$F7='Roadmap (Auto)'!$C$3)),1,0))</f>
      </c>
      <c r="W7" s="305">
        <f>IF($B7="","",COUNTIF($Y$2:$Y$151,"&lt;"&amp;$Y7)+1)</f>
      </c>
      <c r="X7" s="305">
        <f>IF($B7="","",IF(TRIM('UX + Dev'!D7)="","",TRIM('UX + Dev'!D7)))</f>
      </c>
      <c r="Y7" s="305">
        <f>IF($B7="","",SUBSTITUTE(SUBSTITUTE(SUBSTITUTE(SUBSTITUTE(SUBSTITUTE(SUBSTITUTE(SUBSTITUTE(SUBSTITUTE(SUBSTITUTE(SUBSTITUTE(SUBSTITUTE(SUBSTITUTE(SUBSTITUTE(SUBSTITUTE(SUBSTITUTE(SUBSTITUTE(SUBSTITUTE(SUBSTITUTE(SUBSTITUTE(SUBSTITUTE(SUBSTITUTE(SUBSTITUTE(SUBSTITUTE(SUBSTITUTE(SUBSTITUTE(UPPER($B7)," ",""),"-",""),":",""),"/",""),"&amp;",""),"|",""),"'",""),"’",""),"&lt;",""),"&gt;",""),",",""),"$",""),".",""),"(",""),")",""),"*",""),"?",""),"~",""),"_",""),"+",""),"#",""),";",""),"!",""),"%",""),"@",""))</f>
      </c>
      <c r="AA7">
        <f>IF($B7="",0,COUNTIFS('UX + Dev'!$AB$1:$DN$1,"&gt;="&amp;AA$1,'UX + Dev'!$AB$1:$DN$1,"&lt;="&amp;EOMONTH(AA$1,0),'UX + Dev'!$AB7:$DN7,"&lt;&gt;"))</f>
      </c>
      <c r="AB7">
        <f>IF($B7="",0,COUNTIFS('UX + Dev'!$AB$1:$DN$1,"&gt;="&amp;AB$1,'UX + Dev'!$AB$1:$DN$1,"&lt;="&amp;EOMONTH(AB$1,0),'UX + Dev'!$AB7:$DN7,"&lt;&gt;"))</f>
      </c>
      <c r="AC7">
        <f>IF($B7="",0,COUNTIFS('UX + Dev'!$AB$1:$DN$1,"&gt;="&amp;AC$1,'UX + Dev'!$AB$1:$DN$1,"&lt;="&amp;EOMONTH(AC$1,0),'UX + Dev'!$AB7:$DN7,"&lt;&gt;"))</f>
      </c>
      <c r="AD7">
        <f>IF($B7="",0,COUNTIFS('UX + Dev'!$AB$1:$DN$1,"&gt;="&amp;AD$1,'UX + Dev'!$AB$1:$DN$1,"&lt;="&amp;EOMONTH(AD$1,0),'UX + Dev'!$AB7:$DN7,"&lt;&gt;"))</f>
      </c>
      <c r="AE7">
        <f>IF($B7="",0,COUNTIFS('UX + Dev'!$AB$1:$DN$1,"&gt;="&amp;AE$1,'UX + Dev'!$AB$1:$DN$1,"&lt;="&amp;EOMONTH(AE$1,0),'UX + Dev'!$AB7:$DN7,"&lt;&gt;"))</f>
      </c>
      <c r="AF7">
        <f>IF($B7="",0,COUNTIFS('UX + Dev'!$AB$1:$DN$1,"&gt;="&amp;AF$1,'UX + Dev'!$AB$1:$DN$1,"&lt;="&amp;EOMONTH(AF$1,0),'UX + Dev'!$AB7:$DN7,"&lt;&gt;"))</f>
      </c>
      <c r="AG7">
        <f>IF($B7="",0,COUNTIFS('UX + Dev'!$AB$1:$DN$1,"&gt;="&amp;AG$1,'UX + Dev'!$AB$1:$DN$1,"&lt;="&amp;EOMONTH(AG$1,0),'UX + Dev'!$AB7:$DN7,"&lt;&gt;"))</f>
      </c>
      <c r="AH7">
        <f>IF($B7="",0,COUNTIFS('UX + Dev'!$AB$1:$DN$1,"&gt;="&amp;AH$1,'UX + Dev'!$AB$1:$DN$1,"&lt;="&amp;EOMONTH(AH$1,0),'UX + Dev'!$AB7:$DN7,"&lt;&gt;"))</f>
      </c>
      <c r="AI7">
        <f>IF($B7="",0,COUNTIFS('UX + Dev'!$AB$1:$DN$1,"&gt;="&amp;AI$1,'UX + Dev'!$AB$1:$DN$1,"&lt;="&amp;EOMONTH(AI$1,0),'UX + Dev'!$AB7:$DN7,"&lt;&gt;"))</f>
      </c>
      <c r="AJ7">
        <f>IF($B7="",0,COUNTIFS('UX + Dev'!$AB$1:$DN$1,"&gt;="&amp;AJ$1,'UX + Dev'!$AB$1:$DN$1,"&lt;="&amp;EOMONTH(AJ$1,0),'UX + Dev'!$AB7:$DN7,"&lt;&gt;"))</f>
      </c>
      <c r="AK7">
        <f>IF($B7="",0,COUNTIFS('UX + Dev'!$AB$1:$DN$1,"&gt;="&amp;AK$1,'UX + Dev'!$AB$1:$DN$1,"&lt;="&amp;EOMONTH(AK$1,0),'UX + Dev'!$AB7:$DN7,"&lt;&gt;"))</f>
      </c>
      <c r="AL7">
        <f>IF($B7="",0,COUNTIFS('UX + Dev'!$AB$1:$DN$1,"&gt;="&amp;AL$1,'UX + Dev'!$AB$1:$DN$1,"&lt;="&amp;EOMONTH(AL$1,0),'UX + Dev'!$AB7:$DN7,"&lt;&gt;"))</f>
      </c>
      <c r="AM7">
        <f>IF($B7="",0,COUNTIFS('UX + Dev'!$AB$1:$DN$1,"&gt;="&amp;AM$1,'UX + Dev'!$AB$1:$DN$1,"&lt;="&amp;EOMONTH(AM$1,0),'UX + Dev'!$AB7:$DN7,"&lt;&gt;"))</f>
      </c>
      <c r="AN7">
        <f>IF($B7="",0,COUNTIFS('UX + Dev'!$AB$1:$DN$1,"&gt;="&amp;AN$1,'UX + Dev'!$AB$1:$DN$1,"&lt;="&amp;EOMONTH(AN$1,0),'UX + Dev'!$AB7:$DN7,"&lt;&gt;"))</f>
      </c>
      <c r="AO7">
        <f>IF($B7="",0,COUNTIFS('UX + Dev'!$AB$1:$DN$1,"&gt;="&amp;AO$1,'UX + Dev'!$AB$1:$DN$1,"&lt;="&amp;EOMONTH(AO$1,0),'UX + Dev'!$AB7:$DN7,"&lt;&gt;"))</f>
      </c>
      <c r="AP7">
        <f>IF($B7="",0,COUNTIFS('UX + Dev'!$AB$1:$DN$1,"&gt;="&amp;AP$1,'UX + Dev'!$AB$1:$DN$1,"&lt;="&amp;EOMONTH(AP$1,0),'UX + Dev'!$AB7:$DN7,"&lt;&gt;"))</f>
      </c>
      <c r="AQ7">
        <f>IF($B7="",0,COUNTIFS('UX + Dev'!$AB$1:$DN$1,"&gt;="&amp;AQ$1,'UX + Dev'!$AB$1:$DN$1,"&lt;="&amp;EOMONTH(AQ$1,0),'UX + Dev'!$AB7:$DN7,"&lt;&gt;"))</f>
      </c>
      <c r="AR7">
        <f>IF($B7="",0,COUNTIFS('UX + Dev'!$AB$1:$DN$1,"&gt;="&amp;AR$1,'UX + Dev'!$AB$1:$DN$1,"&lt;="&amp;EOMONTH(AR$1,0),'UX + Dev'!$AB7:$DN7,"&lt;&gt;"))</f>
      </c>
      <c r="AS7">
        <f>IF($B7="",0,COUNTIFS('UX + Dev'!$AB$1:$DN$1,"&gt;="&amp;AS$1,'UX + Dev'!$AB$1:$DN$1,"&lt;="&amp;EOMONTH(AS$1,0),'UX + Dev'!$AB7:$DN7,"&lt;&gt;"))</f>
      </c>
      <c r="AT7">
        <f>IF($B7="",0,COUNTIFS('UX + Dev'!$AB$1:$DN$1,"&gt;="&amp;AT$1,'UX + Dev'!$AB$1:$DN$1,"&lt;="&amp;EOMONTH(AT$1,0),'UX + Dev'!$AB7:$DN7,"&lt;&gt;"))</f>
      </c>
      <c r="AU7">
        <f>IF($B7="",0,COUNTIFS('UX + Dev'!$AB$1:$DN$1,"&gt;="&amp;AU$1,'UX + Dev'!$AB$1:$DN$1,"&lt;="&amp;EOMONTH(AU$1,0),'UX + Dev'!$AB7:$DN7,"&lt;&gt;"))</f>
      </c>
      <c r="AV7">
        <f>IF($B7="",0,COUNTIFS('UX + Dev'!$AB$1:$DN$1,"&gt;="&amp;AV$1,'UX + Dev'!$AB$1:$DN$1,"&lt;="&amp;EOMONTH(AV$1,0),'UX + Dev'!$AB7:$DN7,"&lt;&gt;"))</f>
      </c>
      <c r="AW7">
        <f>IF($B7="",0,COUNTIFS('UX + Dev'!$AB$1:$DN$1,"&gt;="&amp;AW$1,'UX + Dev'!$AB$1:$DN$1,"&lt;="&amp;EOMONTH(AW$1,0),'UX + Dev'!$AB7:$DN7,"&lt;&gt;"))</f>
      </c>
      <c r="AX7">
        <f>IF($B7="",0,COUNTIFS('UX + Dev'!$AB$1:$DN$1,"&gt;="&amp;AX$1,'UX + Dev'!$AB$1:$DN$1,"&lt;="&amp;EOMONTH(AX$1,0),'UX + Dev'!$AB7:$DN7,"&lt;&gt;"))</f>
      </c>
      <c r="AZ7" s="309" t="inlineStr">
        <is>
          <t>Measure impact</t>
        </is>
      </c>
      <c r="BA7" s="265">
        <f>IF($BA$4=0,"",IF(COUNTA(INDEX(Control!$H$4:$H$30,$BA$4))=0,"",INDEX(Control!$H$4:$H$30,$BA$4)))</f>
      </c>
      <c r="BB7" s="308">
        <f>IF($B7="","",IF(COUNTA('UX + Dev'!U7)&gt;0,DATE(YEAR('UX + Dev'!U7),MONTH('UX + Dev'!U7),1),IF(COUNTA('UX + Dev'!V7)&gt;0,DATE(YEAR('UX + Dev'!V7),MONTH('UX + Dev'!V7),1),"")))</f>
      </c>
      <c r="BC7" s="308">
        <f>IF($B7="","",IF(COUNTA('UX + Dev'!V7)&gt;0,EOMONTH('UX + Dev'!V7,0),IF(COUNTA('UX + Dev'!U7)&gt;0,EOMONTH('UX + Dev'!U7,0),"")))</f>
      </c>
    </row>
    <row r="8">
      <c r="A8" s="305" t="n">
        <v>8</v>
      </c>
      <c r="B8" s="305">
        <f>IF(TRIM('UX + Dev'!E8)="","",TRIM('UX + Dev'!E8))</f>
      </c>
      <c r="C8" s="305">
        <f>IF($B8="","",'UX + Dev'!B8)</f>
      </c>
      <c r="D8" s="305">
        <f>IF($B8="","",IF(TRIM('UX + Dev'!C8)="","(No theme assigned)",TRIM('UX + Dev'!C8)))</f>
      </c>
      <c r="E8" s="305">
        <f>IF($B8="","",TRIM('UX + Dev'!F8))</f>
      </c>
      <c r="F8" s="305">
        <f>IF($B8="","",'UX + Dev'!G8)</f>
      </c>
      <c r="G8" s="306">
        <f t="array" ref="G8">IF($B8="","",IF($T8=0,"",IFERROR(MIN(IF('UX + Dev'!$AB8:$DN8&lt;&gt;"",'UX + Dev'!$AB$1:$DN$1)),"")))</f>
      </c>
      <c r="H8" s="306">
        <f t="array" ref="H8">IF($B8="","",IF($T8=0,"",IFERROR(MAX(IF('UX + Dev'!$AB8:$DN8&lt;&gt;"",'UX + Dev'!$AB$1:$DN$1)),"")))</f>
      </c>
      <c r="I8" s="307">
        <f>IF($R8&lt;&gt;"",$R8,IF($S8&lt;&gt;"",$S8,""))</f>
      </c>
      <c r="J8" s="307">
        <f>IF($S8&lt;&gt;"",EOMONTH($S8,0),IF($R8&lt;&gt;"",EOMONTH($R8,0),""))</f>
      </c>
      <c r="K8" s="305">
        <f>IF($B8="","",IF(COUNTA('UX + Dev'!AA8)=0,"",TRIM('UX + Dev'!AA8)))</f>
      </c>
      <c r="L8" s="305">
        <f>IF($B8="","",IFERROR(MATCH($D8,Control!$E$4:$E$30,0),99))</f>
      </c>
      <c r="M8" s="305">
        <f>IF($B8="","",IFERROR(MATCH($F8,Control!$B$4:$B$30,0),99))</f>
      </c>
      <c r="N8" s="305">
        <f>IF($V8&lt;&gt;1,"",IF('Roadmap (Auto)'!$D$3="Status, then Theme",$M8*1000000+$L8*10000+ROW(),IF('Roadmap (Auto)'!$D$3="Dev start (earliest)",IF($I8="",99999999,$I8)*10000+ROW(),IF('Roadmap (Auto)'!$D$3="UX start (earliest)",IF($G8="",99999999,$G8)*10000+ROW(),IF('Roadmap (Auto)'!$D$3="Deliverable A-Z",$W8*10000+ROW(),$L8*1000000+$M8*10000+ROW())))))</f>
      </c>
      <c r="O8" s="305">
        <f>IF($N8="","",COUNTIF($N$2:$N$151,"&lt;"&amp;$N8)+1)</f>
      </c>
      <c r="P8" s="305">
        <f>IF($B8="","",IF(COUNTA('UX + Dev'!X8)=0,"",'UX + Dev'!X8))</f>
      </c>
      <c r="Q8" s="305">
        <f>IF($B8="","",IF(COUNTA('UX + Dev'!Y8)=0,"",'UX + Dev'!Y8))</f>
      </c>
      <c r="R8" s="307">
        <f>IF($P8="","",IF(ISNUMBER($P8),DATE(YEAR($P8),MONTH($P8),1),IFERROR(DATE(IFERROR(VALUE(RIGHT(TRIM($P8),4)),YEAR(TODAY())),(SEARCH(LEFT(TRIM($P8),3),"JanFebMarAprMayJunJulAugSepOctNovDec")+2)/3,1),"")))</f>
      </c>
      <c r="S8" s="307">
        <f>IF($Q8="","",IF(ISNUMBER($Q8),DATE(YEAR($Q8),MONTH($Q8),1),IFERROR(DATE(IFERROR(VALUE(RIGHT(TRIM($Q8),4)),YEAR(TODAY())),(SEARCH(LEFT(TRIM($Q8),3),"JanFebMarAprMayJunJulAugSepOctNovDec")+2)/3,1),"")))</f>
      </c>
      <c r="T8" s="305">
        <f>IF($B8="","",COUNTA('UX + Dev'!$AB8:$DN8))</f>
      </c>
      <c r="U8" s="305">
        <f>IF($B8="","",IFERROR(MATCH($D8,Control!$E$4:$E$30,0)+3,0))</f>
      </c>
      <c r="V8" s="305">
        <f>IF($B8="","",IF(AND(OR('Roadmap (Auto)'!$A$3="",'Roadmap (Auto)'!$A$3="(All)",ISNUMBER(SEARCH('Roadmap (Auto)'!$A$3,$C8&amp;""))),OR('Roadmap (Auto)'!$B$3="",'Roadmap (Auto)'!$B$3="(All)",$D8='Roadmap (Auto)'!$B$3,$X8='Roadmap (Auto)'!$B$3),OR('Roadmap (Auto)'!$C$3="",'Roadmap (Auto)'!$C$3="(All)",$F8='Roadmap (Auto)'!$C$3)),1,0))</f>
      </c>
      <c r="W8" s="305">
        <f>IF($B8="","",COUNTIF($Y$2:$Y$151,"&lt;"&amp;$Y8)+1)</f>
      </c>
      <c r="X8" s="305">
        <f>IF($B8="","",IF(TRIM('UX + Dev'!D8)="","",TRIM('UX + Dev'!D8)))</f>
      </c>
      <c r="Y8" s="305">
        <f>IF($B8="","",SUBSTITUTE(SUBSTITUTE(SUBSTITUTE(SUBSTITUTE(SUBSTITUTE(SUBSTITUTE(SUBSTITUTE(SUBSTITUTE(SUBSTITUTE(SUBSTITUTE(SUBSTITUTE(SUBSTITUTE(SUBSTITUTE(SUBSTITUTE(SUBSTITUTE(SUBSTITUTE(SUBSTITUTE(SUBSTITUTE(SUBSTITUTE(SUBSTITUTE(SUBSTITUTE(SUBSTITUTE(SUBSTITUTE(SUBSTITUTE(SUBSTITUTE(UPPER($B8)," ",""),"-",""),":",""),"/",""),"&amp;",""),"|",""),"'",""),"’",""),"&lt;",""),"&gt;",""),",",""),"$",""),".",""),"(",""),")",""),"*",""),"?",""),"~",""),"_",""),"+",""),"#",""),";",""),"!",""),"%",""),"@",""))</f>
      </c>
      <c r="AA8">
        <f>IF($B8="",0,COUNTIFS('UX + Dev'!$AB$1:$DN$1,"&gt;="&amp;AA$1,'UX + Dev'!$AB$1:$DN$1,"&lt;="&amp;EOMONTH(AA$1,0),'UX + Dev'!$AB8:$DN8,"&lt;&gt;"))</f>
      </c>
      <c r="AB8">
        <f>IF($B8="",0,COUNTIFS('UX + Dev'!$AB$1:$DN$1,"&gt;="&amp;AB$1,'UX + Dev'!$AB$1:$DN$1,"&lt;="&amp;EOMONTH(AB$1,0),'UX + Dev'!$AB8:$DN8,"&lt;&gt;"))</f>
      </c>
      <c r="AC8">
        <f>IF($B8="",0,COUNTIFS('UX + Dev'!$AB$1:$DN$1,"&gt;="&amp;AC$1,'UX + Dev'!$AB$1:$DN$1,"&lt;="&amp;EOMONTH(AC$1,0),'UX + Dev'!$AB8:$DN8,"&lt;&gt;"))</f>
      </c>
      <c r="AD8">
        <f>IF($B8="",0,COUNTIFS('UX + Dev'!$AB$1:$DN$1,"&gt;="&amp;AD$1,'UX + Dev'!$AB$1:$DN$1,"&lt;="&amp;EOMONTH(AD$1,0),'UX + Dev'!$AB8:$DN8,"&lt;&gt;"))</f>
      </c>
      <c r="AE8">
        <f>IF($B8="",0,COUNTIFS('UX + Dev'!$AB$1:$DN$1,"&gt;="&amp;AE$1,'UX + Dev'!$AB$1:$DN$1,"&lt;="&amp;EOMONTH(AE$1,0),'UX + Dev'!$AB8:$DN8,"&lt;&gt;"))</f>
      </c>
      <c r="AF8">
        <f>IF($B8="",0,COUNTIFS('UX + Dev'!$AB$1:$DN$1,"&gt;="&amp;AF$1,'UX + Dev'!$AB$1:$DN$1,"&lt;="&amp;EOMONTH(AF$1,0),'UX + Dev'!$AB8:$DN8,"&lt;&gt;"))</f>
      </c>
      <c r="AG8">
        <f>IF($B8="",0,COUNTIFS('UX + Dev'!$AB$1:$DN$1,"&gt;="&amp;AG$1,'UX + Dev'!$AB$1:$DN$1,"&lt;="&amp;EOMONTH(AG$1,0),'UX + Dev'!$AB8:$DN8,"&lt;&gt;"))</f>
      </c>
      <c r="AH8">
        <f>IF($B8="",0,COUNTIFS('UX + Dev'!$AB$1:$DN$1,"&gt;="&amp;AH$1,'UX + Dev'!$AB$1:$DN$1,"&lt;="&amp;EOMONTH(AH$1,0),'UX + Dev'!$AB8:$DN8,"&lt;&gt;"))</f>
      </c>
      <c r="AI8">
        <f>IF($B8="",0,COUNTIFS('UX + Dev'!$AB$1:$DN$1,"&gt;="&amp;AI$1,'UX + Dev'!$AB$1:$DN$1,"&lt;="&amp;EOMONTH(AI$1,0),'UX + Dev'!$AB8:$DN8,"&lt;&gt;"))</f>
      </c>
      <c r="AJ8">
        <f>IF($B8="",0,COUNTIFS('UX + Dev'!$AB$1:$DN$1,"&gt;="&amp;AJ$1,'UX + Dev'!$AB$1:$DN$1,"&lt;="&amp;EOMONTH(AJ$1,0),'UX + Dev'!$AB8:$DN8,"&lt;&gt;"))</f>
      </c>
      <c r="AK8">
        <f>IF($B8="",0,COUNTIFS('UX + Dev'!$AB$1:$DN$1,"&gt;="&amp;AK$1,'UX + Dev'!$AB$1:$DN$1,"&lt;="&amp;EOMONTH(AK$1,0),'UX + Dev'!$AB8:$DN8,"&lt;&gt;"))</f>
      </c>
      <c r="AL8">
        <f>IF($B8="",0,COUNTIFS('UX + Dev'!$AB$1:$DN$1,"&gt;="&amp;AL$1,'UX + Dev'!$AB$1:$DN$1,"&lt;="&amp;EOMONTH(AL$1,0),'UX + Dev'!$AB8:$DN8,"&lt;&gt;"))</f>
      </c>
      <c r="AM8">
        <f>IF($B8="",0,COUNTIFS('UX + Dev'!$AB$1:$DN$1,"&gt;="&amp;AM$1,'UX + Dev'!$AB$1:$DN$1,"&lt;="&amp;EOMONTH(AM$1,0),'UX + Dev'!$AB8:$DN8,"&lt;&gt;"))</f>
      </c>
      <c r="AN8">
        <f>IF($B8="",0,COUNTIFS('UX + Dev'!$AB$1:$DN$1,"&gt;="&amp;AN$1,'UX + Dev'!$AB$1:$DN$1,"&lt;="&amp;EOMONTH(AN$1,0),'UX + Dev'!$AB8:$DN8,"&lt;&gt;"))</f>
      </c>
      <c r="AO8">
        <f>IF($B8="",0,COUNTIFS('UX + Dev'!$AB$1:$DN$1,"&gt;="&amp;AO$1,'UX + Dev'!$AB$1:$DN$1,"&lt;="&amp;EOMONTH(AO$1,0),'UX + Dev'!$AB8:$DN8,"&lt;&gt;"))</f>
      </c>
      <c r="AP8">
        <f>IF($B8="",0,COUNTIFS('UX + Dev'!$AB$1:$DN$1,"&gt;="&amp;AP$1,'UX + Dev'!$AB$1:$DN$1,"&lt;="&amp;EOMONTH(AP$1,0),'UX + Dev'!$AB8:$DN8,"&lt;&gt;"))</f>
      </c>
      <c r="AQ8">
        <f>IF($B8="",0,COUNTIFS('UX + Dev'!$AB$1:$DN$1,"&gt;="&amp;AQ$1,'UX + Dev'!$AB$1:$DN$1,"&lt;="&amp;EOMONTH(AQ$1,0),'UX + Dev'!$AB8:$DN8,"&lt;&gt;"))</f>
      </c>
      <c r="AR8">
        <f>IF($B8="",0,COUNTIFS('UX + Dev'!$AB$1:$DN$1,"&gt;="&amp;AR$1,'UX + Dev'!$AB$1:$DN$1,"&lt;="&amp;EOMONTH(AR$1,0),'UX + Dev'!$AB8:$DN8,"&lt;&gt;"))</f>
      </c>
      <c r="AS8">
        <f>IF($B8="",0,COUNTIFS('UX + Dev'!$AB$1:$DN$1,"&gt;="&amp;AS$1,'UX + Dev'!$AB$1:$DN$1,"&lt;="&amp;EOMONTH(AS$1,0),'UX + Dev'!$AB8:$DN8,"&lt;&gt;"))</f>
      </c>
      <c r="AT8">
        <f>IF($B8="",0,COUNTIFS('UX + Dev'!$AB$1:$DN$1,"&gt;="&amp;AT$1,'UX + Dev'!$AB$1:$DN$1,"&lt;="&amp;EOMONTH(AT$1,0),'UX + Dev'!$AB8:$DN8,"&lt;&gt;"))</f>
      </c>
      <c r="AU8">
        <f>IF($B8="",0,COUNTIFS('UX + Dev'!$AB$1:$DN$1,"&gt;="&amp;AU$1,'UX + Dev'!$AB$1:$DN$1,"&lt;="&amp;EOMONTH(AU$1,0),'UX + Dev'!$AB8:$DN8,"&lt;&gt;"))</f>
      </c>
      <c r="AV8">
        <f>IF($B8="",0,COUNTIFS('UX + Dev'!$AB$1:$DN$1,"&gt;="&amp;AV$1,'UX + Dev'!$AB$1:$DN$1,"&lt;="&amp;EOMONTH(AV$1,0),'UX + Dev'!$AB8:$DN8,"&lt;&gt;"))</f>
      </c>
      <c r="AW8">
        <f>IF($B8="",0,COUNTIFS('UX + Dev'!$AB$1:$DN$1,"&gt;="&amp;AW$1,'UX + Dev'!$AB$1:$DN$1,"&lt;="&amp;EOMONTH(AW$1,0),'UX + Dev'!$AB8:$DN8,"&lt;&gt;"))</f>
      </c>
      <c r="AX8">
        <f>IF($B8="",0,COUNTIFS('UX + Dev'!$AB$1:$DN$1,"&gt;="&amp;AX$1,'UX + Dev'!$AB$1:$DN$1,"&lt;="&amp;EOMONTH(AX$1,0),'UX + Dev'!$AB8:$DN8,"&lt;&gt;"))</f>
      </c>
      <c r="BB8" s="308">
        <f>IF($B8="","",IF(COUNTA('UX + Dev'!U8)&gt;0,DATE(YEAR('UX + Dev'!U8),MONTH('UX + Dev'!U8),1),IF(COUNTA('UX + Dev'!V8)&gt;0,DATE(YEAR('UX + Dev'!V8),MONTH('UX + Dev'!V8),1),"")))</f>
      </c>
      <c r="BC8" s="308">
        <f>IF($B8="","",IF(COUNTA('UX + Dev'!V8)&gt;0,EOMONTH('UX + Dev'!V8,0),IF(COUNTA('UX + Dev'!U8)&gt;0,EOMONTH('UX + Dev'!U8,0),"")))</f>
      </c>
    </row>
    <row r="9">
      <c r="A9" s="305" t="n">
        <v>9</v>
      </c>
      <c r="B9" s="305">
        <f>IF(TRIM('UX + Dev'!E9)="","",TRIM('UX + Dev'!E9))</f>
      </c>
      <c r="C9" s="305">
        <f>IF($B9="","",'UX + Dev'!B9)</f>
      </c>
      <c r="D9" s="305">
        <f>IF($B9="","",IF(TRIM('UX + Dev'!C9)="","(No theme assigned)",TRIM('UX + Dev'!C9)))</f>
      </c>
      <c r="E9" s="305">
        <f>IF($B9="","",TRIM('UX + Dev'!F9))</f>
      </c>
      <c r="F9" s="305">
        <f>IF($B9="","",'UX + Dev'!G9)</f>
      </c>
      <c r="G9" s="306">
        <f t="array" ref="G9">IF($B9="","",IF($T9=0,"",IFERROR(MIN(IF('UX + Dev'!$AB9:$DN9&lt;&gt;"",'UX + Dev'!$AB$1:$DN$1)),"")))</f>
      </c>
      <c r="H9" s="306">
        <f t="array" ref="H9">IF($B9="","",IF($T9=0,"",IFERROR(MAX(IF('UX + Dev'!$AB9:$DN9&lt;&gt;"",'UX + Dev'!$AB$1:$DN$1)),"")))</f>
      </c>
      <c r="I9" s="307">
        <f>IF($R9&lt;&gt;"",$R9,IF($S9&lt;&gt;"",$S9,""))</f>
      </c>
      <c r="J9" s="307">
        <f>IF($S9&lt;&gt;"",EOMONTH($S9,0),IF($R9&lt;&gt;"",EOMONTH($R9,0),""))</f>
      </c>
      <c r="K9" s="305">
        <f>IF($B9="","",IF(COUNTA('UX + Dev'!AA9)=0,"",TRIM('UX + Dev'!AA9)))</f>
      </c>
      <c r="L9" s="305">
        <f>IF($B9="","",IFERROR(MATCH($D9,Control!$E$4:$E$30,0),99))</f>
      </c>
      <c r="M9" s="305">
        <f>IF($B9="","",IFERROR(MATCH($F9,Control!$B$4:$B$30,0),99))</f>
      </c>
      <c r="N9" s="305">
        <f>IF($V9&lt;&gt;1,"",IF('Roadmap (Auto)'!$D$3="Status, then Theme",$M9*1000000+$L9*10000+ROW(),IF('Roadmap (Auto)'!$D$3="Dev start (earliest)",IF($I9="",99999999,$I9)*10000+ROW(),IF('Roadmap (Auto)'!$D$3="UX start (earliest)",IF($G9="",99999999,$G9)*10000+ROW(),IF('Roadmap (Auto)'!$D$3="Deliverable A-Z",$W9*10000+ROW(),$L9*1000000+$M9*10000+ROW())))))</f>
      </c>
      <c r="O9" s="305">
        <f>IF($N9="","",COUNTIF($N$2:$N$151,"&lt;"&amp;$N9)+1)</f>
      </c>
      <c r="P9" s="305">
        <f>IF($B9="","",IF(COUNTA('UX + Dev'!X9)=0,"",'UX + Dev'!X9))</f>
      </c>
      <c r="Q9" s="305">
        <f>IF($B9="","",IF(COUNTA('UX + Dev'!Y9)=0,"",'UX + Dev'!Y9))</f>
      </c>
      <c r="R9" s="307">
        <f>IF($P9="","",IF(ISNUMBER($P9),DATE(YEAR($P9),MONTH($P9),1),IFERROR(DATE(IFERROR(VALUE(RIGHT(TRIM($P9),4)),YEAR(TODAY())),(SEARCH(LEFT(TRIM($P9),3),"JanFebMarAprMayJunJulAugSepOctNovDec")+2)/3,1),"")))</f>
      </c>
      <c r="S9" s="307">
        <f>IF($Q9="","",IF(ISNUMBER($Q9),DATE(YEAR($Q9),MONTH($Q9),1),IFERROR(DATE(IFERROR(VALUE(RIGHT(TRIM($Q9),4)),YEAR(TODAY())),(SEARCH(LEFT(TRIM($Q9),3),"JanFebMarAprMayJunJulAugSepOctNovDec")+2)/3,1),"")))</f>
      </c>
      <c r="T9" s="305">
        <f>IF($B9="","",COUNTA('UX + Dev'!$AB9:$DN9))</f>
      </c>
      <c r="U9" s="305">
        <f>IF($B9="","",IFERROR(MATCH($D9,Control!$E$4:$E$30,0)+3,0))</f>
      </c>
      <c r="V9" s="305">
        <f>IF($B9="","",IF(AND(OR('Roadmap (Auto)'!$A$3="",'Roadmap (Auto)'!$A$3="(All)",ISNUMBER(SEARCH('Roadmap (Auto)'!$A$3,$C9&amp;""))),OR('Roadmap (Auto)'!$B$3="",'Roadmap (Auto)'!$B$3="(All)",$D9='Roadmap (Auto)'!$B$3,$X9='Roadmap (Auto)'!$B$3),OR('Roadmap (Auto)'!$C$3="",'Roadmap (Auto)'!$C$3="(All)",$F9='Roadmap (Auto)'!$C$3)),1,0))</f>
      </c>
      <c r="W9" s="305">
        <f>IF($B9="","",COUNTIF($Y$2:$Y$151,"&lt;"&amp;$Y9)+1)</f>
      </c>
      <c r="X9" s="305">
        <f>IF($B9="","",IF(TRIM('UX + Dev'!D9)="","",TRIM('UX + Dev'!D9)))</f>
      </c>
      <c r="Y9" s="305">
        <f>IF($B9="","",SUBSTITUTE(SUBSTITUTE(SUBSTITUTE(SUBSTITUTE(SUBSTITUTE(SUBSTITUTE(SUBSTITUTE(SUBSTITUTE(SUBSTITUTE(SUBSTITUTE(SUBSTITUTE(SUBSTITUTE(SUBSTITUTE(SUBSTITUTE(SUBSTITUTE(SUBSTITUTE(SUBSTITUTE(SUBSTITUTE(SUBSTITUTE(SUBSTITUTE(SUBSTITUTE(SUBSTITUTE(SUBSTITUTE(SUBSTITUTE(SUBSTITUTE(UPPER($B9)," ",""),"-",""),":",""),"/",""),"&amp;",""),"|",""),"'",""),"’",""),"&lt;",""),"&gt;",""),",",""),"$",""),".",""),"(",""),")",""),"*",""),"?",""),"~",""),"_",""),"+",""),"#",""),";",""),"!",""),"%",""),"@",""))</f>
      </c>
      <c r="AA9">
        <f>IF($B9="",0,COUNTIFS('UX + Dev'!$AB$1:$DN$1,"&gt;="&amp;AA$1,'UX + Dev'!$AB$1:$DN$1,"&lt;="&amp;EOMONTH(AA$1,0),'UX + Dev'!$AB9:$DN9,"&lt;&gt;"))</f>
      </c>
      <c r="AB9">
        <f>IF($B9="",0,COUNTIFS('UX + Dev'!$AB$1:$DN$1,"&gt;="&amp;AB$1,'UX + Dev'!$AB$1:$DN$1,"&lt;="&amp;EOMONTH(AB$1,0),'UX + Dev'!$AB9:$DN9,"&lt;&gt;"))</f>
      </c>
      <c r="AC9">
        <f>IF($B9="",0,COUNTIFS('UX + Dev'!$AB$1:$DN$1,"&gt;="&amp;AC$1,'UX + Dev'!$AB$1:$DN$1,"&lt;="&amp;EOMONTH(AC$1,0),'UX + Dev'!$AB9:$DN9,"&lt;&gt;"))</f>
      </c>
      <c r="AD9">
        <f>IF($B9="",0,COUNTIFS('UX + Dev'!$AB$1:$DN$1,"&gt;="&amp;AD$1,'UX + Dev'!$AB$1:$DN$1,"&lt;="&amp;EOMONTH(AD$1,0),'UX + Dev'!$AB9:$DN9,"&lt;&gt;"))</f>
      </c>
      <c r="AE9">
        <f>IF($B9="",0,COUNTIFS('UX + Dev'!$AB$1:$DN$1,"&gt;="&amp;AE$1,'UX + Dev'!$AB$1:$DN$1,"&lt;="&amp;EOMONTH(AE$1,0),'UX + Dev'!$AB9:$DN9,"&lt;&gt;"))</f>
      </c>
      <c r="AF9">
        <f>IF($B9="",0,COUNTIFS('UX + Dev'!$AB$1:$DN$1,"&gt;="&amp;AF$1,'UX + Dev'!$AB$1:$DN$1,"&lt;="&amp;EOMONTH(AF$1,0),'UX + Dev'!$AB9:$DN9,"&lt;&gt;"))</f>
      </c>
      <c r="AG9">
        <f>IF($B9="",0,COUNTIFS('UX + Dev'!$AB$1:$DN$1,"&gt;="&amp;AG$1,'UX + Dev'!$AB$1:$DN$1,"&lt;="&amp;EOMONTH(AG$1,0),'UX + Dev'!$AB9:$DN9,"&lt;&gt;"))</f>
      </c>
      <c r="AH9">
        <f>IF($B9="",0,COUNTIFS('UX + Dev'!$AB$1:$DN$1,"&gt;="&amp;AH$1,'UX + Dev'!$AB$1:$DN$1,"&lt;="&amp;EOMONTH(AH$1,0),'UX + Dev'!$AB9:$DN9,"&lt;&gt;"))</f>
      </c>
      <c r="AI9">
        <f>IF($B9="",0,COUNTIFS('UX + Dev'!$AB$1:$DN$1,"&gt;="&amp;AI$1,'UX + Dev'!$AB$1:$DN$1,"&lt;="&amp;EOMONTH(AI$1,0),'UX + Dev'!$AB9:$DN9,"&lt;&gt;"))</f>
      </c>
      <c r="AJ9">
        <f>IF($B9="",0,COUNTIFS('UX + Dev'!$AB$1:$DN$1,"&gt;="&amp;AJ$1,'UX + Dev'!$AB$1:$DN$1,"&lt;="&amp;EOMONTH(AJ$1,0),'UX + Dev'!$AB9:$DN9,"&lt;&gt;"))</f>
      </c>
      <c r="AK9">
        <f>IF($B9="",0,COUNTIFS('UX + Dev'!$AB$1:$DN$1,"&gt;="&amp;AK$1,'UX + Dev'!$AB$1:$DN$1,"&lt;="&amp;EOMONTH(AK$1,0),'UX + Dev'!$AB9:$DN9,"&lt;&gt;"))</f>
      </c>
      <c r="AL9">
        <f>IF($B9="",0,COUNTIFS('UX + Dev'!$AB$1:$DN$1,"&gt;="&amp;AL$1,'UX + Dev'!$AB$1:$DN$1,"&lt;="&amp;EOMONTH(AL$1,0),'UX + Dev'!$AB9:$DN9,"&lt;&gt;"))</f>
      </c>
      <c r="AM9">
        <f>IF($B9="",0,COUNTIFS('UX + Dev'!$AB$1:$DN$1,"&gt;="&amp;AM$1,'UX + Dev'!$AB$1:$DN$1,"&lt;="&amp;EOMONTH(AM$1,0),'UX + Dev'!$AB9:$DN9,"&lt;&gt;"))</f>
      </c>
      <c r="AN9">
        <f>IF($B9="",0,COUNTIFS('UX + Dev'!$AB$1:$DN$1,"&gt;="&amp;AN$1,'UX + Dev'!$AB$1:$DN$1,"&lt;="&amp;EOMONTH(AN$1,0),'UX + Dev'!$AB9:$DN9,"&lt;&gt;"))</f>
      </c>
      <c r="AO9">
        <f>IF($B9="",0,COUNTIFS('UX + Dev'!$AB$1:$DN$1,"&gt;="&amp;AO$1,'UX + Dev'!$AB$1:$DN$1,"&lt;="&amp;EOMONTH(AO$1,0),'UX + Dev'!$AB9:$DN9,"&lt;&gt;"))</f>
      </c>
      <c r="AP9">
        <f>IF($B9="",0,COUNTIFS('UX + Dev'!$AB$1:$DN$1,"&gt;="&amp;AP$1,'UX + Dev'!$AB$1:$DN$1,"&lt;="&amp;EOMONTH(AP$1,0),'UX + Dev'!$AB9:$DN9,"&lt;&gt;"))</f>
      </c>
      <c r="AQ9">
        <f>IF($B9="",0,COUNTIFS('UX + Dev'!$AB$1:$DN$1,"&gt;="&amp;AQ$1,'UX + Dev'!$AB$1:$DN$1,"&lt;="&amp;EOMONTH(AQ$1,0),'UX + Dev'!$AB9:$DN9,"&lt;&gt;"))</f>
      </c>
      <c r="AR9">
        <f>IF($B9="",0,COUNTIFS('UX + Dev'!$AB$1:$DN$1,"&gt;="&amp;AR$1,'UX + Dev'!$AB$1:$DN$1,"&lt;="&amp;EOMONTH(AR$1,0),'UX + Dev'!$AB9:$DN9,"&lt;&gt;"))</f>
      </c>
      <c r="AS9">
        <f>IF($B9="",0,COUNTIFS('UX + Dev'!$AB$1:$DN$1,"&gt;="&amp;AS$1,'UX + Dev'!$AB$1:$DN$1,"&lt;="&amp;EOMONTH(AS$1,0),'UX + Dev'!$AB9:$DN9,"&lt;&gt;"))</f>
      </c>
      <c r="AT9">
        <f>IF($B9="",0,COUNTIFS('UX + Dev'!$AB$1:$DN$1,"&gt;="&amp;AT$1,'UX + Dev'!$AB$1:$DN$1,"&lt;="&amp;EOMONTH(AT$1,0),'UX + Dev'!$AB9:$DN9,"&lt;&gt;"))</f>
      </c>
      <c r="AU9">
        <f>IF($B9="",0,COUNTIFS('UX + Dev'!$AB$1:$DN$1,"&gt;="&amp;AU$1,'UX + Dev'!$AB$1:$DN$1,"&lt;="&amp;EOMONTH(AU$1,0),'UX + Dev'!$AB9:$DN9,"&lt;&gt;"))</f>
      </c>
      <c r="AV9">
        <f>IF($B9="",0,COUNTIFS('UX + Dev'!$AB$1:$DN$1,"&gt;="&amp;AV$1,'UX + Dev'!$AB$1:$DN$1,"&lt;="&amp;EOMONTH(AV$1,0),'UX + Dev'!$AB9:$DN9,"&lt;&gt;"))</f>
      </c>
      <c r="AW9">
        <f>IF($B9="",0,COUNTIFS('UX + Dev'!$AB$1:$DN$1,"&gt;="&amp;AW$1,'UX + Dev'!$AB$1:$DN$1,"&lt;="&amp;EOMONTH(AW$1,0),'UX + Dev'!$AB9:$DN9,"&lt;&gt;"))</f>
      </c>
      <c r="AX9">
        <f>IF($B9="",0,COUNTIFS('UX + Dev'!$AB$1:$DN$1,"&gt;="&amp;AX$1,'UX + Dev'!$AB$1:$DN$1,"&lt;="&amp;EOMONTH(AX$1,0),'UX + Dev'!$AB9:$DN9,"&lt;&gt;"))</f>
      </c>
      <c r="BB9" s="308">
        <f>IF($B9="","",IF(COUNTA('UX + Dev'!U9)&gt;0,DATE(YEAR('UX + Dev'!U9),MONTH('UX + Dev'!U9),1),IF(COUNTA('UX + Dev'!V9)&gt;0,DATE(YEAR('UX + Dev'!V9),MONTH('UX + Dev'!V9),1),"")))</f>
      </c>
      <c r="BC9" s="308">
        <f>IF($B9="","",IF(COUNTA('UX + Dev'!V9)&gt;0,EOMONTH('UX + Dev'!V9,0),IF(COUNTA('UX + Dev'!U9)&gt;0,EOMONTH('UX + Dev'!U9,0),"")))</f>
      </c>
    </row>
    <row r="10">
      <c r="A10" s="305" t="n">
        <v>10</v>
      </c>
      <c r="B10" s="305">
        <f>IF(TRIM('UX + Dev'!E10)="","",TRIM('UX + Dev'!E10))</f>
      </c>
      <c r="C10" s="305">
        <f>IF($B10="","",'UX + Dev'!B10)</f>
      </c>
      <c r="D10" s="305">
        <f>IF($B10="","",IF(TRIM('UX + Dev'!C10)="","(No theme assigned)",TRIM('UX + Dev'!C10)))</f>
      </c>
      <c r="E10" s="305">
        <f>IF($B10="","",TRIM('UX + Dev'!F10))</f>
      </c>
      <c r="F10" s="305">
        <f>IF($B10="","",'UX + Dev'!G10)</f>
      </c>
      <c r="G10" s="306">
        <f t="array" ref="G10">IF($B10="","",IF($T10=0,"",IFERROR(MIN(IF('UX + Dev'!$AB10:$DN10&lt;&gt;"",'UX + Dev'!$AB$1:$DN$1)),"")))</f>
      </c>
      <c r="H10" s="306">
        <f t="array" ref="H10">IF($B10="","",IF($T10=0,"",IFERROR(MAX(IF('UX + Dev'!$AB10:$DN10&lt;&gt;"",'UX + Dev'!$AB$1:$DN$1)),"")))</f>
      </c>
      <c r="I10" s="307">
        <f>IF($R10&lt;&gt;"",$R10,IF($S10&lt;&gt;"",$S10,""))</f>
      </c>
      <c r="J10" s="307">
        <f>IF($S10&lt;&gt;"",EOMONTH($S10,0),IF($R10&lt;&gt;"",EOMONTH($R10,0),""))</f>
      </c>
      <c r="K10" s="305">
        <f>IF($B10="","",IF(COUNTA('UX + Dev'!AA10)=0,"",TRIM('UX + Dev'!AA10)))</f>
      </c>
      <c r="L10" s="305">
        <f>IF($B10="","",IFERROR(MATCH($D10,Control!$E$4:$E$30,0),99))</f>
      </c>
      <c r="M10" s="305">
        <f>IF($B10="","",IFERROR(MATCH($F10,Control!$B$4:$B$30,0),99))</f>
      </c>
      <c r="N10" s="305">
        <f>IF($V10&lt;&gt;1,"",IF('Roadmap (Auto)'!$D$3="Status, then Theme",$M10*1000000+$L10*10000+ROW(),IF('Roadmap (Auto)'!$D$3="Dev start (earliest)",IF($I10="",99999999,$I10)*10000+ROW(),IF('Roadmap (Auto)'!$D$3="UX start (earliest)",IF($G10="",99999999,$G10)*10000+ROW(),IF('Roadmap (Auto)'!$D$3="Deliverable A-Z",$W10*10000+ROW(),$L10*1000000+$M10*10000+ROW())))))</f>
      </c>
      <c r="O10" s="305">
        <f>IF($N10="","",COUNTIF($N$2:$N$151,"&lt;"&amp;$N10)+1)</f>
      </c>
      <c r="P10" s="305">
        <f>IF($B10="","",IF(COUNTA('UX + Dev'!X10)=0,"",'UX + Dev'!X10))</f>
      </c>
      <c r="Q10" s="305">
        <f>IF($B10="","",IF(COUNTA('UX + Dev'!Y10)=0,"",'UX + Dev'!Y10))</f>
      </c>
      <c r="R10" s="307">
        <f>IF($P10="","",IF(ISNUMBER($P10),DATE(YEAR($P10),MONTH($P10),1),IFERROR(DATE(IFERROR(VALUE(RIGHT(TRIM($P10),4)),YEAR(TODAY())),(SEARCH(LEFT(TRIM($P10),3),"JanFebMarAprMayJunJulAugSepOctNovDec")+2)/3,1),"")))</f>
      </c>
      <c r="S10" s="307">
        <f>IF($Q10="","",IF(ISNUMBER($Q10),DATE(YEAR($Q10),MONTH($Q10),1),IFERROR(DATE(IFERROR(VALUE(RIGHT(TRIM($Q10),4)),YEAR(TODAY())),(SEARCH(LEFT(TRIM($Q10),3),"JanFebMarAprMayJunJulAugSepOctNovDec")+2)/3,1),"")))</f>
      </c>
      <c r="T10" s="305">
        <f>IF($B10="","",COUNTA('UX + Dev'!$AB10:$DN10))</f>
      </c>
      <c r="U10" s="305">
        <f>IF($B10="","",IFERROR(MATCH($D10,Control!$E$4:$E$30,0)+3,0))</f>
      </c>
      <c r="V10" s="305">
        <f>IF($B10="","",IF(AND(OR('Roadmap (Auto)'!$A$3="",'Roadmap (Auto)'!$A$3="(All)",ISNUMBER(SEARCH('Roadmap (Auto)'!$A$3,$C10&amp;""))),OR('Roadmap (Auto)'!$B$3="",'Roadmap (Auto)'!$B$3="(All)",$D10='Roadmap (Auto)'!$B$3,$X10='Roadmap (Auto)'!$B$3),OR('Roadmap (Auto)'!$C$3="",'Roadmap (Auto)'!$C$3="(All)",$F10='Roadmap (Auto)'!$C$3)),1,0))</f>
      </c>
      <c r="W10" s="305">
        <f>IF($B10="","",COUNTIF($Y$2:$Y$151,"&lt;"&amp;$Y10)+1)</f>
      </c>
      <c r="X10" s="305">
        <f>IF($B10="","",IF(TRIM('UX + Dev'!D10)="","",TRIM('UX + Dev'!D10)))</f>
      </c>
      <c r="Y10" s="305">
        <f>IF($B10="","",SUBSTITUTE(SUBSTITUTE(SUBSTITUTE(SUBSTITUTE(SUBSTITUTE(SUBSTITUTE(SUBSTITUTE(SUBSTITUTE(SUBSTITUTE(SUBSTITUTE(SUBSTITUTE(SUBSTITUTE(SUBSTITUTE(SUBSTITUTE(SUBSTITUTE(SUBSTITUTE(SUBSTITUTE(SUBSTITUTE(SUBSTITUTE(SUBSTITUTE(SUBSTITUTE(SUBSTITUTE(SUBSTITUTE(SUBSTITUTE(SUBSTITUTE(UPPER($B10)," ",""),"-",""),":",""),"/",""),"&amp;",""),"|",""),"'",""),"’",""),"&lt;",""),"&gt;",""),",",""),"$",""),".",""),"(",""),")",""),"*",""),"?",""),"~",""),"_",""),"+",""),"#",""),";",""),"!",""),"%",""),"@",""))</f>
      </c>
      <c r="AA10">
        <f>IF($B10="",0,COUNTIFS('UX + Dev'!$AB$1:$DN$1,"&gt;="&amp;AA$1,'UX + Dev'!$AB$1:$DN$1,"&lt;="&amp;EOMONTH(AA$1,0),'UX + Dev'!$AB10:$DN10,"&lt;&gt;"))</f>
      </c>
      <c r="AB10">
        <f>IF($B10="",0,COUNTIFS('UX + Dev'!$AB$1:$DN$1,"&gt;="&amp;AB$1,'UX + Dev'!$AB$1:$DN$1,"&lt;="&amp;EOMONTH(AB$1,0),'UX + Dev'!$AB10:$DN10,"&lt;&gt;"))</f>
      </c>
      <c r="AC10">
        <f>IF($B10="",0,COUNTIFS('UX + Dev'!$AB$1:$DN$1,"&gt;="&amp;AC$1,'UX + Dev'!$AB$1:$DN$1,"&lt;="&amp;EOMONTH(AC$1,0),'UX + Dev'!$AB10:$DN10,"&lt;&gt;"))</f>
      </c>
      <c r="AD10">
        <f>IF($B10="",0,COUNTIFS('UX + Dev'!$AB$1:$DN$1,"&gt;="&amp;AD$1,'UX + Dev'!$AB$1:$DN$1,"&lt;="&amp;EOMONTH(AD$1,0),'UX + Dev'!$AB10:$DN10,"&lt;&gt;"))</f>
      </c>
      <c r="AE10">
        <f>IF($B10="",0,COUNTIFS('UX + Dev'!$AB$1:$DN$1,"&gt;="&amp;AE$1,'UX + Dev'!$AB$1:$DN$1,"&lt;="&amp;EOMONTH(AE$1,0),'UX + Dev'!$AB10:$DN10,"&lt;&gt;"))</f>
      </c>
      <c r="AF10">
        <f>IF($B10="",0,COUNTIFS('UX + Dev'!$AB$1:$DN$1,"&gt;="&amp;AF$1,'UX + Dev'!$AB$1:$DN$1,"&lt;="&amp;EOMONTH(AF$1,0),'UX + Dev'!$AB10:$DN10,"&lt;&gt;"))</f>
      </c>
      <c r="AG10">
        <f>IF($B10="",0,COUNTIFS('UX + Dev'!$AB$1:$DN$1,"&gt;="&amp;AG$1,'UX + Dev'!$AB$1:$DN$1,"&lt;="&amp;EOMONTH(AG$1,0),'UX + Dev'!$AB10:$DN10,"&lt;&gt;"))</f>
      </c>
      <c r="AH10">
        <f>IF($B10="",0,COUNTIFS('UX + Dev'!$AB$1:$DN$1,"&gt;="&amp;AH$1,'UX + Dev'!$AB$1:$DN$1,"&lt;="&amp;EOMONTH(AH$1,0),'UX + Dev'!$AB10:$DN10,"&lt;&gt;"))</f>
      </c>
      <c r="AI10">
        <f>IF($B10="",0,COUNTIFS('UX + Dev'!$AB$1:$DN$1,"&gt;="&amp;AI$1,'UX + Dev'!$AB$1:$DN$1,"&lt;="&amp;EOMONTH(AI$1,0),'UX + Dev'!$AB10:$DN10,"&lt;&gt;"))</f>
      </c>
      <c r="AJ10">
        <f>IF($B10="",0,COUNTIFS('UX + Dev'!$AB$1:$DN$1,"&gt;="&amp;AJ$1,'UX + Dev'!$AB$1:$DN$1,"&lt;="&amp;EOMONTH(AJ$1,0),'UX + Dev'!$AB10:$DN10,"&lt;&gt;"))</f>
      </c>
      <c r="AK10">
        <f>IF($B10="",0,COUNTIFS('UX + Dev'!$AB$1:$DN$1,"&gt;="&amp;AK$1,'UX + Dev'!$AB$1:$DN$1,"&lt;="&amp;EOMONTH(AK$1,0),'UX + Dev'!$AB10:$DN10,"&lt;&gt;"))</f>
      </c>
      <c r="AL10">
        <f>IF($B10="",0,COUNTIFS('UX + Dev'!$AB$1:$DN$1,"&gt;="&amp;AL$1,'UX + Dev'!$AB$1:$DN$1,"&lt;="&amp;EOMONTH(AL$1,0),'UX + Dev'!$AB10:$DN10,"&lt;&gt;"))</f>
      </c>
      <c r="AM10">
        <f>IF($B10="",0,COUNTIFS('UX + Dev'!$AB$1:$DN$1,"&gt;="&amp;AM$1,'UX + Dev'!$AB$1:$DN$1,"&lt;="&amp;EOMONTH(AM$1,0),'UX + Dev'!$AB10:$DN10,"&lt;&gt;"))</f>
      </c>
      <c r="AN10">
        <f>IF($B10="",0,COUNTIFS('UX + Dev'!$AB$1:$DN$1,"&gt;="&amp;AN$1,'UX + Dev'!$AB$1:$DN$1,"&lt;="&amp;EOMONTH(AN$1,0),'UX + Dev'!$AB10:$DN10,"&lt;&gt;"))</f>
      </c>
      <c r="AO10">
        <f>IF($B10="",0,COUNTIFS('UX + Dev'!$AB$1:$DN$1,"&gt;="&amp;AO$1,'UX + Dev'!$AB$1:$DN$1,"&lt;="&amp;EOMONTH(AO$1,0),'UX + Dev'!$AB10:$DN10,"&lt;&gt;"))</f>
      </c>
      <c r="AP10">
        <f>IF($B10="",0,COUNTIFS('UX + Dev'!$AB$1:$DN$1,"&gt;="&amp;AP$1,'UX + Dev'!$AB$1:$DN$1,"&lt;="&amp;EOMONTH(AP$1,0),'UX + Dev'!$AB10:$DN10,"&lt;&gt;"))</f>
      </c>
      <c r="AQ10">
        <f>IF($B10="",0,COUNTIFS('UX + Dev'!$AB$1:$DN$1,"&gt;="&amp;AQ$1,'UX + Dev'!$AB$1:$DN$1,"&lt;="&amp;EOMONTH(AQ$1,0),'UX + Dev'!$AB10:$DN10,"&lt;&gt;"))</f>
      </c>
      <c r="AR10">
        <f>IF($B10="",0,COUNTIFS('UX + Dev'!$AB$1:$DN$1,"&gt;="&amp;AR$1,'UX + Dev'!$AB$1:$DN$1,"&lt;="&amp;EOMONTH(AR$1,0),'UX + Dev'!$AB10:$DN10,"&lt;&gt;"))</f>
      </c>
      <c r="AS10">
        <f>IF($B10="",0,COUNTIFS('UX + Dev'!$AB$1:$DN$1,"&gt;="&amp;AS$1,'UX + Dev'!$AB$1:$DN$1,"&lt;="&amp;EOMONTH(AS$1,0),'UX + Dev'!$AB10:$DN10,"&lt;&gt;"))</f>
      </c>
      <c r="AT10">
        <f>IF($B10="",0,COUNTIFS('UX + Dev'!$AB$1:$DN$1,"&gt;="&amp;AT$1,'UX + Dev'!$AB$1:$DN$1,"&lt;="&amp;EOMONTH(AT$1,0),'UX + Dev'!$AB10:$DN10,"&lt;&gt;"))</f>
      </c>
      <c r="AU10">
        <f>IF($B10="",0,COUNTIFS('UX + Dev'!$AB$1:$DN$1,"&gt;="&amp;AU$1,'UX + Dev'!$AB$1:$DN$1,"&lt;="&amp;EOMONTH(AU$1,0),'UX + Dev'!$AB10:$DN10,"&lt;&gt;"))</f>
      </c>
      <c r="AV10">
        <f>IF($B10="",0,COUNTIFS('UX + Dev'!$AB$1:$DN$1,"&gt;="&amp;AV$1,'UX + Dev'!$AB$1:$DN$1,"&lt;="&amp;EOMONTH(AV$1,0),'UX + Dev'!$AB10:$DN10,"&lt;&gt;"))</f>
      </c>
      <c r="AW10">
        <f>IF($B10="",0,COUNTIFS('UX + Dev'!$AB$1:$DN$1,"&gt;="&amp;AW$1,'UX + Dev'!$AB$1:$DN$1,"&lt;="&amp;EOMONTH(AW$1,0),'UX + Dev'!$AB10:$DN10,"&lt;&gt;"))</f>
      </c>
      <c r="AX10">
        <f>IF($B10="",0,COUNTIFS('UX + Dev'!$AB$1:$DN$1,"&gt;="&amp;AX$1,'UX + Dev'!$AB$1:$DN$1,"&lt;="&amp;EOMONTH(AX$1,0),'UX + Dev'!$AB10:$DN10,"&lt;&gt;"))</f>
      </c>
      <c r="BB10" s="308">
        <f>IF($B10="","",IF(COUNTA('UX + Dev'!U10)&gt;0,DATE(YEAR('UX + Dev'!U10),MONTH('UX + Dev'!U10),1),IF(COUNTA('UX + Dev'!V10)&gt;0,DATE(YEAR('UX + Dev'!V10),MONTH('UX + Dev'!V10),1),"")))</f>
      </c>
      <c r="BC10" s="308">
        <f>IF($B10="","",IF(COUNTA('UX + Dev'!V10)&gt;0,EOMONTH('UX + Dev'!V10,0),IF(COUNTA('UX + Dev'!U10)&gt;0,EOMONTH('UX + Dev'!U10,0),"")))</f>
      </c>
    </row>
    <row r="11">
      <c r="A11" s="305" t="n">
        <v>11</v>
      </c>
      <c r="B11" s="305">
        <f>IF(TRIM('UX + Dev'!E11)="","",TRIM('UX + Dev'!E11))</f>
      </c>
      <c r="C11" s="305">
        <f>IF($B11="","",'UX + Dev'!B11)</f>
      </c>
      <c r="D11" s="305">
        <f>IF($B11="","",IF(TRIM('UX + Dev'!C11)="","(No theme assigned)",TRIM('UX + Dev'!C11)))</f>
      </c>
      <c r="E11" s="305">
        <f>IF($B11="","",TRIM('UX + Dev'!F11))</f>
      </c>
      <c r="F11" s="305">
        <f>IF($B11="","",'UX + Dev'!G11)</f>
      </c>
      <c r="G11" s="306">
        <f t="array" ref="G11">IF($B11="","",IF($T11=0,"",IFERROR(MIN(IF('UX + Dev'!$AB11:$DN11&lt;&gt;"",'UX + Dev'!$AB$1:$DN$1)),"")))</f>
      </c>
      <c r="H11" s="306">
        <f t="array" ref="H11">IF($B11="","",IF($T11=0,"",IFERROR(MAX(IF('UX + Dev'!$AB11:$DN11&lt;&gt;"",'UX + Dev'!$AB$1:$DN$1)),"")))</f>
      </c>
      <c r="I11" s="307">
        <f>IF($R11&lt;&gt;"",$R11,IF($S11&lt;&gt;"",$S11,""))</f>
      </c>
      <c r="J11" s="307">
        <f>IF($S11&lt;&gt;"",EOMONTH($S11,0),IF($R11&lt;&gt;"",EOMONTH($R11,0),""))</f>
      </c>
      <c r="K11" s="305">
        <f>IF($B11="","",IF(COUNTA('UX + Dev'!AA11)=0,"",TRIM('UX + Dev'!AA11)))</f>
      </c>
      <c r="L11" s="305">
        <f>IF($B11="","",IFERROR(MATCH($D11,Control!$E$4:$E$30,0),99))</f>
      </c>
      <c r="M11" s="305">
        <f>IF($B11="","",IFERROR(MATCH($F11,Control!$B$4:$B$30,0),99))</f>
      </c>
      <c r="N11" s="305">
        <f>IF($V11&lt;&gt;1,"",IF('Roadmap (Auto)'!$D$3="Status, then Theme",$M11*1000000+$L11*10000+ROW(),IF('Roadmap (Auto)'!$D$3="Dev start (earliest)",IF($I11="",99999999,$I11)*10000+ROW(),IF('Roadmap (Auto)'!$D$3="UX start (earliest)",IF($G11="",99999999,$G11)*10000+ROW(),IF('Roadmap (Auto)'!$D$3="Deliverable A-Z",$W11*10000+ROW(),$L11*1000000+$M11*10000+ROW())))))</f>
      </c>
      <c r="O11" s="305">
        <f>IF($N11="","",COUNTIF($N$2:$N$151,"&lt;"&amp;$N11)+1)</f>
      </c>
      <c r="P11" s="305">
        <f>IF($B11="","",IF(COUNTA('UX + Dev'!X11)=0,"",'UX + Dev'!X11))</f>
      </c>
      <c r="Q11" s="305">
        <f>IF($B11="","",IF(COUNTA('UX + Dev'!Y11)=0,"",'UX + Dev'!Y11))</f>
      </c>
      <c r="R11" s="307">
        <f>IF($P11="","",IF(ISNUMBER($P11),DATE(YEAR($P11),MONTH($P11),1),IFERROR(DATE(IFERROR(VALUE(RIGHT(TRIM($P11),4)),YEAR(TODAY())),(SEARCH(LEFT(TRIM($P11),3),"JanFebMarAprMayJunJulAugSepOctNovDec")+2)/3,1),"")))</f>
      </c>
      <c r="S11" s="307">
        <f>IF($Q11="","",IF(ISNUMBER($Q11),DATE(YEAR($Q11),MONTH($Q11),1),IFERROR(DATE(IFERROR(VALUE(RIGHT(TRIM($Q11),4)),YEAR(TODAY())),(SEARCH(LEFT(TRIM($Q11),3),"JanFebMarAprMayJunJulAugSepOctNovDec")+2)/3,1),"")))</f>
      </c>
      <c r="T11" s="305">
        <f>IF($B11="","",COUNTA('UX + Dev'!$AB11:$DN11))</f>
      </c>
      <c r="U11" s="305">
        <f>IF($B11="","",IFERROR(MATCH($D11,Control!$E$4:$E$30,0)+3,0))</f>
      </c>
      <c r="V11" s="305">
        <f>IF($B11="","",IF(AND(OR('Roadmap (Auto)'!$A$3="",'Roadmap (Auto)'!$A$3="(All)",ISNUMBER(SEARCH('Roadmap (Auto)'!$A$3,$C11&amp;""))),OR('Roadmap (Auto)'!$B$3="",'Roadmap (Auto)'!$B$3="(All)",$D11='Roadmap (Auto)'!$B$3,$X11='Roadmap (Auto)'!$B$3),OR('Roadmap (Auto)'!$C$3="",'Roadmap (Auto)'!$C$3="(All)",$F11='Roadmap (Auto)'!$C$3)),1,0))</f>
      </c>
      <c r="W11" s="305">
        <f>IF($B11="","",COUNTIF($Y$2:$Y$151,"&lt;"&amp;$Y11)+1)</f>
      </c>
      <c r="X11" s="305">
        <f>IF($B11="","",IF(TRIM('UX + Dev'!D11)="","",TRIM('UX + Dev'!D11)))</f>
      </c>
      <c r="Y11" s="305">
        <f>IF($B11="","",SUBSTITUTE(SUBSTITUTE(SUBSTITUTE(SUBSTITUTE(SUBSTITUTE(SUBSTITUTE(SUBSTITUTE(SUBSTITUTE(SUBSTITUTE(SUBSTITUTE(SUBSTITUTE(SUBSTITUTE(SUBSTITUTE(SUBSTITUTE(SUBSTITUTE(SUBSTITUTE(SUBSTITUTE(SUBSTITUTE(SUBSTITUTE(SUBSTITUTE(SUBSTITUTE(SUBSTITUTE(SUBSTITUTE(SUBSTITUTE(SUBSTITUTE(UPPER($B11)," ",""),"-",""),":",""),"/",""),"&amp;",""),"|",""),"'",""),"’",""),"&lt;",""),"&gt;",""),",",""),"$",""),".",""),"(",""),")",""),"*",""),"?",""),"~",""),"_",""),"+",""),"#",""),";",""),"!",""),"%",""),"@",""))</f>
      </c>
      <c r="AA11">
        <f>IF($B11="",0,COUNTIFS('UX + Dev'!$AB$1:$DN$1,"&gt;="&amp;AA$1,'UX + Dev'!$AB$1:$DN$1,"&lt;="&amp;EOMONTH(AA$1,0),'UX + Dev'!$AB11:$DN11,"&lt;&gt;"))</f>
      </c>
      <c r="AB11">
        <f>IF($B11="",0,COUNTIFS('UX + Dev'!$AB$1:$DN$1,"&gt;="&amp;AB$1,'UX + Dev'!$AB$1:$DN$1,"&lt;="&amp;EOMONTH(AB$1,0),'UX + Dev'!$AB11:$DN11,"&lt;&gt;"))</f>
      </c>
      <c r="AC11">
        <f>IF($B11="",0,COUNTIFS('UX + Dev'!$AB$1:$DN$1,"&gt;="&amp;AC$1,'UX + Dev'!$AB$1:$DN$1,"&lt;="&amp;EOMONTH(AC$1,0),'UX + Dev'!$AB11:$DN11,"&lt;&gt;"))</f>
      </c>
      <c r="AD11">
        <f>IF($B11="",0,COUNTIFS('UX + Dev'!$AB$1:$DN$1,"&gt;="&amp;AD$1,'UX + Dev'!$AB$1:$DN$1,"&lt;="&amp;EOMONTH(AD$1,0),'UX + Dev'!$AB11:$DN11,"&lt;&gt;"))</f>
      </c>
      <c r="AE11">
        <f>IF($B11="",0,COUNTIFS('UX + Dev'!$AB$1:$DN$1,"&gt;="&amp;AE$1,'UX + Dev'!$AB$1:$DN$1,"&lt;="&amp;EOMONTH(AE$1,0),'UX + Dev'!$AB11:$DN11,"&lt;&gt;"))</f>
      </c>
      <c r="AF11">
        <f>IF($B11="",0,COUNTIFS('UX + Dev'!$AB$1:$DN$1,"&gt;="&amp;AF$1,'UX + Dev'!$AB$1:$DN$1,"&lt;="&amp;EOMONTH(AF$1,0),'UX + Dev'!$AB11:$DN11,"&lt;&gt;"))</f>
      </c>
      <c r="AG11">
        <f>IF($B11="",0,COUNTIFS('UX + Dev'!$AB$1:$DN$1,"&gt;="&amp;AG$1,'UX + Dev'!$AB$1:$DN$1,"&lt;="&amp;EOMONTH(AG$1,0),'UX + Dev'!$AB11:$DN11,"&lt;&gt;"))</f>
      </c>
      <c r="AH11">
        <f>IF($B11="",0,COUNTIFS('UX + Dev'!$AB$1:$DN$1,"&gt;="&amp;AH$1,'UX + Dev'!$AB$1:$DN$1,"&lt;="&amp;EOMONTH(AH$1,0),'UX + Dev'!$AB11:$DN11,"&lt;&gt;"))</f>
      </c>
      <c r="AI11">
        <f>IF($B11="",0,COUNTIFS('UX + Dev'!$AB$1:$DN$1,"&gt;="&amp;AI$1,'UX + Dev'!$AB$1:$DN$1,"&lt;="&amp;EOMONTH(AI$1,0),'UX + Dev'!$AB11:$DN11,"&lt;&gt;"))</f>
      </c>
      <c r="AJ11">
        <f>IF($B11="",0,COUNTIFS('UX + Dev'!$AB$1:$DN$1,"&gt;="&amp;AJ$1,'UX + Dev'!$AB$1:$DN$1,"&lt;="&amp;EOMONTH(AJ$1,0),'UX + Dev'!$AB11:$DN11,"&lt;&gt;"))</f>
      </c>
      <c r="AK11">
        <f>IF($B11="",0,COUNTIFS('UX + Dev'!$AB$1:$DN$1,"&gt;="&amp;AK$1,'UX + Dev'!$AB$1:$DN$1,"&lt;="&amp;EOMONTH(AK$1,0),'UX + Dev'!$AB11:$DN11,"&lt;&gt;"))</f>
      </c>
      <c r="AL11">
        <f>IF($B11="",0,COUNTIFS('UX + Dev'!$AB$1:$DN$1,"&gt;="&amp;AL$1,'UX + Dev'!$AB$1:$DN$1,"&lt;="&amp;EOMONTH(AL$1,0),'UX + Dev'!$AB11:$DN11,"&lt;&gt;"))</f>
      </c>
      <c r="AM11">
        <f>IF($B11="",0,COUNTIFS('UX + Dev'!$AB$1:$DN$1,"&gt;="&amp;AM$1,'UX + Dev'!$AB$1:$DN$1,"&lt;="&amp;EOMONTH(AM$1,0),'UX + Dev'!$AB11:$DN11,"&lt;&gt;"))</f>
      </c>
      <c r="AN11">
        <f>IF($B11="",0,COUNTIFS('UX + Dev'!$AB$1:$DN$1,"&gt;="&amp;AN$1,'UX + Dev'!$AB$1:$DN$1,"&lt;="&amp;EOMONTH(AN$1,0),'UX + Dev'!$AB11:$DN11,"&lt;&gt;"))</f>
      </c>
      <c r="AO11">
        <f>IF($B11="",0,COUNTIFS('UX + Dev'!$AB$1:$DN$1,"&gt;="&amp;AO$1,'UX + Dev'!$AB$1:$DN$1,"&lt;="&amp;EOMONTH(AO$1,0),'UX + Dev'!$AB11:$DN11,"&lt;&gt;"))</f>
      </c>
      <c r="AP11">
        <f>IF($B11="",0,COUNTIFS('UX + Dev'!$AB$1:$DN$1,"&gt;="&amp;AP$1,'UX + Dev'!$AB$1:$DN$1,"&lt;="&amp;EOMONTH(AP$1,0),'UX + Dev'!$AB11:$DN11,"&lt;&gt;"))</f>
      </c>
      <c r="AQ11">
        <f>IF($B11="",0,COUNTIFS('UX + Dev'!$AB$1:$DN$1,"&gt;="&amp;AQ$1,'UX + Dev'!$AB$1:$DN$1,"&lt;="&amp;EOMONTH(AQ$1,0),'UX + Dev'!$AB11:$DN11,"&lt;&gt;"))</f>
      </c>
      <c r="AR11">
        <f>IF($B11="",0,COUNTIFS('UX + Dev'!$AB$1:$DN$1,"&gt;="&amp;AR$1,'UX + Dev'!$AB$1:$DN$1,"&lt;="&amp;EOMONTH(AR$1,0),'UX + Dev'!$AB11:$DN11,"&lt;&gt;"))</f>
      </c>
      <c r="AS11">
        <f>IF($B11="",0,COUNTIFS('UX + Dev'!$AB$1:$DN$1,"&gt;="&amp;AS$1,'UX + Dev'!$AB$1:$DN$1,"&lt;="&amp;EOMONTH(AS$1,0),'UX + Dev'!$AB11:$DN11,"&lt;&gt;"))</f>
      </c>
      <c r="AT11">
        <f>IF($B11="",0,COUNTIFS('UX + Dev'!$AB$1:$DN$1,"&gt;="&amp;AT$1,'UX + Dev'!$AB$1:$DN$1,"&lt;="&amp;EOMONTH(AT$1,0),'UX + Dev'!$AB11:$DN11,"&lt;&gt;"))</f>
      </c>
      <c r="AU11">
        <f>IF($B11="",0,COUNTIFS('UX + Dev'!$AB$1:$DN$1,"&gt;="&amp;AU$1,'UX + Dev'!$AB$1:$DN$1,"&lt;="&amp;EOMONTH(AU$1,0),'UX + Dev'!$AB11:$DN11,"&lt;&gt;"))</f>
      </c>
      <c r="AV11">
        <f>IF($B11="",0,COUNTIFS('UX + Dev'!$AB$1:$DN$1,"&gt;="&amp;AV$1,'UX + Dev'!$AB$1:$DN$1,"&lt;="&amp;EOMONTH(AV$1,0),'UX + Dev'!$AB11:$DN11,"&lt;&gt;"))</f>
      </c>
      <c r="AW11">
        <f>IF($B11="",0,COUNTIFS('UX + Dev'!$AB$1:$DN$1,"&gt;="&amp;AW$1,'UX + Dev'!$AB$1:$DN$1,"&lt;="&amp;EOMONTH(AW$1,0),'UX + Dev'!$AB11:$DN11,"&lt;&gt;"))</f>
      </c>
      <c r="AX11">
        <f>IF($B11="",0,COUNTIFS('UX + Dev'!$AB$1:$DN$1,"&gt;="&amp;AX$1,'UX + Dev'!$AB$1:$DN$1,"&lt;="&amp;EOMONTH(AX$1,0),'UX + Dev'!$AB11:$DN11,"&lt;&gt;"))</f>
      </c>
      <c r="BB11" s="308">
        <f>IF($B11="","",IF(COUNTA('UX + Dev'!U11)&gt;0,DATE(YEAR('UX + Dev'!U11),MONTH('UX + Dev'!U11),1),IF(COUNTA('UX + Dev'!V11)&gt;0,DATE(YEAR('UX + Dev'!V11),MONTH('UX + Dev'!V11),1),"")))</f>
      </c>
      <c r="BC11" s="308">
        <f>IF($B11="","",IF(COUNTA('UX + Dev'!V11)&gt;0,EOMONTH('UX + Dev'!V11,0),IF(COUNTA('UX + Dev'!U11)&gt;0,EOMONTH('UX + Dev'!U11,0),"")))</f>
      </c>
    </row>
    <row r="12">
      <c r="A12" s="305" t="n">
        <v>12</v>
      </c>
      <c r="B12" s="305">
        <f>IF(TRIM('UX + Dev'!E12)="","",TRIM('UX + Dev'!E12))</f>
      </c>
      <c r="C12" s="305">
        <f>IF($B12="","",'UX + Dev'!B12)</f>
      </c>
      <c r="D12" s="305">
        <f>IF($B12="","",IF(TRIM('UX + Dev'!C12)="","(No theme assigned)",TRIM('UX + Dev'!C12)))</f>
      </c>
      <c r="E12" s="305">
        <f>IF($B12="","",TRIM('UX + Dev'!F12))</f>
      </c>
      <c r="F12" s="305">
        <f>IF($B12="","",'UX + Dev'!G12)</f>
      </c>
      <c r="G12" s="306">
        <f t="array" ref="G12">IF($B12="","",IF($T12=0,"",IFERROR(MIN(IF('UX + Dev'!$AB12:$DN12&lt;&gt;"",'UX + Dev'!$AB$1:$DN$1)),"")))</f>
      </c>
      <c r="H12" s="306">
        <f t="array" ref="H12">IF($B12="","",IF($T12=0,"",IFERROR(MAX(IF('UX + Dev'!$AB12:$DN12&lt;&gt;"",'UX + Dev'!$AB$1:$DN$1)),"")))</f>
      </c>
      <c r="I12" s="307">
        <f>IF($R12&lt;&gt;"",$R12,IF($S12&lt;&gt;"",$S12,""))</f>
      </c>
      <c r="J12" s="307">
        <f>IF($S12&lt;&gt;"",EOMONTH($S12,0),IF($R12&lt;&gt;"",EOMONTH($R12,0),""))</f>
      </c>
      <c r="K12" s="305">
        <f>IF($B12="","",IF(COUNTA('UX + Dev'!AA12)=0,"",TRIM('UX + Dev'!AA12)))</f>
      </c>
      <c r="L12" s="305">
        <f>IF($B12="","",IFERROR(MATCH($D12,Control!$E$4:$E$30,0),99))</f>
      </c>
      <c r="M12" s="305">
        <f>IF($B12="","",IFERROR(MATCH($F12,Control!$B$4:$B$30,0),99))</f>
      </c>
      <c r="N12" s="305">
        <f>IF($V12&lt;&gt;1,"",IF('Roadmap (Auto)'!$D$3="Status, then Theme",$M12*1000000+$L12*10000+ROW(),IF('Roadmap (Auto)'!$D$3="Dev start (earliest)",IF($I12="",99999999,$I12)*10000+ROW(),IF('Roadmap (Auto)'!$D$3="UX start (earliest)",IF($G12="",99999999,$G12)*10000+ROW(),IF('Roadmap (Auto)'!$D$3="Deliverable A-Z",$W12*10000+ROW(),$L12*1000000+$M12*10000+ROW())))))</f>
      </c>
      <c r="O12" s="305">
        <f>IF($N12="","",COUNTIF($N$2:$N$151,"&lt;"&amp;$N12)+1)</f>
      </c>
      <c r="P12" s="305">
        <f>IF($B12="","",IF(COUNTA('UX + Dev'!X12)=0,"",'UX + Dev'!X12))</f>
      </c>
      <c r="Q12" s="305">
        <f>IF($B12="","",IF(COUNTA('UX + Dev'!Y12)=0,"",'UX + Dev'!Y12))</f>
      </c>
      <c r="R12" s="307">
        <f>IF($P12="","",IF(ISNUMBER($P12),DATE(YEAR($P12),MONTH($P12),1),IFERROR(DATE(IFERROR(VALUE(RIGHT(TRIM($P12),4)),YEAR(TODAY())),(SEARCH(LEFT(TRIM($P12),3),"JanFebMarAprMayJunJulAugSepOctNovDec")+2)/3,1),"")))</f>
      </c>
      <c r="S12" s="307">
        <f>IF($Q12="","",IF(ISNUMBER($Q12),DATE(YEAR($Q12),MONTH($Q12),1),IFERROR(DATE(IFERROR(VALUE(RIGHT(TRIM($Q12),4)),YEAR(TODAY())),(SEARCH(LEFT(TRIM($Q12),3),"JanFebMarAprMayJunJulAugSepOctNovDec")+2)/3,1),"")))</f>
      </c>
      <c r="T12" s="305">
        <f>IF($B12="","",COUNTA('UX + Dev'!$AB12:$DN12))</f>
      </c>
      <c r="U12" s="305">
        <f>IF($B12="","",IFERROR(MATCH($D12,Control!$E$4:$E$30,0)+3,0))</f>
      </c>
      <c r="V12" s="305">
        <f>IF($B12="","",IF(AND(OR('Roadmap (Auto)'!$A$3="",'Roadmap (Auto)'!$A$3="(All)",ISNUMBER(SEARCH('Roadmap (Auto)'!$A$3,$C12&amp;""))),OR('Roadmap (Auto)'!$B$3="",'Roadmap (Auto)'!$B$3="(All)",$D12='Roadmap (Auto)'!$B$3,$X12='Roadmap (Auto)'!$B$3),OR('Roadmap (Auto)'!$C$3="",'Roadmap (Auto)'!$C$3="(All)",$F12='Roadmap (Auto)'!$C$3)),1,0))</f>
      </c>
      <c r="W12" s="305">
        <f>IF($B12="","",COUNTIF($Y$2:$Y$151,"&lt;"&amp;$Y12)+1)</f>
      </c>
      <c r="X12" s="305">
        <f>IF($B12="","",IF(TRIM('UX + Dev'!D12)="","",TRIM('UX + Dev'!D12)))</f>
      </c>
      <c r="Y12" s="305">
        <f>IF($B12="","",SUBSTITUTE(SUBSTITUTE(SUBSTITUTE(SUBSTITUTE(SUBSTITUTE(SUBSTITUTE(SUBSTITUTE(SUBSTITUTE(SUBSTITUTE(SUBSTITUTE(SUBSTITUTE(SUBSTITUTE(SUBSTITUTE(SUBSTITUTE(SUBSTITUTE(SUBSTITUTE(SUBSTITUTE(SUBSTITUTE(SUBSTITUTE(SUBSTITUTE(SUBSTITUTE(SUBSTITUTE(SUBSTITUTE(SUBSTITUTE(SUBSTITUTE(UPPER($B12)," ",""),"-",""),":",""),"/",""),"&amp;",""),"|",""),"'",""),"’",""),"&lt;",""),"&gt;",""),",",""),"$",""),".",""),"(",""),")",""),"*",""),"?",""),"~",""),"_",""),"+",""),"#",""),";",""),"!",""),"%",""),"@",""))</f>
      </c>
      <c r="AA12">
        <f>IF($B12="",0,COUNTIFS('UX + Dev'!$AB$1:$DN$1,"&gt;="&amp;AA$1,'UX + Dev'!$AB$1:$DN$1,"&lt;="&amp;EOMONTH(AA$1,0),'UX + Dev'!$AB12:$DN12,"&lt;&gt;"))</f>
      </c>
      <c r="AB12">
        <f>IF($B12="",0,COUNTIFS('UX + Dev'!$AB$1:$DN$1,"&gt;="&amp;AB$1,'UX + Dev'!$AB$1:$DN$1,"&lt;="&amp;EOMONTH(AB$1,0),'UX + Dev'!$AB12:$DN12,"&lt;&gt;"))</f>
      </c>
      <c r="AC12">
        <f>IF($B12="",0,COUNTIFS('UX + Dev'!$AB$1:$DN$1,"&gt;="&amp;AC$1,'UX + Dev'!$AB$1:$DN$1,"&lt;="&amp;EOMONTH(AC$1,0),'UX + Dev'!$AB12:$DN12,"&lt;&gt;"))</f>
      </c>
      <c r="AD12">
        <f>IF($B12="",0,COUNTIFS('UX + Dev'!$AB$1:$DN$1,"&gt;="&amp;AD$1,'UX + Dev'!$AB$1:$DN$1,"&lt;="&amp;EOMONTH(AD$1,0),'UX + Dev'!$AB12:$DN12,"&lt;&gt;"))</f>
      </c>
      <c r="AE12">
        <f>IF($B12="",0,COUNTIFS('UX + Dev'!$AB$1:$DN$1,"&gt;="&amp;AE$1,'UX + Dev'!$AB$1:$DN$1,"&lt;="&amp;EOMONTH(AE$1,0),'UX + Dev'!$AB12:$DN12,"&lt;&gt;"))</f>
      </c>
      <c r="AF12">
        <f>IF($B12="",0,COUNTIFS('UX + Dev'!$AB$1:$DN$1,"&gt;="&amp;AF$1,'UX + Dev'!$AB$1:$DN$1,"&lt;="&amp;EOMONTH(AF$1,0),'UX + Dev'!$AB12:$DN12,"&lt;&gt;"))</f>
      </c>
      <c r="AG12">
        <f>IF($B12="",0,COUNTIFS('UX + Dev'!$AB$1:$DN$1,"&gt;="&amp;AG$1,'UX + Dev'!$AB$1:$DN$1,"&lt;="&amp;EOMONTH(AG$1,0),'UX + Dev'!$AB12:$DN12,"&lt;&gt;"))</f>
      </c>
      <c r="AH12">
        <f>IF($B12="",0,COUNTIFS('UX + Dev'!$AB$1:$DN$1,"&gt;="&amp;AH$1,'UX + Dev'!$AB$1:$DN$1,"&lt;="&amp;EOMONTH(AH$1,0),'UX + Dev'!$AB12:$DN12,"&lt;&gt;"))</f>
      </c>
      <c r="AI12">
        <f>IF($B12="",0,COUNTIFS('UX + Dev'!$AB$1:$DN$1,"&gt;="&amp;AI$1,'UX + Dev'!$AB$1:$DN$1,"&lt;="&amp;EOMONTH(AI$1,0),'UX + Dev'!$AB12:$DN12,"&lt;&gt;"))</f>
      </c>
      <c r="AJ12">
        <f>IF($B12="",0,COUNTIFS('UX + Dev'!$AB$1:$DN$1,"&gt;="&amp;AJ$1,'UX + Dev'!$AB$1:$DN$1,"&lt;="&amp;EOMONTH(AJ$1,0),'UX + Dev'!$AB12:$DN12,"&lt;&gt;"))</f>
      </c>
      <c r="AK12">
        <f>IF($B12="",0,COUNTIFS('UX + Dev'!$AB$1:$DN$1,"&gt;="&amp;AK$1,'UX + Dev'!$AB$1:$DN$1,"&lt;="&amp;EOMONTH(AK$1,0),'UX + Dev'!$AB12:$DN12,"&lt;&gt;"))</f>
      </c>
      <c r="AL12">
        <f>IF($B12="",0,COUNTIFS('UX + Dev'!$AB$1:$DN$1,"&gt;="&amp;AL$1,'UX + Dev'!$AB$1:$DN$1,"&lt;="&amp;EOMONTH(AL$1,0),'UX + Dev'!$AB12:$DN12,"&lt;&gt;"))</f>
      </c>
      <c r="AM12">
        <f>IF($B12="",0,COUNTIFS('UX + Dev'!$AB$1:$DN$1,"&gt;="&amp;AM$1,'UX + Dev'!$AB$1:$DN$1,"&lt;="&amp;EOMONTH(AM$1,0),'UX + Dev'!$AB12:$DN12,"&lt;&gt;"))</f>
      </c>
      <c r="AN12">
        <f>IF($B12="",0,COUNTIFS('UX + Dev'!$AB$1:$DN$1,"&gt;="&amp;AN$1,'UX + Dev'!$AB$1:$DN$1,"&lt;="&amp;EOMONTH(AN$1,0),'UX + Dev'!$AB12:$DN12,"&lt;&gt;"))</f>
      </c>
      <c r="AO12">
        <f>IF($B12="",0,COUNTIFS('UX + Dev'!$AB$1:$DN$1,"&gt;="&amp;AO$1,'UX + Dev'!$AB$1:$DN$1,"&lt;="&amp;EOMONTH(AO$1,0),'UX + Dev'!$AB12:$DN12,"&lt;&gt;"))</f>
      </c>
      <c r="AP12">
        <f>IF($B12="",0,COUNTIFS('UX + Dev'!$AB$1:$DN$1,"&gt;="&amp;AP$1,'UX + Dev'!$AB$1:$DN$1,"&lt;="&amp;EOMONTH(AP$1,0),'UX + Dev'!$AB12:$DN12,"&lt;&gt;"))</f>
      </c>
      <c r="AQ12">
        <f>IF($B12="",0,COUNTIFS('UX + Dev'!$AB$1:$DN$1,"&gt;="&amp;AQ$1,'UX + Dev'!$AB$1:$DN$1,"&lt;="&amp;EOMONTH(AQ$1,0),'UX + Dev'!$AB12:$DN12,"&lt;&gt;"))</f>
      </c>
      <c r="AR12">
        <f>IF($B12="",0,COUNTIFS('UX + Dev'!$AB$1:$DN$1,"&gt;="&amp;AR$1,'UX + Dev'!$AB$1:$DN$1,"&lt;="&amp;EOMONTH(AR$1,0),'UX + Dev'!$AB12:$DN12,"&lt;&gt;"))</f>
      </c>
      <c r="AS12">
        <f>IF($B12="",0,COUNTIFS('UX + Dev'!$AB$1:$DN$1,"&gt;="&amp;AS$1,'UX + Dev'!$AB$1:$DN$1,"&lt;="&amp;EOMONTH(AS$1,0),'UX + Dev'!$AB12:$DN12,"&lt;&gt;"))</f>
      </c>
      <c r="AT12">
        <f>IF($B12="",0,COUNTIFS('UX + Dev'!$AB$1:$DN$1,"&gt;="&amp;AT$1,'UX + Dev'!$AB$1:$DN$1,"&lt;="&amp;EOMONTH(AT$1,0),'UX + Dev'!$AB12:$DN12,"&lt;&gt;"))</f>
      </c>
      <c r="AU12">
        <f>IF($B12="",0,COUNTIFS('UX + Dev'!$AB$1:$DN$1,"&gt;="&amp;AU$1,'UX + Dev'!$AB$1:$DN$1,"&lt;="&amp;EOMONTH(AU$1,0),'UX + Dev'!$AB12:$DN12,"&lt;&gt;"))</f>
      </c>
      <c r="AV12">
        <f>IF($B12="",0,COUNTIFS('UX + Dev'!$AB$1:$DN$1,"&gt;="&amp;AV$1,'UX + Dev'!$AB$1:$DN$1,"&lt;="&amp;EOMONTH(AV$1,0),'UX + Dev'!$AB12:$DN12,"&lt;&gt;"))</f>
      </c>
      <c r="AW12">
        <f>IF($B12="",0,COUNTIFS('UX + Dev'!$AB$1:$DN$1,"&gt;="&amp;AW$1,'UX + Dev'!$AB$1:$DN$1,"&lt;="&amp;EOMONTH(AW$1,0),'UX + Dev'!$AB12:$DN12,"&lt;&gt;"))</f>
      </c>
      <c r="AX12">
        <f>IF($B12="",0,COUNTIFS('UX + Dev'!$AB$1:$DN$1,"&gt;="&amp;AX$1,'UX + Dev'!$AB$1:$DN$1,"&lt;="&amp;EOMONTH(AX$1,0),'UX + Dev'!$AB12:$DN12,"&lt;&gt;"))</f>
      </c>
      <c r="BB12" s="308">
        <f>IF($B12="","",IF(COUNTA('UX + Dev'!U12)&gt;0,DATE(YEAR('UX + Dev'!U12),MONTH('UX + Dev'!U12),1),IF(COUNTA('UX + Dev'!V12)&gt;0,DATE(YEAR('UX + Dev'!V12),MONTH('UX + Dev'!V12),1),"")))</f>
      </c>
      <c r="BC12" s="308">
        <f>IF($B12="","",IF(COUNTA('UX + Dev'!V12)&gt;0,EOMONTH('UX + Dev'!V12,0),IF(COUNTA('UX + Dev'!U12)&gt;0,EOMONTH('UX + Dev'!U12,0),"")))</f>
      </c>
    </row>
    <row r="13">
      <c r="A13" s="305" t="n">
        <v>13</v>
      </c>
      <c r="B13" s="305">
        <f>IF(TRIM('UX + Dev'!E13)="","",TRIM('UX + Dev'!E13))</f>
      </c>
      <c r="C13" s="305">
        <f>IF($B13="","",'UX + Dev'!B13)</f>
      </c>
      <c r="D13" s="305">
        <f>IF($B13="","",IF(TRIM('UX + Dev'!C13)="","(No theme assigned)",TRIM('UX + Dev'!C13)))</f>
      </c>
      <c r="E13" s="305">
        <f>IF($B13="","",TRIM('UX + Dev'!F13))</f>
      </c>
      <c r="F13" s="305">
        <f>IF($B13="","",'UX + Dev'!G13)</f>
      </c>
      <c r="G13" s="306">
        <f t="array" ref="G13">IF($B13="","",IF($T13=0,"",IFERROR(MIN(IF('UX + Dev'!$AB13:$DN13&lt;&gt;"",'UX + Dev'!$AB$1:$DN$1)),"")))</f>
      </c>
      <c r="H13" s="306">
        <f t="array" ref="H13">IF($B13="","",IF($T13=0,"",IFERROR(MAX(IF('UX + Dev'!$AB13:$DN13&lt;&gt;"",'UX + Dev'!$AB$1:$DN$1)),"")))</f>
      </c>
      <c r="I13" s="307">
        <f>IF($R13&lt;&gt;"",$R13,IF($S13&lt;&gt;"",$S13,""))</f>
      </c>
      <c r="J13" s="307">
        <f>IF($S13&lt;&gt;"",EOMONTH($S13,0),IF($R13&lt;&gt;"",EOMONTH($R13,0),""))</f>
      </c>
      <c r="K13" s="305">
        <f>IF($B13="","",IF(COUNTA('UX + Dev'!AA13)=0,"",TRIM('UX + Dev'!AA13)))</f>
      </c>
      <c r="L13" s="305">
        <f>IF($B13="","",IFERROR(MATCH($D13,Control!$E$4:$E$30,0),99))</f>
      </c>
      <c r="M13" s="305">
        <f>IF($B13="","",IFERROR(MATCH($F13,Control!$B$4:$B$30,0),99))</f>
      </c>
      <c r="N13" s="305">
        <f>IF($V13&lt;&gt;1,"",IF('Roadmap (Auto)'!$D$3="Status, then Theme",$M13*1000000+$L13*10000+ROW(),IF('Roadmap (Auto)'!$D$3="Dev start (earliest)",IF($I13="",99999999,$I13)*10000+ROW(),IF('Roadmap (Auto)'!$D$3="UX start (earliest)",IF($G13="",99999999,$G13)*10000+ROW(),IF('Roadmap (Auto)'!$D$3="Deliverable A-Z",$W13*10000+ROW(),$L13*1000000+$M13*10000+ROW())))))</f>
      </c>
      <c r="O13" s="305">
        <f>IF($N13="","",COUNTIF($N$2:$N$151,"&lt;"&amp;$N13)+1)</f>
      </c>
      <c r="P13" s="305">
        <f>IF($B13="","",IF(COUNTA('UX + Dev'!X13)=0,"",'UX + Dev'!X13))</f>
      </c>
      <c r="Q13" s="305">
        <f>IF($B13="","",IF(COUNTA('UX + Dev'!Y13)=0,"",'UX + Dev'!Y13))</f>
      </c>
      <c r="R13" s="307">
        <f>IF($P13="","",IF(ISNUMBER($P13),DATE(YEAR($P13),MONTH($P13),1),IFERROR(DATE(IFERROR(VALUE(RIGHT(TRIM($P13),4)),YEAR(TODAY())),(SEARCH(LEFT(TRIM($P13),3),"JanFebMarAprMayJunJulAugSepOctNovDec")+2)/3,1),"")))</f>
      </c>
      <c r="S13" s="307">
        <f>IF($Q13="","",IF(ISNUMBER($Q13),DATE(YEAR($Q13),MONTH($Q13),1),IFERROR(DATE(IFERROR(VALUE(RIGHT(TRIM($Q13),4)),YEAR(TODAY())),(SEARCH(LEFT(TRIM($Q13),3),"JanFebMarAprMayJunJulAugSepOctNovDec")+2)/3,1),"")))</f>
      </c>
      <c r="T13" s="305">
        <f>IF($B13="","",COUNTA('UX + Dev'!$AB13:$DN13))</f>
      </c>
      <c r="U13" s="305">
        <f>IF($B13="","",IFERROR(MATCH($D13,Control!$E$4:$E$30,0)+3,0))</f>
      </c>
      <c r="V13" s="305">
        <f>IF($B13="","",IF(AND(OR('Roadmap (Auto)'!$A$3="",'Roadmap (Auto)'!$A$3="(All)",ISNUMBER(SEARCH('Roadmap (Auto)'!$A$3,$C13&amp;""))),OR('Roadmap (Auto)'!$B$3="",'Roadmap (Auto)'!$B$3="(All)",$D13='Roadmap (Auto)'!$B$3,$X13='Roadmap (Auto)'!$B$3),OR('Roadmap (Auto)'!$C$3="",'Roadmap (Auto)'!$C$3="(All)",$F13='Roadmap (Auto)'!$C$3)),1,0))</f>
      </c>
      <c r="W13" s="305">
        <f>IF($B13="","",COUNTIF($Y$2:$Y$151,"&lt;"&amp;$Y13)+1)</f>
      </c>
      <c r="X13" s="305">
        <f>IF($B13="","",IF(TRIM('UX + Dev'!D13)="","",TRIM('UX + Dev'!D13)))</f>
      </c>
      <c r="Y13" s="305">
        <f>IF($B13="","",SUBSTITUTE(SUBSTITUTE(SUBSTITUTE(SUBSTITUTE(SUBSTITUTE(SUBSTITUTE(SUBSTITUTE(SUBSTITUTE(SUBSTITUTE(SUBSTITUTE(SUBSTITUTE(SUBSTITUTE(SUBSTITUTE(SUBSTITUTE(SUBSTITUTE(SUBSTITUTE(SUBSTITUTE(SUBSTITUTE(SUBSTITUTE(SUBSTITUTE(SUBSTITUTE(SUBSTITUTE(SUBSTITUTE(SUBSTITUTE(SUBSTITUTE(UPPER($B13)," ",""),"-",""),":",""),"/",""),"&amp;",""),"|",""),"'",""),"’",""),"&lt;",""),"&gt;",""),",",""),"$",""),".",""),"(",""),")",""),"*",""),"?",""),"~",""),"_",""),"+",""),"#",""),";",""),"!",""),"%",""),"@",""))</f>
      </c>
      <c r="AA13">
        <f>IF($B13="",0,COUNTIFS('UX + Dev'!$AB$1:$DN$1,"&gt;="&amp;AA$1,'UX + Dev'!$AB$1:$DN$1,"&lt;="&amp;EOMONTH(AA$1,0),'UX + Dev'!$AB13:$DN13,"&lt;&gt;"))</f>
      </c>
      <c r="AB13">
        <f>IF($B13="",0,COUNTIFS('UX + Dev'!$AB$1:$DN$1,"&gt;="&amp;AB$1,'UX + Dev'!$AB$1:$DN$1,"&lt;="&amp;EOMONTH(AB$1,0),'UX + Dev'!$AB13:$DN13,"&lt;&gt;"))</f>
      </c>
      <c r="AC13">
        <f>IF($B13="",0,COUNTIFS('UX + Dev'!$AB$1:$DN$1,"&gt;="&amp;AC$1,'UX + Dev'!$AB$1:$DN$1,"&lt;="&amp;EOMONTH(AC$1,0),'UX + Dev'!$AB13:$DN13,"&lt;&gt;"))</f>
      </c>
      <c r="AD13">
        <f>IF($B13="",0,COUNTIFS('UX + Dev'!$AB$1:$DN$1,"&gt;="&amp;AD$1,'UX + Dev'!$AB$1:$DN$1,"&lt;="&amp;EOMONTH(AD$1,0),'UX + Dev'!$AB13:$DN13,"&lt;&gt;"))</f>
      </c>
      <c r="AE13">
        <f>IF($B13="",0,COUNTIFS('UX + Dev'!$AB$1:$DN$1,"&gt;="&amp;AE$1,'UX + Dev'!$AB$1:$DN$1,"&lt;="&amp;EOMONTH(AE$1,0),'UX + Dev'!$AB13:$DN13,"&lt;&gt;"))</f>
      </c>
      <c r="AF13">
        <f>IF($B13="",0,COUNTIFS('UX + Dev'!$AB$1:$DN$1,"&gt;="&amp;AF$1,'UX + Dev'!$AB$1:$DN$1,"&lt;="&amp;EOMONTH(AF$1,0),'UX + Dev'!$AB13:$DN13,"&lt;&gt;"))</f>
      </c>
      <c r="AG13">
        <f>IF($B13="",0,COUNTIFS('UX + Dev'!$AB$1:$DN$1,"&gt;="&amp;AG$1,'UX + Dev'!$AB$1:$DN$1,"&lt;="&amp;EOMONTH(AG$1,0),'UX + Dev'!$AB13:$DN13,"&lt;&gt;"))</f>
      </c>
      <c r="AH13">
        <f>IF($B13="",0,COUNTIFS('UX + Dev'!$AB$1:$DN$1,"&gt;="&amp;AH$1,'UX + Dev'!$AB$1:$DN$1,"&lt;="&amp;EOMONTH(AH$1,0),'UX + Dev'!$AB13:$DN13,"&lt;&gt;"))</f>
      </c>
      <c r="AI13">
        <f>IF($B13="",0,COUNTIFS('UX + Dev'!$AB$1:$DN$1,"&gt;="&amp;AI$1,'UX + Dev'!$AB$1:$DN$1,"&lt;="&amp;EOMONTH(AI$1,0),'UX + Dev'!$AB13:$DN13,"&lt;&gt;"))</f>
      </c>
      <c r="AJ13">
        <f>IF($B13="",0,COUNTIFS('UX + Dev'!$AB$1:$DN$1,"&gt;="&amp;AJ$1,'UX + Dev'!$AB$1:$DN$1,"&lt;="&amp;EOMONTH(AJ$1,0),'UX + Dev'!$AB13:$DN13,"&lt;&gt;"))</f>
      </c>
      <c r="AK13">
        <f>IF($B13="",0,COUNTIFS('UX + Dev'!$AB$1:$DN$1,"&gt;="&amp;AK$1,'UX + Dev'!$AB$1:$DN$1,"&lt;="&amp;EOMONTH(AK$1,0),'UX + Dev'!$AB13:$DN13,"&lt;&gt;"))</f>
      </c>
      <c r="AL13">
        <f>IF($B13="",0,COUNTIFS('UX + Dev'!$AB$1:$DN$1,"&gt;="&amp;AL$1,'UX + Dev'!$AB$1:$DN$1,"&lt;="&amp;EOMONTH(AL$1,0),'UX + Dev'!$AB13:$DN13,"&lt;&gt;"))</f>
      </c>
      <c r="AM13">
        <f>IF($B13="",0,COUNTIFS('UX + Dev'!$AB$1:$DN$1,"&gt;="&amp;AM$1,'UX + Dev'!$AB$1:$DN$1,"&lt;="&amp;EOMONTH(AM$1,0),'UX + Dev'!$AB13:$DN13,"&lt;&gt;"))</f>
      </c>
      <c r="AN13">
        <f>IF($B13="",0,COUNTIFS('UX + Dev'!$AB$1:$DN$1,"&gt;="&amp;AN$1,'UX + Dev'!$AB$1:$DN$1,"&lt;="&amp;EOMONTH(AN$1,0),'UX + Dev'!$AB13:$DN13,"&lt;&gt;"))</f>
      </c>
      <c r="AO13">
        <f>IF($B13="",0,COUNTIFS('UX + Dev'!$AB$1:$DN$1,"&gt;="&amp;AO$1,'UX + Dev'!$AB$1:$DN$1,"&lt;="&amp;EOMONTH(AO$1,0),'UX + Dev'!$AB13:$DN13,"&lt;&gt;"))</f>
      </c>
      <c r="AP13">
        <f>IF($B13="",0,COUNTIFS('UX + Dev'!$AB$1:$DN$1,"&gt;="&amp;AP$1,'UX + Dev'!$AB$1:$DN$1,"&lt;="&amp;EOMONTH(AP$1,0),'UX + Dev'!$AB13:$DN13,"&lt;&gt;"))</f>
      </c>
      <c r="AQ13">
        <f>IF($B13="",0,COUNTIFS('UX + Dev'!$AB$1:$DN$1,"&gt;="&amp;AQ$1,'UX + Dev'!$AB$1:$DN$1,"&lt;="&amp;EOMONTH(AQ$1,0),'UX + Dev'!$AB13:$DN13,"&lt;&gt;"))</f>
      </c>
      <c r="AR13">
        <f>IF($B13="",0,COUNTIFS('UX + Dev'!$AB$1:$DN$1,"&gt;="&amp;AR$1,'UX + Dev'!$AB$1:$DN$1,"&lt;="&amp;EOMONTH(AR$1,0),'UX + Dev'!$AB13:$DN13,"&lt;&gt;"))</f>
      </c>
      <c r="AS13">
        <f>IF($B13="",0,COUNTIFS('UX + Dev'!$AB$1:$DN$1,"&gt;="&amp;AS$1,'UX + Dev'!$AB$1:$DN$1,"&lt;="&amp;EOMONTH(AS$1,0),'UX + Dev'!$AB13:$DN13,"&lt;&gt;"))</f>
      </c>
      <c r="AT13">
        <f>IF($B13="",0,COUNTIFS('UX + Dev'!$AB$1:$DN$1,"&gt;="&amp;AT$1,'UX + Dev'!$AB$1:$DN$1,"&lt;="&amp;EOMONTH(AT$1,0),'UX + Dev'!$AB13:$DN13,"&lt;&gt;"))</f>
      </c>
      <c r="AU13">
        <f>IF($B13="",0,COUNTIFS('UX + Dev'!$AB$1:$DN$1,"&gt;="&amp;AU$1,'UX + Dev'!$AB$1:$DN$1,"&lt;="&amp;EOMONTH(AU$1,0),'UX + Dev'!$AB13:$DN13,"&lt;&gt;"))</f>
      </c>
      <c r="AV13">
        <f>IF($B13="",0,COUNTIFS('UX + Dev'!$AB$1:$DN$1,"&gt;="&amp;AV$1,'UX + Dev'!$AB$1:$DN$1,"&lt;="&amp;EOMONTH(AV$1,0),'UX + Dev'!$AB13:$DN13,"&lt;&gt;"))</f>
      </c>
      <c r="AW13">
        <f>IF($B13="",0,COUNTIFS('UX + Dev'!$AB$1:$DN$1,"&gt;="&amp;AW$1,'UX + Dev'!$AB$1:$DN$1,"&lt;="&amp;EOMONTH(AW$1,0),'UX + Dev'!$AB13:$DN13,"&lt;&gt;"))</f>
      </c>
      <c r="AX13">
        <f>IF($B13="",0,COUNTIFS('UX + Dev'!$AB$1:$DN$1,"&gt;="&amp;AX$1,'UX + Dev'!$AB$1:$DN$1,"&lt;="&amp;EOMONTH(AX$1,0),'UX + Dev'!$AB13:$DN13,"&lt;&gt;"))</f>
      </c>
      <c r="BB13" s="308">
        <f>IF($B13="","",IF(COUNTA('UX + Dev'!U13)&gt;0,DATE(YEAR('UX + Dev'!U13),MONTH('UX + Dev'!U13),1),IF(COUNTA('UX + Dev'!V13)&gt;0,DATE(YEAR('UX + Dev'!V13),MONTH('UX + Dev'!V13),1),"")))</f>
      </c>
      <c r="BC13" s="308">
        <f>IF($B13="","",IF(COUNTA('UX + Dev'!V13)&gt;0,EOMONTH('UX + Dev'!V13,0),IF(COUNTA('UX + Dev'!U13)&gt;0,EOMONTH('UX + Dev'!U13,0),"")))</f>
      </c>
    </row>
    <row r="14">
      <c r="A14" s="305" t="n">
        <v>14</v>
      </c>
      <c r="B14" s="305">
        <f>IF(TRIM('UX + Dev'!E14)="","",TRIM('UX + Dev'!E14))</f>
      </c>
      <c r="C14" s="305">
        <f>IF($B14="","",'UX + Dev'!B14)</f>
      </c>
      <c r="D14" s="305">
        <f>IF($B14="","",IF(TRIM('UX + Dev'!C14)="","(No theme assigned)",TRIM('UX + Dev'!C14)))</f>
      </c>
      <c r="E14" s="305">
        <f>IF($B14="","",TRIM('UX + Dev'!F14))</f>
      </c>
      <c r="F14" s="305">
        <f>IF($B14="","",'UX + Dev'!G14)</f>
      </c>
      <c r="G14" s="306">
        <f t="array" ref="G14">IF($B14="","",IF($T14=0,"",IFERROR(MIN(IF('UX + Dev'!$AB14:$DN14&lt;&gt;"",'UX + Dev'!$AB$1:$DN$1)),"")))</f>
      </c>
      <c r="H14" s="306">
        <f t="array" ref="H14">IF($B14="","",IF($T14=0,"",IFERROR(MAX(IF('UX + Dev'!$AB14:$DN14&lt;&gt;"",'UX + Dev'!$AB$1:$DN$1)),"")))</f>
      </c>
      <c r="I14" s="307">
        <f>IF($R14&lt;&gt;"",$R14,IF($S14&lt;&gt;"",$S14,""))</f>
      </c>
      <c r="J14" s="307">
        <f>IF($S14&lt;&gt;"",EOMONTH($S14,0),IF($R14&lt;&gt;"",EOMONTH($R14,0),""))</f>
      </c>
      <c r="K14" s="305">
        <f>IF($B14="","",IF(COUNTA('UX + Dev'!AA14)=0,"",TRIM('UX + Dev'!AA14)))</f>
      </c>
      <c r="L14" s="305">
        <f>IF($B14="","",IFERROR(MATCH($D14,Control!$E$4:$E$30,0),99))</f>
      </c>
      <c r="M14" s="305">
        <f>IF($B14="","",IFERROR(MATCH($F14,Control!$B$4:$B$30,0),99))</f>
      </c>
      <c r="N14" s="305">
        <f>IF($V14&lt;&gt;1,"",IF('Roadmap (Auto)'!$D$3="Status, then Theme",$M14*1000000+$L14*10000+ROW(),IF('Roadmap (Auto)'!$D$3="Dev start (earliest)",IF($I14="",99999999,$I14)*10000+ROW(),IF('Roadmap (Auto)'!$D$3="UX start (earliest)",IF($G14="",99999999,$G14)*10000+ROW(),IF('Roadmap (Auto)'!$D$3="Deliverable A-Z",$W14*10000+ROW(),$L14*1000000+$M14*10000+ROW())))))</f>
      </c>
      <c r="O14" s="305">
        <f>IF($N14="","",COUNTIF($N$2:$N$151,"&lt;"&amp;$N14)+1)</f>
      </c>
      <c r="P14" s="305">
        <f>IF($B14="","",IF(COUNTA('UX + Dev'!X14)=0,"",'UX + Dev'!X14))</f>
      </c>
      <c r="Q14" s="305">
        <f>IF($B14="","",IF(COUNTA('UX + Dev'!Y14)=0,"",'UX + Dev'!Y14))</f>
      </c>
      <c r="R14" s="307">
        <f>IF($P14="","",IF(ISNUMBER($P14),DATE(YEAR($P14),MONTH($P14),1),IFERROR(DATE(IFERROR(VALUE(RIGHT(TRIM($P14),4)),YEAR(TODAY())),(SEARCH(LEFT(TRIM($P14),3),"JanFebMarAprMayJunJulAugSepOctNovDec")+2)/3,1),"")))</f>
      </c>
      <c r="S14" s="307">
        <f>IF($Q14="","",IF(ISNUMBER($Q14),DATE(YEAR($Q14),MONTH($Q14),1),IFERROR(DATE(IFERROR(VALUE(RIGHT(TRIM($Q14),4)),YEAR(TODAY())),(SEARCH(LEFT(TRIM($Q14),3),"JanFebMarAprMayJunJulAugSepOctNovDec")+2)/3,1),"")))</f>
      </c>
      <c r="T14" s="305">
        <f>IF($B14="","",COUNTA('UX + Dev'!$AB14:$DN14))</f>
      </c>
      <c r="U14" s="305">
        <f>IF($B14="","",IFERROR(MATCH($D14,Control!$E$4:$E$30,0)+3,0))</f>
      </c>
      <c r="V14" s="305">
        <f>IF($B14="","",IF(AND(OR('Roadmap (Auto)'!$A$3="",'Roadmap (Auto)'!$A$3="(All)",ISNUMBER(SEARCH('Roadmap (Auto)'!$A$3,$C14&amp;""))),OR('Roadmap (Auto)'!$B$3="",'Roadmap (Auto)'!$B$3="(All)",$D14='Roadmap (Auto)'!$B$3,$X14='Roadmap (Auto)'!$B$3),OR('Roadmap (Auto)'!$C$3="",'Roadmap (Auto)'!$C$3="(All)",$F14='Roadmap (Auto)'!$C$3)),1,0))</f>
      </c>
      <c r="W14" s="305">
        <f>IF($B14="","",COUNTIF($Y$2:$Y$151,"&lt;"&amp;$Y14)+1)</f>
      </c>
      <c r="X14" s="305">
        <f>IF($B14="","",IF(TRIM('UX + Dev'!D14)="","",TRIM('UX + Dev'!D14)))</f>
      </c>
      <c r="Y14" s="305">
        <f>IF($B14="","",SUBSTITUTE(SUBSTITUTE(SUBSTITUTE(SUBSTITUTE(SUBSTITUTE(SUBSTITUTE(SUBSTITUTE(SUBSTITUTE(SUBSTITUTE(SUBSTITUTE(SUBSTITUTE(SUBSTITUTE(SUBSTITUTE(SUBSTITUTE(SUBSTITUTE(SUBSTITUTE(SUBSTITUTE(SUBSTITUTE(SUBSTITUTE(SUBSTITUTE(SUBSTITUTE(SUBSTITUTE(SUBSTITUTE(SUBSTITUTE(SUBSTITUTE(UPPER($B14)," ",""),"-",""),":",""),"/",""),"&amp;",""),"|",""),"'",""),"’",""),"&lt;",""),"&gt;",""),",",""),"$",""),".",""),"(",""),")",""),"*",""),"?",""),"~",""),"_",""),"+",""),"#",""),";",""),"!",""),"%",""),"@",""))</f>
      </c>
      <c r="AA14">
        <f>IF($B14="",0,COUNTIFS('UX + Dev'!$AB$1:$DN$1,"&gt;="&amp;AA$1,'UX + Dev'!$AB$1:$DN$1,"&lt;="&amp;EOMONTH(AA$1,0),'UX + Dev'!$AB14:$DN14,"&lt;&gt;"))</f>
      </c>
      <c r="AB14">
        <f>IF($B14="",0,COUNTIFS('UX + Dev'!$AB$1:$DN$1,"&gt;="&amp;AB$1,'UX + Dev'!$AB$1:$DN$1,"&lt;="&amp;EOMONTH(AB$1,0),'UX + Dev'!$AB14:$DN14,"&lt;&gt;"))</f>
      </c>
      <c r="AC14">
        <f>IF($B14="",0,COUNTIFS('UX + Dev'!$AB$1:$DN$1,"&gt;="&amp;AC$1,'UX + Dev'!$AB$1:$DN$1,"&lt;="&amp;EOMONTH(AC$1,0),'UX + Dev'!$AB14:$DN14,"&lt;&gt;"))</f>
      </c>
      <c r="AD14">
        <f>IF($B14="",0,COUNTIFS('UX + Dev'!$AB$1:$DN$1,"&gt;="&amp;AD$1,'UX + Dev'!$AB$1:$DN$1,"&lt;="&amp;EOMONTH(AD$1,0),'UX + Dev'!$AB14:$DN14,"&lt;&gt;"))</f>
      </c>
      <c r="AE14">
        <f>IF($B14="",0,COUNTIFS('UX + Dev'!$AB$1:$DN$1,"&gt;="&amp;AE$1,'UX + Dev'!$AB$1:$DN$1,"&lt;="&amp;EOMONTH(AE$1,0),'UX + Dev'!$AB14:$DN14,"&lt;&gt;"))</f>
      </c>
      <c r="AF14">
        <f>IF($B14="",0,COUNTIFS('UX + Dev'!$AB$1:$DN$1,"&gt;="&amp;AF$1,'UX + Dev'!$AB$1:$DN$1,"&lt;="&amp;EOMONTH(AF$1,0),'UX + Dev'!$AB14:$DN14,"&lt;&gt;"))</f>
      </c>
      <c r="AG14">
        <f>IF($B14="",0,COUNTIFS('UX + Dev'!$AB$1:$DN$1,"&gt;="&amp;AG$1,'UX + Dev'!$AB$1:$DN$1,"&lt;="&amp;EOMONTH(AG$1,0),'UX + Dev'!$AB14:$DN14,"&lt;&gt;"))</f>
      </c>
      <c r="AH14">
        <f>IF($B14="",0,COUNTIFS('UX + Dev'!$AB$1:$DN$1,"&gt;="&amp;AH$1,'UX + Dev'!$AB$1:$DN$1,"&lt;="&amp;EOMONTH(AH$1,0),'UX + Dev'!$AB14:$DN14,"&lt;&gt;"))</f>
      </c>
      <c r="AI14">
        <f>IF($B14="",0,COUNTIFS('UX + Dev'!$AB$1:$DN$1,"&gt;="&amp;AI$1,'UX + Dev'!$AB$1:$DN$1,"&lt;="&amp;EOMONTH(AI$1,0),'UX + Dev'!$AB14:$DN14,"&lt;&gt;"))</f>
      </c>
      <c r="AJ14">
        <f>IF($B14="",0,COUNTIFS('UX + Dev'!$AB$1:$DN$1,"&gt;="&amp;AJ$1,'UX + Dev'!$AB$1:$DN$1,"&lt;="&amp;EOMONTH(AJ$1,0),'UX + Dev'!$AB14:$DN14,"&lt;&gt;"))</f>
      </c>
      <c r="AK14">
        <f>IF($B14="",0,COUNTIFS('UX + Dev'!$AB$1:$DN$1,"&gt;="&amp;AK$1,'UX + Dev'!$AB$1:$DN$1,"&lt;="&amp;EOMONTH(AK$1,0),'UX + Dev'!$AB14:$DN14,"&lt;&gt;"))</f>
      </c>
      <c r="AL14">
        <f>IF($B14="",0,COUNTIFS('UX + Dev'!$AB$1:$DN$1,"&gt;="&amp;AL$1,'UX + Dev'!$AB$1:$DN$1,"&lt;="&amp;EOMONTH(AL$1,0),'UX + Dev'!$AB14:$DN14,"&lt;&gt;"))</f>
      </c>
      <c r="AM14">
        <f>IF($B14="",0,COUNTIFS('UX + Dev'!$AB$1:$DN$1,"&gt;="&amp;AM$1,'UX + Dev'!$AB$1:$DN$1,"&lt;="&amp;EOMONTH(AM$1,0),'UX + Dev'!$AB14:$DN14,"&lt;&gt;"))</f>
      </c>
      <c r="AN14">
        <f>IF($B14="",0,COUNTIFS('UX + Dev'!$AB$1:$DN$1,"&gt;="&amp;AN$1,'UX + Dev'!$AB$1:$DN$1,"&lt;="&amp;EOMONTH(AN$1,0),'UX + Dev'!$AB14:$DN14,"&lt;&gt;"))</f>
      </c>
      <c r="AO14">
        <f>IF($B14="",0,COUNTIFS('UX + Dev'!$AB$1:$DN$1,"&gt;="&amp;AO$1,'UX + Dev'!$AB$1:$DN$1,"&lt;="&amp;EOMONTH(AO$1,0),'UX + Dev'!$AB14:$DN14,"&lt;&gt;"))</f>
      </c>
      <c r="AP14">
        <f>IF($B14="",0,COUNTIFS('UX + Dev'!$AB$1:$DN$1,"&gt;="&amp;AP$1,'UX + Dev'!$AB$1:$DN$1,"&lt;="&amp;EOMONTH(AP$1,0),'UX + Dev'!$AB14:$DN14,"&lt;&gt;"))</f>
      </c>
      <c r="AQ14">
        <f>IF($B14="",0,COUNTIFS('UX + Dev'!$AB$1:$DN$1,"&gt;="&amp;AQ$1,'UX + Dev'!$AB$1:$DN$1,"&lt;="&amp;EOMONTH(AQ$1,0),'UX + Dev'!$AB14:$DN14,"&lt;&gt;"))</f>
      </c>
      <c r="AR14">
        <f>IF($B14="",0,COUNTIFS('UX + Dev'!$AB$1:$DN$1,"&gt;="&amp;AR$1,'UX + Dev'!$AB$1:$DN$1,"&lt;="&amp;EOMONTH(AR$1,0),'UX + Dev'!$AB14:$DN14,"&lt;&gt;"))</f>
      </c>
      <c r="AS14">
        <f>IF($B14="",0,COUNTIFS('UX + Dev'!$AB$1:$DN$1,"&gt;="&amp;AS$1,'UX + Dev'!$AB$1:$DN$1,"&lt;="&amp;EOMONTH(AS$1,0),'UX + Dev'!$AB14:$DN14,"&lt;&gt;"))</f>
      </c>
      <c r="AT14">
        <f>IF($B14="",0,COUNTIFS('UX + Dev'!$AB$1:$DN$1,"&gt;="&amp;AT$1,'UX + Dev'!$AB$1:$DN$1,"&lt;="&amp;EOMONTH(AT$1,0),'UX + Dev'!$AB14:$DN14,"&lt;&gt;"))</f>
      </c>
      <c r="AU14">
        <f>IF($B14="",0,COUNTIFS('UX + Dev'!$AB$1:$DN$1,"&gt;="&amp;AU$1,'UX + Dev'!$AB$1:$DN$1,"&lt;="&amp;EOMONTH(AU$1,0),'UX + Dev'!$AB14:$DN14,"&lt;&gt;"))</f>
      </c>
      <c r="AV14">
        <f>IF($B14="",0,COUNTIFS('UX + Dev'!$AB$1:$DN$1,"&gt;="&amp;AV$1,'UX + Dev'!$AB$1:$DN$1,"&lt;="&amp;EOMONTH(AV$1,0),'UX + Dev'!$AB14:$DN14,"&lt;&gt;"))</f>
      </c>
      <c r="AW14">
        <f>IF($B14="",0,COUNTIFS('UX + Dev'!$AB$1:$DN$1,"&gt;="&amp;AW$1,'UX + Dev'!$AB$1:$DN$1,"&lt;="&amp;EOMONTH(AW$1,0),'UX + Dev'!$AB14:$DN14,"&lt;&gt;"))</f>
      </c>
      <c r="AX14">
        <f>IF($B14="",0,COUNTIFS('UX + Dev'!$AB$1:$DN$1,"&gt;="&amp;AX$1,'UX + Dev'!$AB$1:$DN$1,"&lt;="&amp;EOMONTH(AX$1,0),'UX + Dev'!$AB14:$DN14,"&lt;&gt;"))</f>
      </c>
      <c r="BB14" s="308">
        <f>IF($B14="","",IF(COUNTA('UX + Dev'!U14)&gt;0,DATE(YEAR('UX + Dev'!U14),MONTH('UX + Dev'!U14),1),IF(COUNTA('UX + Dev'!V14)&gt;0,DATE(YEAR('UX + Dev'!V14),MONTH('UX + Dev'!V14),1),"")))</f>
      </c>
      <c r="BC14" s="308">
        <f>IF($B14="","",IF(COUNTA('UX + Dev'!V14)&gt;0,EOMONTH('UX + Dev'!V14,0),IF(COUNTA('UX + Dev'!U14)&gt;0,EOMONTH('UX + Dev'!U14,0),"")))</f>
      </c>
    </row>
    <row r="15">
      <c r="A15" s="305" t="n">
        <v>15</v>
      </c>
      <c r="B15" s="305">
        <f>IF(TRIM('UX + Dev'!E15)="","",TRIM('UX + Dev'!E15))</f>
      </c>
      <c r="C15" s="305">
        <f>IF($B15="","",'UX + Dev'!B15)</f>
      </c>
      <c r="D15" s="305">
        <f>IF($B15="","",IF(TRIM('UX + Dev'!C15)="","(No theme assigned)",TRIM('UX + Dev'!C15)))</f>
      </c>
      <c r="E15" s="305">
        <f>IF($B15="","",TRIM('UX + Dev'!F15))</f>
      </c>
      <c r="F15" s="305">
        <f>IF($B15="","",'UX + Dev'!G15)</f>
      </c>
      <c r="G15" s="306">
        <f t="array" ref="G15">IF($B15="","",IF($T15=0,"",IFERROR(MIN(IF('UX + Dev'!$AB15:$DN15&lt;&gt;"",'UX + Dev'!$AB$1:$DN$1)),"")))</f>
      </c>
      <c r="H15" s="306">
        <f t="array" ref="H15">IF($B15="","",IF($T15=0,"",IFERROR(MAX(IF('UX + Dev'!$AB15:$DN15&lt;&gt;"",'UX + Dev'!$AB$1:$DN$1)),"")))</f>
      </c>
      <c r="I15" s="307">
        <f>IF($R15&lt;&gt;"",$R15,IF($S15&lt;&gt;"",$S15,""))</f>
      </c>
      <c r="J15" s="307">
        <f>IF($S15&lt;&gt;"",EOMONTH($S15,0),IF($R15&lt;&gt;"",EOMONTH($R15,0),""))</f>
      </c>
      <c r="K15" s="305">
        <f>IF($B15="","",IF(COUNTA('UX + Dev'!AA15)=0,"",TRIM('UX + Dev'!AA15)))</f>
      </c>
      <c r="L15" s="305">
        <f>IF($B15="","",IFERROR(MATCH($D15,Control!$E$4:$E$30,0),99))</f>
      </c>
      <c r="M15" s="305">
        <f>IF($B15="","",IFERROR(MATCH($F15,Control!$B$4:$B$30,0),99))</f>
      </c>
      <c r="N15" s="305">
        <f>IF($V15&lt;&gt;1,"",IF('Roadmap (Auto)'!$D$3="Status, then Theme",$M15*1000000+$L15*10000+ROW(),IF('Roadmap (Auto)'!$D$3="Dev start (earliest)",IF($I15="",99999999,$I15)*10000+ROW(),IF('Roadmap (Auto)'!$D$3="UX start (earliest)",IF($G15="",99999999,$G15)*10000+ROW(),IF('Roadmap (Auto)'!$D$3="Deliverable A-Z",$W15*10000+ROW(),$L15*1000000+$M15*10000+ROW())))))</f>
      </c>
      <c r="O15" s="305">
        <f>IF($N15="","",COUNTIF($N$2:$N$151,"&lt;"&amp;$N15)+1)</f>
      </c>
      <c r="P15" s="305">
        <f>IF($B15="","",IF(COUNTA('UX + Dev'!X15)=0,"",'UX + Dev'!X15))</f>
      </c>
      <c r="Q15" s="305">
        <f>IF($B15="","",IF(COUNTA('UX + Dev'!Y15)=0,"",'UX + Dev'!Y15))</f>
      </c>
      <c r="R15" s="307">
        <f>IF($P15="","",IF(ISNUMBER($P15),DATE(YEAR($P15),MONTH($P15),1),IFERROR(DATE(IFERROR(VALUE(RIGHT(TRIM($P15),4)),YEAR(TODAY())),(SEARCH(LEFT(TRIM($P15),3),"JanFebMarAprMayJunJulAugSepOctNovDec")+2)/3,1),"")))</f>
      </c>
      <c r="S15" s="307">
        <f>IF($Q15="","",IF(ISNUMBER($Q15),DATE(YEAR($Q15),MONTH($Q15),1),IFERROR(DATE(IFERROR(VALUE(RIGHT(TRIM($Q15),4)),YEAR(TODAY())),(SEARCH(LEFT(TRIM($Q15),3),"JanFebMarAprMayJunJulAugSepOctNovDec")+2)/3,1),"")))</f>
      </c>
      <c r="T15" s="305">
        <f>IF($B15="","",COUNTA('UX + Dev'!$AB15:$DN15))</f>
      </c>
      <c r="U15" s="305">
        <f>IF($B15="","",IFERROR(MATCH($D15,Control!$E$4:$E$30,0)+3,0))</f>
      </c>
      <c r="V15" s="305">
        <f>IF($B15="","",IF(AND(OR('Roadmap (Auto)'!$A$3="",'Roadmap (Auto)'!$A$3="(All)",ISNUMBER(SEARCH('Roadmap (Auto)'!$A$3,$C15&amp;""))),OR('Roadmap (Auto)'!$B$3="",'Roadmap (Auto)'!$B$3="(All)",$D15='Roadmap (Auto)'!$B$3,$X15='Roadmap (Auto)'!$B$3),OR('Roadmap (Auto)'!$C$3="",'Roadmap (Auto)'!$C$3="(All)",$F15='Roadmap (Auto)'!$C$3)),1,0))</f>
      </c>
      <c r="W15" s="305">
        <f>IF($B15="","",COUNTIF($Y$2:$Y$151,"&lt;"&amp;$Y15)+1)</f>
      </c>
      <c r="X15" s="305">
        <f>IF($B15="","",IF(TRIM('UX + Dev'!D15)="","",TRIM('UX + Dev'!D15)))</f>
      </c>
      <c r="Y15" s="305">
        <f>IF($B15="","",SUBSTITUTE(SUBSTITUTE(SUBSTITUTE(SUBSTITUTE(SUBSTITUTE(SUBSTITUTE(SUBSTITUTE(SUBSTITUTE(SUBSTITUTE(SUBSTITUTE(SUBSTITUTE(SUBSTITUTE(SUBSTITUTE(SUBSTITUTE(SUBSTITUTE(SUBSTITUTE(SUBSTITUTE(SUBSTITUTE(SUBSTITUTE(SUBSTITUTE(SUBSTITUTE(SUBSTITUTE(SUBSTITUTE(SUBSTITUTE(SUBSTITUTE(UPPER($B15)," ",""),"-",""),":",""),"/",""),"&amp;",""),"|",""),"'",""),"’",""),"&lt;",""),"&gt;",""),",",""),"$",""),".",""),"(",""),")",""),"*",""),"?",""),"~",""),"_",""),"+",""),"#",""),";",""),"!",""),"%",""),"@",""))</f>
      </c>
      <c r="AA15">
        <f>IF($B15="",0,COUNTIFS('UX + Dev'!$AB$1:$DN$1,"&gt;="&amp;AA$1,'UX + Dev'!$AB$1:$DN$1,"&lt;="&amp;EOMONTH(AA$1,0),'UX + Dev'!$AB15:$DN15,"&lt;&gt;"))</f>
      </c>
      <c r="AB15">
        <f>IF($B15="",0,COUNTIFS('UX + Dev'!$AB$1:$DN$1,"&gt;="&amp;AB$1,'UX + Dev'!$AB$1:$DN$1,"&lt;="&amp;EOMONTH(AB$1,0),'UX + Dev'!$AB15:$DN15,"&lt;&gt;"))</f>
      </c>
      <c r="AC15">
        <f>IF($B15="",0,COUNTIFS('UX + Dev'!$AB$1:$DN$1,"&gt;="&amp;AC$1,'UX + Dev'!$AB$1:$DN$1,"&lt;="&amp;EOMONTH(AC$1,0),'UX + Dev'!$AB15:$DN15,"&lt;&gt;"))</f>
      </c>
      <c r="AD15">
        <f>IF($B15="",0,COUNTIFS('UX + Dev'!$AB$1:$DN$1,"&gt;="&amp;AD$1,'UX + Dev'!$AB$1:$DN$1,"&lt;="&amp;EOMONTH(AD$1,0),'UX + Dev'!$AB15:$DN15,"&lt;&gt;"))</f>
      </c>
      <c r="AE15">
        <f>IF($B15="",0,COUNTIFS('UX + Dev'!$AB$1:$DN$1,"&gt;="&amp;AE$1,'UX + Dev'!$AB$1:$DN$1,"&lt;="&amp;EOMONTH(AE$1,0),'UX + Dev'!$AB15:$DN15,"&lt;&gt;"))</f>
      </c>
      <c r="AF15">
        <f>IF($B15="",0,COUNTIFS('UX + Dev'!$AB$1:$DN$1,"&gt;="&amp;AF$1,'UX + Dev'!$AB$1:$DN$1,"&lt;="&amp;EOMONTH(AF$1,0),'UX + Dev'!$AB15:$DN15,"&lt;&gt;"))</f>
      </c>
      <c r="AG15">
        <f>IF($B15="",0,COUNTIFS('UX + Dev'!$AB$1:$DN$1,"&gt;="&amp;AG$1,'UX + Dev'!$AB$1:$DN$1,"&lt;="&amp;EOMONTH(AG$1,0),'UX + Dev'!$AB15:$DN15,"&lt;&gt;"))</f>
      </c>
      <c r="AH15">
        <f>IF($B15="",0,COUNTIFS('UX + Dev'!$AB$1:$DN$1,"&gt;="&amp;AH$1,'UX + Dev'!$AB$1:$DN$1,"&lt;="&amp;EOMONTH(AH$1,0),'UX + Dev'!$AB15:$DN15,"&lt;&gt;"))</f>
      </c>
      <c r="AI15">
        <f>IF($B15="",0,COUNTIFS('UX + Dev'!$AB$1:$DN$1,"&gt;="&amp;AI$1,'UX + Dev'!$AB$1:$DN$1,"&lt;="&amp;EOMONTH(AI$1,0),'UX + Dev'!$AB15:$DN15,"&lt;&gt;"))</f>
      </c>
      <c r="AJ15">
        <f>IF($B15="",0,COUNTIFS('UX + Dev'!$AB$1:$DN$1,"&gt;="&amp;AJ$1,'UX + Dev'!$AB$1:$DN$1,"&lt;="&amp;EOMONTH(AJ$1,0),'UX + Dev'!$AB15:$DN15,"&lt;&gt;"))</f>
      </c>
      <c r="AK15">
        <f>IF($B15="",0,COUNTIFS('UX + Dev'!$AB$1:$DN$1,"&gt;="&amp;AK$1,'UX + Dev'!$AB$1:$DN$1,"&lt;="&amp;EOMONTH(AK$1,0),'UX + Dev'!$AB15:$DN15,"&lt;&gt;"))</f>
      </c>
      <c r="AL15">
        <f>IF($B15="",0,COUNTIFS('UX + Dev'!$AB$1:$DN$1,"&gt;="&amp;AL$1,'UX + Dev'!$AB$1:$DN$1,"&lt;="&amp;EOMONTH(AL$1,0),'UX + Dev'!$AB15:$DN15,"&lt;&gt;"))</f>
      </c>
      <c r="AM15">
        <f>IF($B15="",0,COUNTIFS('UX + Dev'!$AB$1:$DN$1,"&gt;="&amp;AM$1,'UX + Dev'!$AB$1:$DN$1,"&lt;="&amp;EOMONTH(AM$1,0),'UX + Dev'!$AB15:$DN15,"&lt;&gt;"))</f>
      </c>
      <c r="AN15">
        <f>IF($B15="",0,COUNTIFS('UX + Dev'!$AB$1:$DN$1,"&gt;="&amp;AN$1,'UX + Dev'!$AB$1:$DN$1,"&lt;="&amp;EOMONTH(AN$1,0),'UX + Dev'!$AB15:$DN15,"&lt;&gt;"))</f>
      </c>
      <c r="AO15">
        <f>IF($B15="",0,COUNTIFS('UX + Dev'!$AB$1:$DN$1,"&gt;="&amp;AO$1,'UX + Dev'!$AB$1:$DN$1,"&lt;="&amp;EOMONTH(AO$1,0),'UX + Dev'!$AB15:$DN15,"&lt;&gt;"))</f>
      </c>
      <c r="AP15">
        <f>IF($B15="",0,COUNTIFS('UX + Dev'!$AB$1:$DN$1,"&gt;="&amp;AP$1,'UX + Dev'!$AB$1:$DN$1,"&lt;="&amp;EOMONTH(AP$1,0),'UX + Dev'!$AB15:$DN15,"&lt;&gt;"))</f>
      </c>
      <c r="AQ15">
        <f>IF($B15="",0,COUNTIFS('UX + Dev'!$AB$1:$DN$1,"&gt;="&amp;AQ$1,'UX + Dev'!$AB$1:$DN$1,"&lt;="&amp;EOMONTH(AQ$1,0),'UX + Dev'!$AB15:$DN15,"&lt;&gt;"))</f>
      </c>
      <c r="AR15">
        <f>IF($B15="",0,COUNTIFS('UX + Dev'!$AB$1:$DN$1,"&gt;="&amp;AR$1,'UX + Dev'!$AB$1:$DN$1,"&lt;="&amp;EOMONTH(AR$1,0),'UX + Dev'!$AB15:$DN15,"&lt;&gt;"))</f>
      </c>
      <c r="AS15">
        <f>IF($B15="",0,COUNTIFS('UX + Dev'!$AB$1:$DN$1,"&gt;="&amp;AS$1,'UX + Dev'!$AB$1:$DN$1,"&lt;="&amp;EOMONTH(AS$1,0),'UX + Dev'!$AB15:$DN15,"&lt;&gt;"))</f>
      </c>
      <c r="AT15">
        <f>IF($B15="",0,COUNTIFS('UX + Dev'!$AB$1:$DN$1,"&gt;="&amp;AT$1,'UX + Dev'!$AB$1:$DN$1,"&lt;="&amp;EOMONTH(AT$1,0),'UX + Dev'!$AB15:$DN15,"&lt;&gt;"))</f>
      </c>
      <c r="AU15">
        <f>IF($B15="",0,COUNTIFS('UX + Dev'!$AB$1:$DN$1,"&gt;="&amp;AU$1,'UX + Dev'!$AB$1:$DN$1,"&lt;="&amp;EOMONTH(AU$1,0),'UX + Dev'!$AB15:$DN15,"&lt;&gt;"))</f>
      </c>
      <c r="AV15">
        <f>IF($B15="",0,COUNTIFS('UX + Dev'!$AB$1:$DN$1,"&gt;="&amp;AV$1,'UX + Dev'!$AB$1:$DN$1,"&lt;="&amp;EOMONTH(AV$1,0),'UX + Dev'!$AB15:$DN15,"&lt;&gt;"))</f>
      </c>
      <c r="AW15">
        <f>IF($B15="",0,COUNTIFS('UX + Dev'!$AB$1:$DN$1,"&gt;="&amp;AW$1,'UX + Dev'!$AB$1:$DN$1,"&lt;="&amp;EOMONTH(AW$1,0),'UX + Dev'!$AB15:$DN15,"&lt;&gt;"))</f>
      </c>
      <c r="AX15">
        <f>IF($B15="",0,COUNTIFS('UX + Dev'!$AB$1:$DN$1,"&gt;="&amp;AX$1,'UX + Dev'!$AB$1:$DN$1,"&lt;="&amp;EOMONTH(AX$1,0),'UX + Dev'!$AB15:$DN15,"&lt;&gt;"))</f>
      </c>
      <c r="BB15" s="308">
        <f>IF($B15="","",IF(COUNTA('UX + Dev'!U15)&gt;0,DATE(YEAR('UX + Dev'!U15),MONTH('UX + Dev'!U15),1),IF(COUNTA('UX + Dev'!V15)&gt;0,DATE(YEAR('UX + Dev'!V15),MONTH('UX + Dev'!V15),1),"")))</f>
      </c>
      <c r="BC15" s="308">
        <f>IF($B15="","",IF(COUNTA('UX + Dev'!V15)&gt;0,EOMONTH('UX + Dev'!V15,0),IF(COUNTA('UX + Dev'!U15)&gt;0,EOMONTH('UX + Dev'!U15,0),"")))</f>
      </c>
    </row>
    <row r="16">
      <c r="A16" s="305" t="n">
        <v>16</v>
      </c>
      <c r="B16" s="305">
        <f>IF(TRIM('UX + Dev'!E16)="","",TRIM('UX + Dev'!E16))</f>
      </c>
      <c r="C16" s="305">
        <f>IF($B16="","",'UX + Dev'!B16)</f>
      </c>
      <c r="D16" s="305">
        <f>IF($B16="","",IF(TRIM('UX + Dev'!C16)="","(No theme assigned)",TRIM('UX + Dev'!C16)))</f>
      </c>
      <c r="E16" s="305">
        <f>IF($B16="","",TRIM('UX + Dev'!F16))</f>
      </c>
      <c r="F16" s="305">
        <f>IF($B16="","",'UX + Dev'!G16)</f>
      </c>
      <c r="G16" s="306">
        <f t="array" ref="G16">IF($B16="","",IF($T16=0,"",IFERROR(MIN(IF('UX + Dev'!$AB16:$DN16&lt;&gt;"",'UX + Dev'!$AB$1:$DN$1)),"")))</f>
      </c>
      <c r="H16" s="306">
        <f t="array" ref="H16">IF($B16="","",IF($T16=0,"",IFERROR(MAX(IF('UX + Dev'!$AB16:$DN16&lt;&gt;"",'UX + Dev'!$AB$1:$DN$1)),"")))</f>
      </c>
      <c r="I16" s="307">
        <f>IF($R16&lt;&gt;"",$R16,IF($S16&lt;&gt;"",$S16,""))</f>
      </c>
      <c r="J16" s="307">
        <f>IF($S16&lt;&gt;"",EOMONTH($S16,0),IF($R16&lt;&gt;"",EOMONTH($R16,0),""))</f>
      </c>
      <c r="K16" s="305">
        <f>IF($B16="","",IF(COUNTA('UX + Dev'!AA16)=0,"",TRIM('UX + Dev'!AA16)))</f>
      </c>
      <c r="L16" s="305">
        <f>IF($B16="","",IFERROR(MATCH($D16,Control!$E$4:$E$30,0),99))</f>
      </c>
      <c r="M16" s="305">
        <f>IF($B16="","",IFERROR(MATCH($F16,Control!$B$4:$B$30,0),99))</f>
      </c>
      <c r="N16" s="305">
        <f>IF($V16&lt;&gt;1,"",IF('Roadmap (Auto)'!$D$3="Status, then Theme",$M16*1000000+$L16*10000+ROW(),IF('Roadmap (Auto)'!$D$3="Dev start (earliest)",IF($I16="",99999999,$I16)*10000+ROW(),IF('Roadmap (Auto)'!$D$3="UX start (earliest)",IF($G16="",99999999,$G16)*10000+ROW(),IF('Roadmap (Auto)'!$D$3="Deliverable A-Z",$W16*10000+ROW(),$L16*1000000+$M16*10000+ROW())))))</f>
      </c>
      <c r="O16" s="305">
        <f>IF($N16="","",COUNTIF($N$2:$N$151,"&lt;"&amp;$N16)+1)</f>
      </c>
      <c r="P16" s="305">
        <f>IF($B16="","",IF(COUNTA('UX + Dev'!X16)=0,"",'UX + Dev'!X16))</f>
      </c>
      <c r="Q16" s="305">
        <f>IF($B16="","",IF(COUNTA('UX + Dev'!Y16)=0,"",'UX + Dev'!Y16))</f>
      </c>
      <c r="R16" s="307">
        <f>IF($P16="","",IF(ISNUMBER($P16),DATE(YEAR($P16),MONTH($P16),1),IFERROR(DATE(IFERROR(VALUE(RIGHT(TRIM($P16),4)),YEAR(TODAY())),(SEARCH(LEFT(TRIM($P16),3),"JanFebMarAprMayJunJulAugSepOctNovDec")+2)/3,1),"")))</f>
      </c>
      <c r="S16" s="307">
        <f>IF($Q16="","",IF(ISNUMBER($Q16),DATE(YEAR($Q16),MONTH($Q16),1),IFERROR(DATE(IFERROR(VALUE(RIGHT(TRIM($Q16),4)),YEAR(TODAY())),(SEARCH(LEFT(TRIM($Q16),3),"JanFebMarAprMayJunJulAugSepOctNovDec")+2)/3,1),"")))</f>
      </c>
      <c r="T16" s="305">
        <f>IF($B16="","",COUNTA('UX + Dev'!$AB16:$DN16))</f>
      </c>
      <c r="U16" s="305">
        <f>IF($B16="","",IFERROR(MATCH($D16,Control!$E$4:$E$30,0)+3,0))</f>
      </c>
      <c r="V16" s="305">
        <f>IF($B16="","",IF(AND(OR('Roadmap (Auto)'!$A$3="",'Roadmap (Auto)'!$A$3="(All)",ISNUMBER(SEARCH('Roadmap (Auto)'!$A$3,$C16&amp;""))),OR('Roadmap (Auto)'!$B$3="",'Roadmap (Auto)'!$B$3="(All)",$D16='Roadmap (Auto)'!$B$3,$X16='Roadmap (Auto)'!$B$3),OR('Roadmap (Auto)'!$C$3="",'Roadmap (Auto)'!$C$3="(All)",$F16='Roadmap (Auto)'!$C$3)),1,0))</f>
      </c>
      <c r="W16" s="305">
        <f>IF($B16="","",COUNTIF($Y$2:$Y$151,"&lt;"&amp;$Y16)+1)</f>
      </c>
      <c r="X16" s="305">
        <f>IF($B16="","",IF(TRIM('UX + Dev'!D16)="","",TRIM('UX + Dev'!D16)))</f>
      </c>
      <c r="Y16" s="305">
        <f>IF($B16="","",SUBSTITUTE(SUBSTITUTE(SUBSTITUTE(SUBSTITUTE(SUBSTITUTE(SUBSTITUTE(SUBSTITUTE(SUBSTITUTE(SUBSTITUTE(SUBSTITUTE(SUBSTITUTE(SUBSTITUTE(SUBSTITUTE(SUBSTITUTE(SUBSTITUTE(SUBSTITUTE(SUBSTITUTE(SUBSTITUTE(SUBSTITUTE(SUBSTITUTE(SUBSTITUTE(SUBSTITUTE(SUBSTITUTE(SUBSTITUTE(SUBSTITUTE(UPPER($B16)," ",""),"-",""),":",""),"/",""),"&amp;",""),"|",""),"'",""),"’",""),"&lt;",""),"&gt;",""),",",""),"$",""),".",""),"(",""),")",""),"*",""),"?",""),"~",""),"_",""),"+",""),"#",""),";",""),"!",""),"%",""),"@",""))</f>
      </c>
      <c r="AA16">
        <f>IF($B16="",0,COUNTIFS('UX + Dev'!$AB$1:$DN$1,"&gt;="&amp;AA$1,'UX + Dev'!$AB$1:$DN$1,"&lt;="&amp;EOMONTH(AA$1,0),'UX + Dev'!$AB16:$DN16,"&lt;&gt;"))</f>
      </c>
      <c r="AB16">
        <f>IF($B16="",0,COUNTIFS('UX + Dev'!$AB$1:$DN$1,"&gt;="&amp;AB$1,'UX + Dev'!$AB$1:$DN$1,"&lt;="&amp;EOMONTH(AB$1,0),'UX + Dev'!$AB16:$DN16,"&lt;&gt;"))</f>
      </c>
      <c r="AC16">
        <f>IF($B16="",0,COUNTIFS('UX + Dev'!$AB$1:$DN$1,"&gt;="&amp;AC$1,'UX + Dev'!$AB$1:$DN$1,"&lt;="&amp;EOMONTH(AC$1,0),'UX + Dev'!$AB16:$DN16,"&lt;&gt;"))</f>
      </c>
      <c r="AD16">
        <f>IF($B16="",0,COUNTIFS('UX + Dev'!$AB$1:$DN$1,"&gt;="&amp;AD$1,'UX + Dev'!$AB$1:$DN$1,"&lt;="&amp;EOMONTH(AD$1,0),'UX + Dev'!$AB16:$DN16,"&lt;&gt;"))</f>
      </c>
      <c r="AE16">
        <f>IF($B16="",0,COUNTIFS('UX + Dev'!$AB$1:$DN$1,"&gt;="&amp;AE$1,'UX + Dev'!$AB$1:$DN$1,"&lt;="&amp;EOMONTH(AE$1,0),'UX + Dev'!$AB16:$DN16,"&lt;&gt;"))</f>
      </c>
      <c r="AF16">
        <f>IF($B16="",0,COUNTIFS('UX + Dev'!$AB$1:$DN$1,"&gt;="&amp;AF$1,'UX + Dev'!$AB$1:$DN$1,"&lt;="&amp;EOMONTH(AF$1,0),'UX + Dev'!$AB16:$DN16,"&lt;&gt;"))</f>
      </c>
      <c r="AG16">
        <f>IF($B16="",0,COUNTIFS('UX + Dev'!$AB$1:$DN$1,"&gt;="&amp;AG$1,'UX + Dev'!$AB$1:$DN$1,"&lt;="&amp;EOMONTH(AG$1,0),'UX + Dev'!$AB16:$DN16,"&lt;&gt;"))</f>
      </c>
      <c r="AH16">
        <f>IF($B16="",0,COUNTIFS('UX + Dev'!$AB$1:$DN$1,"&gt;="&amp;AH$1,'UX + Dev'!$AB$1:$DN$1,"&lt;="&amp;EOMONTH(AH$1,0),'UX + Dev'!$AB16:$DN16,"&lt;&gt;"))</f>
      </c>
      <c r="AI16">
        <f>IF($B16="",0,COUNTIFS('UX + Dev'!$AB$1:$DN$1,"&gt;="&amp;AI$1,'UX + Dev'!$AB$1:$DN$1,"&lt;="&amp;EOMONTH(AI$1,0),'UX + Dev'!$AB16:$DN16,"&lt;&gt;"))</f>
      </c>
      <c r="AJ16">
        <f>IF($B16="",0,COUNTIFS('UX + Dev'!$AB$1:$DN$1,"&gt;="&amp;AJ$1,'UX + Dev'!$AB$1:$DN$1,"&lt;="&amp;EOMONTH(AJ$1,0),'UX + Dev'!$AB16:$DN16,"&lt;&gt;"))</f>
      </c>
      <c r="AK16">
        <f>IF($B16="",0,COUNTIFS('UX + Dev'!$AB$1:$DN$1,"&gt;="&amp;AK$1,'UX + Dev'!$AB$1:$DN$1,"&lt;="&amp;EOMONTH(AK$1,0),'UX + Dev'!$AB16:$DN16,"&lt;&gt;"))</f>
      </c>
      <c r="AL16">
        <f>IF($B16="",0,COUNTIFS('UX + Dev'!$AB$1:$DN$1,"&gt;="&amp;AL$1,'UX + Dev'!$AB$1:$DN$1,"&lt;="&amp;EOMONTH(AL$1,0),'UX + Dev'!$AB16:$DN16,"&lt;&gt;"))</f>
      </c>
      <c r="AM16">
        <f>IF($B16="",0,COUNTIFS('UX + Dev'!$AB$1:$DN$1,"&gt;="&amp;AM$1,'UX + Dev'!$AB$1:$DN$1,"&lt;="&amp;EOMONTH(AM$1,0),'UX + Dev'!$AB16:$DN16,"&lt;&gt;"))</f>
      </c>
      <c r="AN16">
        <f>IF($B16="",0,COUNTIFS('UX + Dev'!$AB$1:$DN$1,"&gt;="&amp;AN$1,'UX + Dev'!$AB$1:$DN$1,"&lt;="&amp;EOMONTH(AN$1,0),'UX + Dev'!$AB16:$DN16,"&lt;&gt;"))</f>
      </c>
      <c r="AO16">
        <f>IF($B16="",0,COUNTIFS('UX + Dev'!$AB$1:$DN$1,"&gt;="&amp;AO$1,'UX + Dev'!$AB$1:$DN$1,"&lt;="&amp;EOMONTH(AO$1,0),'UX + Dev'!$AB16:$DN16,"&lt;&gt;"))</f>
      </c>
      <c r="AP16">
        <f>IF($B16="",0,COUNTIFS('UX + Dev'!$AB$1:$DN$1,"&gt;="&amp;AP$1,'UX + Dev'!$AB$1:$DN$1,"&lt;="&amp;EOMONTH(AP$1,0),'UX + Dev'!$AB16:$DN16,"&lt;&gt;"))</f>
      </c>
      <c r="AQ16">
        <f>IF($B16="",0,COUNTIFS('UX + Dev'!$AB$1:$DN$1,"&gt;="&amp;AQ$1,'UX + Dev'!$AB$1:$DN$1,"&lt;="&amp;EOMONTH(AQ$1,0),'UX + Dev'!$AB16:$DN16,"&lt;&gt;"))</f>
      </c>
      <c r="AR16">
        <f>IF($B16="",0,COUNTIFS('UX + Dev'!$AB$1:$DN$1,"&gt;="&amp;AR$1,'UX + Dev'!$AB$1:$DN$1,"&lt;="&amp;EOMONTH(AR$1,0),'UX + Dev'!$AB16:$DN16,"&lt;&gt;"))</f>
      </c>
      <c r="AS16">
        <f>IF($B16="",0,COUNTIFS('UX + Dev'!$AB$1:$DN$1,"&gt;="&amp;AS$1,'UX + Dev'!$AB$1:$DN$1,"&lt;="&amp;EOMONTH(AS$1,0),'UX + Dev'!$AB16:$DN16,"&lt;&gt;"))</f>
      </c>
      <c r="AT16">
        <f>IF($B16="",0,COUNTIFS('UX + Dev'!$AB$1:$DN$1,"&gt;="&amp;AT$1,'UX + Dev'!$AB$1:$DN$1,"&lt;="&amp;EOMONTH(AT$1,0),'UX + Dev'!$AB16:$DN16,"&lt;&gt;"))</f>
      </c>
      <c r="AU16">
        <f>IF($B16="",0,COUNTIFS('UX + Dev'!$AB$1:$DN$1,"&gt;="&amp;AU$1,'UX + Dev'!$AB$1:$DN$1,"&lt;="&amp;EOMONTH(AU$1,0),'UX + Dev'!$AB16:$DN16,"&lt;&gt;"))</f>
      </c>
      <c r="AV16">
        <f>IF($B16="",0,COUNTIFS('UX + Dev'!$AB$1:$DN$1,"&gt;="&amp;AV$1,'UX + Dev'!$AB$1:$DN$1,"&lt;="&amp;EOMONTH(AV$1,0),'UX + Dev'!$AB16:$DN16,"&lt;&gt;"))</f>
      </c>
      <c r="AW16">
        <f>IF($B16="",0,COUNTIFS('UX + Dev'!$AB$1:$DN$1,"&gt;="&amp;AW$1,'UX + Dev'!$AB$1:$DN$1,"&lt;="&amp;EOMONTH(AW$1,0),'UX + Dev'!$AB16:$DN16,"&lt;&gt;"))</f>
      </c>
      <c r="AX16">
        <f>IF($B16="",0,COUNTIFS('UX + Dev'!$AB$1:$DN$1,"&gt;="&amp;AX$1,'UX + Dev'!$AB$1:$DN$1,"&lt;="&amp;EOMONTH(AX$1,0),'UX + Dev'!$AB16:$DN16,"&lt;&gt;"))</f>
      </c>
      <c r="BB16" s="308">
        <f>IF($B16="","",IF(COUNTA('UX + Dev'!U16)&gt;0,DATE(YEAR('UX + Dev'!U16),MONTH('UX + Dev'!U16),1),IF(COUNTA('UX + Dev'!V16)&gt;0,DATE(YEAR('UX + Dev'!V16),MONTH('UX + Dev'!V16),1),"")))</f>
      </c>
      <c r="BC16" s="308">
        <f>IF($B16="","",IF(COUNTA('UX + Dev'!V16)&gt;0,EOMONTH('UX + Dev'!V16,0),IF(COUNTA('UX + Dev'!U16)&gt;0,EOMONTH('UX + Dev'!U16,0),"")))</f>
      </c>
    </row>
    <row r="17">
      <c r="A17" s="305" t="n">
        <v>17</v>
      </c>
      <c r="B17" s="305">
        <f>IF(TRIM('UX + Dev'!E17)="","",TRIM('UX + Dev'!E17))</f>
      </c>
      <c r="C17" s="305">
        <f>IF($B17="","",'UX + Dev'!B17)</f>
      </c>
      <c r="D17" s="305">
        <f>IF($B17="","",IF(TRIM('UX + Dev'!C17)="","(No theme assigned)",TRIM('UX + Dev'!C17)))</f>
      </c>
      <c r="E17" s="305">
        <f>IF($B17="","",TRIM('UX + Dev'!F17))</f>
      </c>
      <c r="F17" s="305">
        <f>IF($B17="","",'UX + Dev'!G17)</f>
      </c>
      <c r="G17" s="306">
        <f t="array" ref="G17">IF($B17="","",IF($T17=0,"",IFERROR(MIN(IF('UX + Dev'!$AB17:$DN17&lt;&gt;"",'UX + Dev'!$AB$1:$DN$1)),"")))</f>
      </c>
      <c r="H17" s="306">
        <f t="array" ref="H17">IF($B17="","",IF($T17=0,"",IFERROR(MAX(IF('UX + Dev'!$AB17:$DN17&lt;&gt;"",'UX + Dev'!$AB$1:$DN$1)),"")))</f>
      </c>
      <c r="I17" s="307">
        <f>IF($R17&lt;&gt;"",$R17,IF($S17&lt;&gt;"",$S17,""))</f>
      </c>
      <c r="J17" s="307">
        <f>IF($S17&lt;&gt;"",EOMONTH($S17,0),IF($R17&lt;&gt;"",EOMONTH($R17,0),""))</f>
      </c>
      <c r="K17" s="305">
        <f>IF($B17="","",IF(COUNTA('UX + Dev'!AA17)=0,"",TRIM('UX + Dev'!AA17)))</f>
      </c>
      <c r="L17" s="305">
        <f>IF($B17="","",IFERROR(MATCH($D17,Control!$E$4:$E$30,0),99))</f>
      </c>
      <c r="M17" s="305">
        <f>IF($B17="","",IFERROR(MATCH($F17,Control!$B$4:$B$30,0),99))</f>
      </c>
      <c r="N17" s="305">
        <f>IF($V17&lt;&gt;1,"",IF('Roadmap (Auto)'!$D$3="Status, then Theme",$M17*1000000+$L17*10000+ROW(),IF('Roadmap (Auto)'!$D$3="Dev start (earliest)",IF($I17="",99999999,$I17)*10000+ROW(),IF('Roadmap (Auto)'!$D$3="UX start (earliest)",IF($G17="",99999999,$G17)*10000+ROW(),IF('Roadmap (Auto)'!$D$3="Deliverable A-Z",$W17*10000+ROW(),$L17*1000000+$M17*10000+ROW())))))</f>
      </c>
      <c r="O17" s="305">
        <f>IF($N17="","",COUNTIF($N$2:$N$151,"&lt;"&amp;$N17)+1)</f>
      </c>
      <c r="P17" s="305">
        <f>IF($B17="","",IF(COUNTA('UX + Dev'!X17)=0,"",'UX + Dev'!X17))</f>
      </c>
      <c r="Q17" s="305">
        <f>IF($B17="","",IF(COUNTA('UX + Dev'!Y17)=0,"",'UX + Dev'!Y17))</f>
      </c>
      <c r="R17" s="307">
        <f>IF($P17="","",IF(ISNUMBER($P17),DATE(YEAR($P17),MONTH($P17),1),IFERROR(DATE(IFERROR(VALUE(RIGHT(TRIM($P17),4)),YEAR(TODAY())),(SEARCH(LEFT(TRIM($P17),3),"JanFebMarAprMayJunJulAugSepOctNovDec")+2)/3,1),"")))</f>
      </c>
      <c r="S17" s="307">
        <f>IF($Q17="","",IF(ISNUMBER($Q17),DATE(YEAR($Q17),MONTH($Q17),1),IFERROR(DATE(IFERROR(VALUE(RIGHT(TRIM($Q17),4)),YEAR(TODAY())),(SEARCH(LEFT(TRIM($Q17),3),"JanFebMarAprMayJunJulAugSepOctNovDec")+2)/3,1),"")))</f>
      </c>
      <c r="T17" s="305">
        <f>IF($B17="","",COUNTA('UX + Dev'!$AB17:$DN17))</f>
      </c>
      <c r="U17" s="305">
        <f>IF($B17="","",IFERROR(MATCH($D17,Control!$E$4:$E$30,0)+3,0))</f>
      </c>
      <c r="V17" s="305">
        <f>IF($B17="","",IF(AND(OR('Roadmap (Auto)'!$A$3="",'Roadmap (Auto)'!$A$3="(All)",ISNUMBER(SEARCH('Roadmap (Auto)'!$A$3,$C17&amp;""))),OR('Roadmap (Auto)'!$B$3="",'Roadmap (Auto)'!$B$3="(All)",$D17='Roadmap (Auto)'!$B$3,$X17='Roadmap (Auto)'!$B$3),OR('Roadmap (Auto)'!$C$3="",'Roadmap (Auto)'!$C$3="(All)",$F17='Roadmap (Auto)'!$C$3)),1,0))</f>
      </c>
      <c r="W17" s="305">
        <f>IF($B17="","",COUNTIF($Y$2:$Y$151,"&lt;"&amp;$Y17)+1)</f>
      </c>
      <c r="X17" s="305">
        <f>IF($B17="","",IF(TRIM('UX + Dev'!D17)="","",TRIM('UX + Dev'!D17)))</f>
      </c>
      <c r="Y17" s="305">
        <f>IF($B17="","",SUBSTITUTE(SUBSTITUTE(SUBSTITUTE(SUBSTITUTE(SUBSTITUTE(SUBSTITUTE(SUBSTITUTE(SUBSTITUTE(SUBSTITUTE(SUBSTITUTE(SUBSTITUTE(SUBSTITUTE(SUBSTITUTE(SUBSTITUTE(SUBSTITUTE(SUBSTITUTE(SUBSTITUTE(SUBSTITUTE(SUBSTITUTE(SUBSTITUTE(SUBSTITUTE(SUBSTITUTE(SUBSTITUTE(SUBSTITUTE(SUBSTITUTE(UPPER($B17)," ",""),"-",""),":",""),"/",""),"&amp;",""),"|",""),"'",""),"’",""),"&lt;",""),"&gt;",""),",",""),"$",""),".",""),"(",""),")",""),"*",""),"?",""),"~",""),"_",""),"+",""),"#",""),";",""),"!",""),"%",""),"@",""))</f>
      </c>
      <c r="AA17">
        <f>IF($B17="",0,COUNTIFS('UX + Dev'!$AB$1:$DN$1,"&gt;="&amp;AA$1,'UX + Dev'!$AB$1:$DN$1,"&lt;="&amp;EOMONTH(AA$1,0),'UX + Dev'!$AB17:$DN17,"&lt;&gt;"))</f>
      </c>
      <c r="AB17">
        <f>IF($B17="",0,COUNTIFS('UX + Dev'!$AB$1:$DN$1,"&gt;="&amp;AB$1,'UX + Dev'!$AB$1:$DN$1,"&lt;="&amp;EOMONTH(AB$1,0),'UX + Dev'!$AB17:$DN17,"&lt;&gt;"))</f>
      </c>
      <c r="AC17">
        <f>IF($B17="",0,COUNTIFS('UX + Dev'!$AB$1:$DN$1,"&gt;="&amp;AC$1,'UX + Dev'!$AB$1:$DN$1,"&lt;="&amp;EOMONTH(AC$1,0),'UX + Dev'!$AB17:$DN17,"&lt;&gt;"))</f>
      </c>
      <c r="AD17">
        <f>IF($B17="",0,COUNTIFS('UX + Dev'!$AB$1:$DN$1,"&gt;="&amp;AD$1,'UX + Dev'!$AB$1:$DN$1,"&lt;="&amp;EOMONTH(AD$1,0),'UX + Dev'!$AB17:$DN17,"&lt;&gt;"))</f>
      </c>
      <c r="AE17">
        <f>IF($B17="",0,COUNTIFS('UX + Dev'!$AB$1:$DN$1,"&gt;="&amp;AE$1,'UX + Dev'!$AB$1:$DN$1,"&lt;="&amp;EOMONTH(AE$1,0),'UX + Dev'!$AB17:$DN17,"&lt;&gt;"))</f>
      </c>
      <c r="AF17">
        <f>IF($B17="",0,COUNTIFS('UX + Dev'!$AB$1:$DN$1,"&gt;="&amp;AF$1,'UX + Dev'!$AB$1:$DN$1,"&lt;="&amp;EOMONTH(AF$1,0),'UX + Dev'!$AB17:$DN17,"&lt;&gt;"))</f>
      </c>
      <c r="AG17">
        <f>IF($B17="",0,COUNTIFS('UX + Dev'!$AB$1:$DN$1,"&gt;="&amp;AG$1,'UX + Dev'!$AB$1:$DN$1,"&lt;="&amp;EOMONTH(AG$1,0),'UX + Dev'!$AB17:$DN17,"&lt;&gt;"))</f>
      </c>
      <c r="AH17">
        <f>IF($B17="",0,COUNTIFS('UX + Dev'!$AB$1:$DN$1,"&gt;="&amp;AH$1,'UX + Dev'!$AB$1:$DN$1,"&lt;="&amp;EOMONTH(AH$1,0),'UX + Dev'!$AB17:$DN17,"&lt;&gt;"))</f>
      </c>
      <c r="AI17">
        <f>IF($B17="",0,COUNTIFS('UX + Dev'!$AB$1:$DN$1,"&gt;="&amp;AI$1,'UX + Dev'!$AB$1:$DN$1,"&lt;="&amp;EOMONTH(AI$1,0),'UX + Dev'!$AB17:$DN17,"&lt;&gt;"))</f>
      </c>
      <c r="AJ17">
        <f>IF($B17="",0,COUNTIFS('UX + Dev'!$AB$1:$DN$1,"&gt;="&amp;AJ$1,'UX + Dev'!$AB$1:$DN$1,"&lt;="&amp;EOMONTH(AJ$1,0),'UX + Dev'!$AB17:$DN17,"&lt;&gt;"))</f>
      </c>
      <c r="AK17">
        <f>IF($B17="",0,COUNTIFS('UX + Dev'!$AB$1:$DN$1,"&gt;="&amp;AK$1,'UX + Dev'!$AB$1:$DN$1,"&lt;="&amp;EOMONTH(AK$1,0),'UX + Dev'!$AB17:$DN17,"&lt;&gt;"))</f>
      </c>
      <c r="AL17">
        <f>IF($B17="",0,COUNTIFS('UX + Dev'!$AB$1:$DN$1,"&gt;="&amp;AL$1,'UX + Dev'!$AB$1:$DN$1,"&lt;="&amp;EOMONTH(AL$1,0),'UX + Dev'!$AB17:$DN17,"&lt;&gt;"))</f>
      </c>
      <c r="AM17">
        <f>IF($B17="",0,COUNTIFS('UX + Dev'!$AB$1:$DN$1,"&gt;="&amp;AM$1,'UX + Dev'!$AB$1:$DN$1,"&lt;="&amp;EOMONTH(AM$1,0),'UX + Dev'!$AB17:$DN17,"&lt;&gt;"))</f>
      </c>
      <c r="AN17">
        <f>IF($B17="",0,COUNTIFS('UX + Dev'!$AB$1:$DN$1,"&gt;="&amp;AN$1,'UX + Dev'!$AB$1:$DN$1,"&lt;="&amp;EOMONTH(AN$1,0),'UX + Dev'!$AB17:$DN17,"&lt;&gt;"))</f>
      </c>
      <c r="AO17">
        <f>IF($B17="",0,COUNTIFS('UX + Dev'!$AB$1:$DN$1,"&gt;="&amp;AO$1,'UX + Dev'!$AB$1:$DN$1,"&lt;="&amp;EOMONTH(AO$1,0),'UX + Dev'!$AB17:$DN17,"&lt;&gt;"))</f>
      </c>
      <c r="AP17">
        <f>IF($B17="",0,COUNTIFS('UX + Dev'!$AB$1:$DN$1,"&gt;="&amp;AP$1,'UX + Dev'!$AB$1:$DN$1,"&lt;="&amp;EOMONTH(AP$1,0),'UX + Dev'!$AB17:$DN17,"&lt;&gt;"))</f>
      </c>
      <c r="AQ17">
        <f>IF($B17="",0,COUNTIFS('UX + Dev'!$AB$1:$DN$1,"&gt;="&amp;AQ$1,'UX + Dev'!$AB$1:$DN$1,"&lt;="&amp;EOMONTH(AQ$1,0),'UX + Dev'!$AB17:$DN17,"&lt;&gt;"))</f>
      </c>
      <c r="AR17">
        <f>IF($B17="",0,COUNTIFS('UX + Dev'!$AB$1:$DN$1,"&gt;="&amp;AR$1,'UX + Dev'!$AB$1:$DN$1,"&lt;="&amp;EOMONTH(AR$1,0),'UX + Dev'!$AB17:$DN17,"&lt;&gt;"))</f>
      </c>
      <c r="AS17">
        <f>IF($B17="",0,COUNTIFS('UX + Dev'!$AB$1:$DN$1,"&gt;="&amp;AS$1,'UX + Dev'!$AB$1:$DN$1,"&lt;="&amp;EOMONTH(AS$1,0),'UX + Dev'!$AB17:$DN17,"&lt;&gt;"))</f>
      </c>
      <c r="AT17">
        <f>IF($B17="",0,COUNTIFS('UX + Dev'!$AB$1:$DN$1,"&gt;="&amp;AT$1,'UX + Dev'!$AB$1:$DN$1,"&lt;="&amp;EOMONTH(AT$1,0),'UX + Dev'!$AB17:$DN17,"&lt;&gt;"))</f>
      </c>
      <c r="AU17">
        <f>IF($B17="",0,COUNTIFS('UX + Dev'!$AB$1:$DN$1,"&gt;="&amp;AU$1,'UX + Dev'!$AB$1:$DN$1,"&lt;="&amp;EOMONTH(AU$1,0),'UX + Dev'!$AB17:$DN17,"&lt;&gt;"))</f>
      </c>
      <c r="AV17">
        <f>IF($B17="",0,COUNTIFS('UX + Dev'!$AB$1:$DN$1,"&gt;="&amp;AV$1,'UX + Dev'!$AB$1:$DN$1,"&lt;="&amp;EOMONTH(AV$1,0),'UX + Dev'!$AB17:$DN17,"&lt;&gt;"))</f>
      </c>
      <c r="AW17">
        <f>IF($B17="",0,COUNTIFS('UX + Dev'!$AB$1:$DN$1,"&gt;="&amp;AW$1,'UX + Dev'!$AB$1:$DN$1,"&lt;="&amp;EOMONTH(AW$1,0),'UX + Dev'!$AB17:$DN17,"&lt;&gt;"))</f>
      </c>
      <c r="AX17">
        <f>IF($B17="",0,COUNTIFS('UX + Dev'!$AB$1:$DN$1,"&gt;="&amp;AX$1,'UX + Dev'!$AB$1:$DN$1,"&lt;="&amp;EOMONTH(AX$1,0),'UX + Dev'!$AB17:$DN17,"&lt;&gt;"))</f>
      </c>
      <c r="BB17" s="308">
        <f>IF($B17="","",IF(COUNTA('UX + Dev'!U17)&gt;0,DATE(YEAR('UX + Dev'!U17),MONTH('UX + Dev'!U17),1),IF(COUNTA('UX + Dev'!V17)&gt;0,DATE(YEAR('UX + Dev'!V17),MONTH('UX + Dev'!V17),1),"")))</f>
      </c>
      <c r="BC17" s="308">
        <f>IF($B17="","",IF(COUNTA('UX + Dev'!V17)&gt;0,EOMONTH('UX + Dev'!V17,0),IF(COUNTA('UX + Dev'!U17)&gt;0,EOMONTH('UX + Dev'!U17,0),"")))</f>
      </c>
    </row>
    <row r="18">
      <c r="A18" s="305" t="n">
        <v>18</v>
      </c>
      <c r="B18" s="305">
        <f>IF(TRIM('UX + Dev'!E18)="","",TRIM('UX + Dev'!E18))</f>
      </c>
      <c r="C18" s="305">
        <f>IF($B18="","",'UX + Dev'!B18)</f>
      </c>
      <c r="D18" s="305">
        <f>IF($B18="","",IF(TRIM('UX + Dev'!C18)="","(No theme assigned)",TRIM('UX + Dev'!C18)))</f>
      </c>
      <c r="E18" s="305">
        <f>IF($B18="","",TRIM('UX + Dev'!F18))</f>
      </c>
      <c r="F18" s="305">
        <f>IF($B18="","",'UX + Dev'!G18)</f>
      </c>
      <c r="G18" s="306">
        <f t="array" ref="G18">IF($B18="","",IF($T18=0,"",IFERROR(MIN(IF('UX + Dev'!$AB18:$DN18&lt;&gt;"",'UX + Dev'!$AB$1:$DN$1)),"")))</f>
      </c>
      <c r="H18" s="306">
        <f t="array" ref="H18">IF($B18="","",IF($T18=0,"",IFERROR(MAX(IF('UX + Dev'!$AB18:$DN18&lt;&gt;"",'UX + Dev'!$AB$1:$DN$1)),"")))</f>
      </c>
      <c r="I18" s="307">
        <f>IF($R18&lt;&gt;"",$R18,IF($S18&lt;&gt;"",$S18,""))</f>
      </c>
      <c r="J18" s="307">
        <f>IF($S18&lt;&gt;"",EOMONTH($S18,0),IF($R18&lt;&gt;"",EOMONTH($R18,0),""))</f>
      </c>
      <c r="K18" s="305">
        <f>IF($B18="","",IF(COUNTA('UX + Dev'!AA18)=0,"",TRIM('UX + Dev'!AA18)))</f>
      </c>
      <c r="L18" s="305">
        <f>IF($B18="","",IFERROR(MATCH($D18,Control!$E$4:$E$30,0),99))</f>
      </c>
      <c r="M18" s="305">
        <f>IF($B18="","",IFERROR(MATCH($F18,Control!$B$4:$B$30,0),99))</f>
      </c>
      <c r="N18" s="305">
        <f>IF($V18&lt;&gt;1,"",IF('Roadmap (Auto)'!$D$3="Status, then Theme",$M18*1000000+$L18*10000+ROW(),IF('Roadmap (Auto)'!$D$3="Dev start (earliest)",IF($I18="",99999999,$I18)*10000+ROW(),IF('Roadmap (Auto)'!$D$3="UX start (earliest)",IF($G18="",99999999,$G18)*10000+ROW(),IF('Roadmap (Auto)'!$D$3="Deliverable A-Z",$W18*10000+ROW(),$L18*1000000+$M18*10000+ROW())))))</f>
      </c>
      <c r="O18" s="305">
        <f>IF($N18="","",COUNTIF($N$2:$N$151,"&lt;"&amp;$N18)+1)</f>
      </c>
      <c r="P18" s="305">
        <f>IF($B18="","",IF(COUNTA('UX + Dev'!X18)=0,"",'UX + Dev'!X18))</f>
      </c>
      <c r="Q18" s="305">
        <f>IF($B18="","",IF(COUNTA('UX + Dev'!Y18)=0,"",'UX + Dev'!Y18))</f>
      </c>
      <c r="R18" s="307">
        <f>IF($P18="","",IF(ISNUMBER($P18),DATE(YEAR($P18),MONTH($P18),1),IFERROR(DATE(IFERROR(VALUE(RIGHT(TRIM($P18),4)),YEAR(TODAY())),(SEARCH(LEFT(TRIM($P18),3),"JanFebMarAprMayJunJulAugSepOctNovDec")+2)/3,1),"")))</f>
      </c>
      <c r="S18" s="307">
        <f>IF($Q18="","",IF(ISNUMBER($Q18),DATE(YEAR($Q18),MONTH($Q18),1),IFERROR(DATE(IFERROR(VALUE(RIGHT(TRIM($Q18),4)),YEAR(TODAY())),(SEARCH(LEFT(TRIM($Q18),3),"JanFebMarAprMayJunJulAugSepOctNovDec")+2)/3,1),"")))</f>
      </c>
      <c r="T18" s="305">
        <f>IF($B18="","",COUNTA('UX + Dev'!$AB18:$DN18))</f>
      </c>
      <c r="U18" s="305">
        <f>IF($B18="","",IFERROR(MATCH($D18,Control!$E$4:$E$30,0)+3,0))</f>
      </c>
      <c r="V18" s="305">
        <f>IF($B18="","",IF(AND(OR('Roadmap (Auto)'!$A$3="",'Roadmap (Auto)'!$A$3="(All)",ISNUMBER(SEARCH('Roadmap (Auto)'!$A$3,$C18&amp;""))),OR('Roadmap (Auto)'!$B$3="",'Roadmap (Auto)'!$B$3="(All)",$D18='Roadmap (Auto)'!$B$3,$X18='Roadmap (Auto)'!$B$3),OR('Roadmap (Auto)'!$C$3="",'Roadmap (Auto)'!$C$3="(All)",$F18='Roadmap (Auto)'!$C$3)),1,0))</f>
      </c>
      <c r="W18" s="305">
        <f>IF($B18="","",COUNTIF($Y$2:$Y$151,"&lt;"&amp;$Y18)+1)</f>
      </c>
      <c r="X18" s="305">
        <f>IF($B18="","",IF(TRIM('UX + Dev'!D18)="","",TRIM('UX + Dev'!D18)))</f>
      </c>
      <c r="Y18" s="305">
        <f>IF($B18="","",SUBSTITUTE(SUBSTITUTE(SUBSTITUTE(SUBSTITUTE(SUBSTITUTE(SUBSTITUTE(SUBSTITUTE(SUBSTITUTE(SUBSTITUTE(SUBSTITUTE(SUBSTITUTE(SUBSTITUTE(SUBSTITUTE(SUBSTITUTE(SUBSTITUTE(SUBSTITUTE(SUBSTITUTE(SUBSTITUTE(SUBSTITUTE(SUBSTITUTE(SUBSTITUTE(SUBSTITUTE(SUBSTITUTE(SUBSTITUTE(SUBSTITUTE(UPPER($B18)," ",""),"-",""),":",""),"/",""),"&amp;",""),"|",""),"'",""),"’",""),"&lt;",""),"&gt;",""),",",""),"$",""),".",""),"(",""),")",""),"*",""),"?",""),"~",""),"_",""),"+",""),"#",""),";",""),"!",""),"%",""),"@",""))</f>
      </c>
      <c r="AA18">
        <f>IF($B18="",0,COUNTIFS('UX + Dev'!$AB$1:$DN$1,"&gt;="&amp;AA$1,'UX + Dev'!$AB$1:$DN$1,"&lt;="&amp;EOMONTH(AA$1,0),'UX + Dev'!$AB18:$DN18,"&lt;&gt;"))</f>
      </c>
      <c r="AB18">
        <f>IF($B18="",0,COUNTIFS('UX + Dev'!$AB$1:$DN$1,"&gt;="&amp;AB$1,'UX + Dev'!$AB$1:$DN$1,"&lt;="&amp;EOMONTH(AB$1,0),'UX + Dev'!$AB18:$DN18,"&lt;&gt;"))</f>
      </c>
      <c r="AC18">
        <f>IF($B18="",0,COUNTIFS('UX + Dev'!$AB$1:$DN$1,"&gt;="&amp;AC$1,'UX + Dev'!$AB$1:$DN$1,"&lt;="&amp;EOMONTH(AC$1,0),'UX + Dev'!$AB18:$DN18,"&lt;&gt;"))</f>
      </c>
      <c r="AD18">
        <f>IF($B18="",0,COUNTIFS('UX + Dev'!$AB$1:$DN$1,"&gt;="&amp;AD$1,'UX + Dev'!$AB$1:$DN$1,"&lt;="&amp;EOMONTH(AD$1,0),'UX + Dev'!$AB18:$DN18,"&lt;&gt;"))</f>
      </c>
      <c r="AE18">
        <f>IF($B18="",0,COUNTIFS('UX + Dev'!$AB$1:$DN$1,"&gt;="&amp;AE$1,'UX + Dev'!$AB$1:$DN$1,"&lt;="&amp;EOMONTH(AE$1,0),'UX + Dev'!$AB18:$DN18,"&lt;&gt;"))</f>
      </c>
      <c r="AF18">
        <f>IF($B18="",0,COUNTIFS('UX + Dev'!$AB$1:$DN$1,"&gt;="&amp;AF$1,'UX + Dev'!$AB$1:$DN$1,"&lt;="&amp;EOMONTH(AF$1,0),'UX + Dev'!$AB18:$DN18,"&lt;&gt;"))</f>
      </c>
      <c r="AG18">
        <f>IF($B18="",0,COUNTIFS('UX + Dev'!$AB$1:$DN$1,"&gt;="&amp;AG$1,'UX + Dev'!$AB$1:$DN$1,"&lt;="&amp;EOMONTH(AG$1,0),'UX + Dev'!$AB18:$DN18,"&lt;&gt;"))</f>
      </c>
      <c r="AH18">
        <f>IF($B18="",0,COUNTIFS('UX + Dev'!$AB$1:$DN$1,"&gt;="&amp;AH$1,'UX + Dev'!$AB$1:$DN$1,"&lt;="&amp;EOMONTH(AH$1,0),'UX + Dev'!$AB18:$DN18,"&lt;&gt;"))</f>
      </c>
      <c r="AI18">
        <f>IF($B18="",0,COUNTIFS('UX + Dev'!$AB$1:$DN$1,"&gt;="&amp;AI$1,'UX + Dev'!$AB$1:$DN$1,"&lt;="&amp;EOMONTH(AI$1,0),'UX + Dev'!$AB18:$DN18,"&lt;&gt;"))</f>
      </c>
      <c r="AJ18">
        <f>IF($B18="",0,COUNTIFS('UX + Dev'!$AB$1:$DN$1,"&gt;="&amp;AJ$1,'UX + Dev'!$AB$1:$DN$1,"&lt;="&amp;EOMONTH(AJ$1,0),'UX + Dev'!$AB18:$DN18,"&lt;&gt;"))</f>
      </c>
      <c r="AK18">
        <f>IF($B18="",0,COUNTIFS('UX + Dev'!$AB$1:$DN$1,"&gt;="&amp;AK$1,'UX + Dev'!$AB$1:$DN$1,"&lt;="&amp;EOMONTH(AK$1,0),'UX + Dev'!$AB18:$DN18,"&lt;&gt;"))</f>
      </c>
      <c r="AL18">
        <f>IF($B18="",0,COUNTIFS('UX + Dev'!$AB$1:$DN$1,"&gt;="&amp;AL$1,'UX + Dev'!$AB$1:$DN$1,"&lt;="&amp;EOMONTH(AL$1,0),'UX + Dev'!$AB18:$DN18,"&lt;&gt;"))</f>
      </c>
      <c r="AM18">
        <f>IF($B18="",0,COUNTIFS('UX + Dev'!$AB$1:$DN$1,"&gt;="&amp;AM$1,'UX + Dev'!$AB$1:$DN$1,"&lt;="&amp;EOMONTH(AM$1,0),'UX + Dev'!$AB18:$DN18,"&lt;&gt;"))</f>
      </c>
      <c r="AN18">
        <f>IF($B18="",0,COUNTIFS('UX + Dev'!$AB$1:$DN$1,"&gt;="&amp;AN$1,'UX + Dev'!$AB$1:$DN$1,"&lt;="&amp;EOMONTH(AN$1,0),'UX + Dev'!$AB18:$DN18,"&lt;&gt;"))</f>
      </c>
      <c r="AO18">
        <f>IF($B18="",0,COUNTIFS('UX + Dev'!$AB$1:$DN$1,"&gt;="&amp;AO$1,'UX + Dev'!$AB$1:$DN$1,"&lt;="&amp;EOMONTH(AO$1,0),'UX + Dev'!$AB18:$DN18,"&lt;&gt;"))</f>
      </c>
      <c r="AP18">
        <f>IF($B18="",0,COUNTIFS('UX + Dev'!$AB$1:$DN$1,"&gt;="&amp;AP$1,'UX + Dev'!$AB$1:$DN$1,"&lt;="&amp;EOMONTH(AP$1,0),'UX + Dev'!$AB18:$DN18,"&lt;&gt;"))</f>
      </c>
      <c r="AQ18">
        <f>IF($B18="",0,COUNTIFS('UX + Dev'!$AB$1:$DN$1,"&gt;="&amp;AQ$1,'UX + Dev'!$AB$1:$DN$1,"&lt;="&amp;EOMONTH(AQ$1,0),'UX + Dev'!$AB18:$DN18,"&lt;&gt;"))</f>
      </c>
      <c r="AR18">
        <f>IF($B18="",0,COUNTIFS('UX + Dev'!$AB$1:$DN$1,"&gt;="&amp;AR$1,'UX + Dev'!$AB$1:$DN$1,"&lt;="&amp;EOMONTH(AR$1,0),'UX + Dev'!$AB18:$DN18,"&lt;&gt;"))</f>
      </c>
      <c r="AS18">
        <f>IF($B18="",0,COUNTIFS('UX + Dev'!$AB$1:$DN$1,"&gt;="&amp;AS$1,'UX + Dev'!$AB$1:$DN$1,"&lt;="&amp;EOMONTH(AS$1,0),'UX + Dev'!$AB18:$DN18,"&lt;&gt;"))</f>
      </c>
      <c r="AT18">
        <f>IF($B18="",0,COUNTIFS('UX + Dev'!$AB$1:$DN$1,"&gt;="&amp;AT$1,'UX + Dev'!$AB$1:$DN$1,"&lt;="&amp;EOMONTH(AT$1,0),'UX + Dev'!$AB18:$DN18,"&lt;&gt;"))</f>
      </c>
      <c r="AU18">
        <f>IF($B18="",0,COUNTIFS('UX + Dev'!$AB$1:$DN$1,"&gt;="&amp;AU$1,'UX + Dev'!$AB$1:$DN$1,"&lt;="&amp;EOMONTH(AU$1,0),'UX + Dev'!$AB18:$DN18,"&lt;&gt;"))</f>
      </c>
      <c r="AV18">
        <f>IF($B18="",0,COUNTIFS('UX + Dev'!$AB$1:$DN$1,"&gt;="&amp;AV$1,'UX + Dev'!$AB$1:$DN$1,"&lt;="&amp;EOMONTH(AV$1,0),'UX + Dev'!$AB18:$DN18,"&lt;&gt;"))</f>
      </c>
      <c r="AW18">
        <f>IF($B18="",0,COUNTIFS('UX + Dev'!$AB$1:$DN$1,"&gt;="&amp;AW$1,'UX + Dev'!$AB$1:$DN$1,"&lt;="&amp;EOMONTH(AW$1,0),'UX + Dev'!$AB18:$DN18,"&lt;&gt;"))</f>
      </c>
      <c r="AX18">
        <f>IF($B18="",0,COUNTIFS('UX + Dev'!$AB$1:$DN$1,"&gt;="&amp;AX$1,'UX + Dev'!$AB$1:$DN$1,"&lt;="&amp;EOMONTH(AX$1,0),'UX + Dev'!$AB18:$DN18,"&lt;&gt;"))</f>
      </c>
      <c r="BB18" s="308">
        <f>IF($B18="","",IF(COUNTA('UX + Dev'!U18)&gt;0,DATE(YEAR('UX + Dev'!U18),MONTH('UX + Dev'!U18),1),IF(COUNTA('UX + Dev'!V18)&gt;0,DATE(YEAR('UX + Dev'!V18),MONTH('UX + Dev'!V18),1),"")))</f>
      </c>
      <c r="BC18" s="308">
        <f>IF($B18="","",IF(COUNTA('UX + Dev'!V18)&gt;0,EOMONTH('UX + Dev'!V18,0),IF(COUNTA('UX + Dev'!U18)&gt;0,EOMONTH('UX + Dev'!U18,0),"")))</f>
      </c>
    </row>
    <row r="19">
      <c r="A19" s="305" t="n">
        <v>19</v>
      </c>
      <c r="B19" s="305">
        <f>IF(TRIM('UX + Dev'!E19)="","",TRIM('UX + Dev'!E19))</f>
      </c>
      <c r="C19" s="305">
        <f>IF($B19="","",'UX + Dev'!B19)</f>
      </c>
      <c r="D19" s="305">
        <f>IF($B19="","",IF(TRIM('UX + Dev'!C19)="","(No theme assigned)",TRIM('UX + Dev'!C19)))</f>
      </c>
      <c r="E19" s="305">
        <f>IF($B19="","",TRIM('UX + Dev'!F19))</f>
      </c>
      <c r="F19" s="305">
        <f>IF($B19="","",'UX + Dev'!G19)</f>
      </c>
      <c r="G19" s="306">
        <f t="array" ref="G19">IF($B19="","",IF($T19=0,"",IFERROR(MIN(IF('UX + Dev'!$AB19:$DN19&lt;&gt;"",'UX + Dev'!$AB$1:$DN$1)),"")))</f>
      </c>
      <c r="H19" s="306">
        <f t="array" ref="H19">IF($B19="","",IF($T19=0,"",IFERROR(MAX(IF('UX + Dev'!$AB19:$DN19&lt;&gt;"",'UX + Dev'!$AB$1:$DN$1)),"")))</f>
      </c>
      <c r="I19" s="307">
        <f>IF($R19&lt;&gt;"",$R19,IF($S19&lt;&gt;"",$S19,""))</f>
      </c>
      <c r="J19" s="307">
        <f>IF($S19&lt;&gt;"",EOMONTH($S19,0),IF($R19&lt;&gt;"",EOMONTH($R19,0),""))</f>
      </c>
      <c r="K19" s="305">
        <f>IF($B19="","",IF(COUNTA('UX + Dev'!AA19)=0,"",TRIM('UX + Dev'!AA19)))</f>
      </c>
      <c r="L19" s="305">
        <f>IF($B19="","",IFERROR(MATCH($D19,Control!$E$4:$E$30,0),99))</f>
      </c>
      <c r="M19" s="305">
        <f>IF($B19="","",IFERROR(MATCH($F19,Control!$B$4:$B$30,0),99))</f>
      </c>
      <c r="N19" s="305">
        <f>IF($V19&lt;&gt;1,"",IF('Roadmap (Auto)'!$D$3="Status, then Theme",$M19*1000000+$L19*10000+ROW(),IF('Roadmap (Auto)'!$D$3="Dev start (earliest)",IF($I19="",99999999,$I19)*10000+ROW(),IF('Roadmap (Auto)'!$D$3="UX start (earliest)",IF($G19="",99999999,$G19)*10000+ROW(),IF('Roadmap (Auto)'!$D$3="Deliverable A-Z",$W19*10000+ROW(),$L19*1000000+$M19*10000+ROW())))))</f>
      </c>
      <c r="O19" s="305">
        <f>IF($N19="","",COUNTIF($N$2:$N$151,"&lt;"&amp;$N19)+1)</f>
      </c>
      <c r="P19" s="305">
        <f>IF($B19="","",IF(COUNTA('UX + Dev'!X19)=0,"",'UX + Dev'!X19))</f>
      </c>
      <c r="Q19" s="305">
        <f>IF($B19="","",IF(COUNTA('UX + Dev'!Y19)=0,"",'UX + Dev'!Y19))</f>
      </c>
      <c r="R19" s="307">
        <f>IF($P19="","",IF(ISNUMBER($P19),DATE(YEAR($P19),MONTH($P19),1),IFERROR(DATE(IFERROR(VALUE(RIGHT(TRIM($P19),4)),YEAR(TODAY())),(SEARCH(LEFT(TRIM($P19),3),"JanFebMarAprMayJunJulAugSepOctNovDec")+2)/3,1),"")))</f>
      </c>
      <c r="S19" s="307">
        <f>IF($Q19="","",IF(ISNUMBER($Q19),DATE(YEAR($Q19),MONTH($Q19),1),IFERROR(DATE(IFERROR(VALUE(RIGHT(TRIM($Q19),4)),YEAR(TODAY())),(SEARCH(LEFT(TRIM($Q19),3),"JanFebMarAprMayJunJulAugSepOctNovDec")+2)/3,1),"")))</f>
      </c>
      <c r="T19" s="305">
        <f>IF($B19="","",COUNTA('UX + Dev'!$AB19:$DN19))</f>
      </c>
      <c r="U19" s="305">
        <f>IF($B19="","",IFERROR(MATCH($D19,Control!$E$4:$E$30,0)+3,0))</f>
      </c>
      <c r="V19" s="305">
        <f>IF($B19="","",IF(AND(OR('Roadmap (Auto)'!$A$3="",'Roadmap (Auto)'!$A$3="(All)",ISNUMBER(SEARCH('Roadmap (Auto)'!$A$3,$C19&amp;""))),OR('Roadmap (Auto)'!$B$3="",'Roadmap (Auto)'!$B$3="(All)",$D19='Roadmap (Auto)'!$B$3,$X19='Roadmap (Auto)'!$B$3),OR('Roadmap (Auto)'!$C$3="",'Roadmap (Auto)'!$C$3="(All)",$F19='Roadmap (Auto)'!$C$3)),1,0))</f>
      </c>
      <c r="W19" s="305">
        <f>IF($B19="","",COUNTIF($Y$2:$Y$151,"&lt;"&amp;$Y19)+1)</f>
      </c>
      <c r="X19" s="305">
        <f>IF($B19="","",IF(TRIM('UX + Dev'!D19)="","",TRIM('UX + Dev'!D19)))</f>
      </c>
      <c r="Y19" s="305">
        <f>IF($B19="","",SUBSTITUTE(SUBSTITUTE(SUBSTITUTE(SUBSTITUTE(SUBSTITUTE(SUBSTITUTE(SUBSTITUTE(SUBSTITUTE(SUBSTITUTE(SUBSTITUTE(SUBSTITUTE(SUBSTITUTE(SUBSTITUTE(SUBSTITUTE(SUBSTITUTE(SUBSTITUTE(SUBSTITUTE(SUBSTITUTE(SUBSTITUTE(SUBSTITUTE(SUBSTITUTE(SUBSTITUTE(SUBSTITUTE(SUBSTITUTE(SUBSTITUTE(UPPER($B19)," ",""),"-",""),":",""),"/",""),"&amp;",""),"|",""),"'",""),"’",""),"&lt;",""),"&gt;",""),",",""),"$",""),".",""),"(",""),")",""),"*",""),"?",""),"~",""),"_",""),"+",""),"#",""),";",""),"!",""),"%",""),"@",""))</f>
      </c>
      <c r="AA19">
        <f>IF($B19="",0,COUNTIFS('UX + Dev'!$AB$1:$DN$1,"&gt;="&amp;AA$1,'UX + Dev'!$AB$1:$DN$1,"&lt;="&amp;EOMONTH(AA$1,0),'UX + Dev'!$AB19:$DN19,"&lt;&gt;"))</f>
      </c>
      <c r="AB19">
        <f>IF($B19="",0,COUNTIFS('UX + Dev'!$AB$1:$DN$1,"&gt;="&amp;AB$1,'UX + Dev'!$AB$1:$DN$1,"&lt;="&amp;EOMONTH(AB$1,0),'UX + Dev'!$AB19:$DN19,"&lt;&gt;"))</f>
      </c>
      <c r="AC19">
        <f>IF($B19="",0,COUNTIFS('UX + Dev'!$AB$1:$DN$1,"&gt;="&amp;AC$1,'UX + Dev'!$AB$1:$DN$1,"&lt;="&amp;EOMONTH(AC$1,0),'UX + Dev'!$AB19:$DN19,"&lt;&gt;"))</f>
      </c>
      <c r="AD19">
        <f>IF($B19="",0,COUNTIFS('UX + Dev'!$AB$1:$DN$1,"&gt;="&amp;AD$1,'UX + Dev'!$AB$1:$DN$1,"&lt;="&amp;EOMONTH(AD$1,0),'UX + Dev'!$AB19:$DN19,"&lt;&gt;"))</f>
      </c>
      <c r="AE19">
        <f>IF($B19="",0,COUNTIFS('UX + Dev'!$AB$1:$DN$1,"&gt;="&amp;AE$1,'UX + Dev'!$AB$1:$DN$1,"&lt;="&amp;EOMONTH(AE$1,0),'UX + Dev'!$AB19:$DN19,"&lt;&gt;"))</f>
      </c>
      <c r="AF19">
        <f>IF($B19="",0,COUNTIFS('UX + Dev'!$AB$1:$DN$1,"&gt;="&amp;AF$1,'UX + Dev'!$AB$1:$DN$1,"&lt;="&amp;EOMONTH(AF$1,0),'UX + Dev'!$AB19:$DN19,"&lt;&gt;"))</f>
      </c>
      <c r="AG19">
        <f>IF($B19="",0,COUNTIFS('UX + Dev'!$AB$1:$DN$1,"&gt;="&amp;AG$1,'UX + Dev'!$AB$1:$DN$1,"&lt;="&amp;EOMONTH(AG$1,0),'UX + Dev'!$AB19:$DN19,"&lt;&gt;"))</f>
      </c>
      <c r="AH19">
        <f>IF($B19="",0,COUNTIFS('UX + Dev'!$AB$1:$DN$1,"&gt;="&amp;AH$1,'UX + Dev'!$AB$1:$DN$1,"&lt;="&amp;EOMONTH(AH$1,0),'UX + Dev'!$AB19:$DN19,"&lt;&gt;"))</f>
      </c>
      <c r="AI19">
        <f>IF($B19="",0,COUNTIFS('UX + Dev'!$AB$1:$DN$1,"&gt;="&amp;AI$1,'UX + Dev'!$AB$1:$DN$1,"&lt;="&amp;EOMONTH(AI$1,0),'UX + Dev'!$AB19:$DN19,"&lt;&gt;"))</f>
      </c>
      <c r="AJ19">
        <f>IF($B19="",0,COUNTIFS('UX + Dev'!$AB$1:$DN$1,"&gt;="&amp;AJ$1,'UX + Dev'!$AB$1:$DN$1,"&lt;="&amp;EOMONTH(AJ$1,0),'UX + Dev'!$AB19:$DN19,"&lt;&gt;"))</f>
      </c>
      <c r="AK19">
        <f>IF($B19="",0,COUNTIFS('UX + Dev'!$AB$1:$DN$1,"&gt;="&amp;AK$1,'UX + Dev'!$AB$1:$DN$1,"&lt;="&amp;EOMONTH(AK$1,0),'UX + Dev'!$AB19:$DN19,"&lt;&gt;"))</f>
      </c>
      <c r="AL19">
        <f>IF($B19="",0,COUNTIFS('UX + Dev'!$AB$1:$DN$1,"&gt;="&amp;AL$1,'UX + Dev'!$AB$1:$DN$1,"&lt;="&amp;EOMONTH(AL$1,0),'UX + Dev'!$AB19:$DN19,"&lt;&gt;"))</f>
      </c>
      <c r="AM19">
        <f>IF($B19="",0,COUNTIFS('UX + Dev'!$AB$1:$DN$1,"&gt;="&amp;AM$1,'UX + Dev'!$AB$1:$DN$1,"&lt;="&amp;EOMONTH(AM$1,0),'UX + Dev'!$AB19:$DN19,"&lt;&gt;"))</f>
      </c>
      <c r="AN19">
        <f>IF($B19="",0,COUNTIFS('UX + Dev'!$AB$1:$DN$1,"&gt;="&amp;AN$1,'UX + Dev'!$AB$1:$DN$1,"&lt;="&amp;EOMONTH(AN$1,0),'UX + Dev'!$AB19:$DN19,"&lt;&gt;"))</f>
      </c>
      <c r="AO19">
        <f>IF($B19="",0,COUNTIFS('UX + Dev'!$AB$1:$DN$1,"&gt;="&amp;AO$1,'UX + Dev'!$AB$1:$DN$1,"&lt;="&amp;EOMONTH(AO$1,0),'UX + Dev'!$AB19:$DN19,"&lt;&gt;"))</f>
      </c>
      <c r="AP19">
        <f>IF($B19="",0,COUNTIFS('UX + Dev'!$AB$1:$DN$1,"&gt;="&amp;AP$1,'UX + Dev'!$AB$1:$DN$1,"&lt;="&amp;EOMONTH(AP$1,0),'UX + Dev'!$AB19:$DN19,"&lt;&gt;"))</f>
      </c>
      <c r="AQ19">
        <f>IF($B19="",0,COUNTIFS('UX + Dev'!$AB$1:$DN$1,"&gt;="&amp;AQ$1,'UX + Dev'!$AB$1:$DN$1,"&lt;="&amp;EOMONTH(AQ$1,0),'UX + Dev'!$AB19:$DN19,"&lt;&gt;"))</f>
      </c>
      <c r="AR19">
        <f>IF($B19="",0,COUNTIFS('UX + Dev'!$AB$1:$DN$1,"&gt;="&amp;AR$1,'UX + Dev'!$AB$1:$DN$1,"&lt;="&amp;EOMONTH(AR$1,0),'UX + Dev'!$AB19:$DN19,"&lt;&gt;"))</f>
      </c>
      <c r="AS19">
        <f>IF($B19="",0,COUNTIFS('UX + Dev'!$AB$1:$DN$1,"&gt;="&amp;AS$1,'UX + Dev'!$AB$1:$DN$1,"&lt;="&amp;EOMONTH(AS$1,0),'UX + Dev'!$AB19:$DN19,"&lt;&gt;"))</f>
      </c>
      <c r="AT19">
        <f>IF($B19="",0,COUNTIFS('UX + Dev'!$AB$1:$DN$1,"&gt;="&amp;AT$1,'UX + Dev'!$AB$1:$DN$1,"&lt;="&amp;EOMONTH(AT$1,0),'UX + Dev'!$AB19:$DN19,"&lt;&gt;"))</f>
      </c>
      <c r="AU19">
        <f>IF($B19="",0,COUNTIFS('UX + Dev'!$AB$1:$DN$1,"&gt;="&amp;AU$1,'UX + Dev'!$AB$1:$DN$1,"&lt;="&amp;EOMONTH(AU$1,0),'UX + Dev'!$AB19:$DN19,"&lt;&gt;"))</f>
      </c>
      <c r="AV19">
        <f>IF($B19="",0,COUNTIFS('UX + Dev'!$AB$1:$DN$1,"&gt;="&amp;AV$1,'UX + Dev'!$AB$1:$DN$1,"&lt;="&amp;EOMONTH(AV$1,0),'UX + Dev'!$AB19:$DN19,"&lt;&gt;"))</f>
      </c>
      <c r="AW19">
        <f>IF($B19="",0,COUNTIFS('UX + Dev'!$AB$1:$DN$1,"&gt;="&amp;AW$1,'UX + Dev'!$AB$1:$DN$1,"&lt;="&amp;EOMONTH(AW$1,0),'UX + Dev'!$AB19:$DN19,"&lt;&gt;"))</f>
      </c>
      <c r="AX19">
        <f>IF($B19="",0,COUNTIFS('UX + Dev'!$AB$1:$DN$1,"&gt;="&amp;AX$1,'UX + Dev'!$AB$1:$DN$1,"&lt;="&amp;EOMONTH(AX$1,0),'UX + Dev'!$AB19:$DN19,"&lt;&gt;"))</f>
      </c>
      <c r="BB19" s="308">
        <f>IF($B19="","",IF(COUNTA('UX + Dev'!U19)&gt;0,DATE(YEAR('UX + Dev'!U19),MONTH('UX + Dev'!U19),1),IF(COUNTA('UX + Dev'!V19)&gt;0,DATE(YEAR('UX + Dev'!V19),MONTH('UX + Dev'!V19),1),"")))</f>
      </c>
      <c r="BC19" s="308">
        <f>IF($B19="","",IF(COUNTA('UX + Dev'!V19)&gt;0,EOMONTH('UX + Dev'!V19,0),IF(COUNTA('UX + Dev'!U19)&gt;0,EOMONTH('UX + Dev'!U19,0),"")))</f>
      </c>
    </row>
    <row r="20">
      <c r="A20" s="305" t="n">
        <v>20</v>
      </c>
      <c r="B20" s="305">
        <f>IF(TRIM('UX + Dev'!E20)="","",TRIM('UX + Dev'!E20))</f>
      </c>
      <c r="C20" s="305">
        <f>IF($B20="","",'UX + Dev'!B20)</f>
      </c>
      <c r="D20" s="305">
        <f>IF($B20="","",IF(TRIM('UX + Dev'!C20)="","(No theme assigned)",TRIM('UX + Dev'!C20)))</f>
      </c>
      <c r="E20" s="305">
        <f>IF($B20="","",TRIM('UX + Dev'!F20))</f>
      </c>
      <c r="F20" s="305">
        <f>IF($B20="","",'UX + Dev'!G20)</f>
      </c>
      <c r="G20" s="306">
        <f t="array" ref="G20">IF($B20="","",IF($T20=0,"",IFERROR(MIN(IF('UX + Dev'!$AB20:$DN20&lt;&gt;"",'UX + Dev'!$AB$1:$DN$1)),"")))</f>
      </c>
      <c r="H20" s="306">
        <f t="array" ref="H20">IF($B20="","",IF($T20=0,"",IFERROR(MAX(IF('UX + Dev'!$AB20:$DN20&lt;&gt;"",'UX + Dev'!$AB$1:$DN$1)),"")))</f>
      </c>
      <c r="I20" s="307">
        <f>IF($R20&lt;&gt;"",$R20,IF($S20&lt;&gt;"",$S20,""))</f>
      </c>
      <c r="J20" s="307">
        <f>IF($S20&lt;&gt;"",EOMONTH($S20,0),IF($R20&lt;&gt;"",EOMONTH($R20,0),""))</f>
      </c>
      <c r="K20" s="305">
        <f>IF($B20="","",IF(COUNTA('UX + Dev'!AA20)=0,"",TRIM('UX + Dev'!AA20)))</f>
      </c>
      <c r="L20" s="305">
        <f>IF($B20="","",IFERROR(MATCH($D20,Control!$E$4:$E$30,0),99))</f>
      </c>
      <c r="M20" s="305">
        <f>IF($B20="","",IFERROR(MATCH($F20,Control!$B$4:$B$30,0),99))</f>
      </c>
      <c r="N20" s="305">
        <f>IF($V20&lt;&gt;1,"",IF('Roadmap (Auto)'!$D$3="Status, then Theme",$M20*1000000+$L20*10000+ROW(),IF('Roadmap (Auto)'!$D$3="Dev start (earliest)",IF($I20="",99999999,$I20)*10000+ROW(),IF('Roadmap (Auto)'!$D$3="UX start (earliest)",IF($G20="",99999999,$G20)*10000+ROW(),IF('Roadmap (Auto)'!$D$3="Deliverable A-Z",$W20*10000+ROW(),$L20*1000000+$M20*10000+ROW())))))</f>
      </c>
      <c r="O20" s="305">
        <f>IF($N20="","",COUNTIF($N$2:$N$151,"&lt;"&amp;$N20)+1)</f>
      </c>
      <c r="P20" s="305">
        <f>IF($B20="","",IF(COUNTA('UX + Dev'!X20)=0,"",'UX + Dev'!X20))</f>
      </c>
      <c r="Q20" s="305">
        <f>IF($B20="","",IF(COUNTA('UX + Dev'!Y20)=0,"",'UX + Dev'!Y20))</f>
      </c>
      <c r="R20" s="307">
        <f>IF($P20="","",IF(ISNUMBER($P20),DATE(YEAR($P20),MONTH($P20),1),IFERROR(DATE(IFERROR(VALUE(RIGHT(TRIM($P20),4)),YEAR(TODAY())),(SEARCH(LEFT(TRIM($P20),3),"JanFebMarAprMayJunJulAugSepOctNovDec")+2)/3,1),"")))</f>
      </c>
      <c r="S20" s="307">
        <f>IF($Q20="","",IF(ISNUMBER($Q20),DATE(YEAR($Q20),MONTH($Q20),1),IFERROR(DATE(IFERROR(VALUE(RIGHT(TRIM($Q20),4)),YEAR(TODAY())),(SEARCH(LEFT(TRIM($Q20),3),"JanFebMarAprMayJunJulAugSepOctNovDec")+2)/3,1),"")))</f>
      </c>
      <c r="T20" s="305">
        <f>IF($B20="","",COUNTA('UX + Dev'!$AB20:$DN20))</f>
      </c>
      <c r="U20" s="305">
        <f>IF($B20="","",IFERROR(MATCH($D20,Control!$E$4:$E$30,0)+3,0))</f>
      </c>
      <c r="V20" s="305">
        <f>IF($B20="","",IF(AND(OR('Roadmap (Auto)'!$A$3="",'Roadmap (Auto)'!$A$3="(All)",ISNUMBER(SEARCH('Roadmap (Auto)'!$A$3,$C20&amp;""))),OR('Roadmap (Auto)'!$B$3="",'Roadmap (Auto)'!$B$3="(All)",$D20='Roadmap (Auto)'!$B$3,$X20='Roadmap (Auto)'!$B$3),OR('Roadmap (Auto)'!$C$3="",'Roadmap (Auto)'!$C$3="(All)",$F20='Roadmap (Auto)'!$C$3)),1,0))</f>
      </c>
      <c r="W20" s="305">
        <f>IF($B20="","",COUNTIF($Y$2:$Y$151,"&lt;"&amp;$Y20)+1)</f>
      </c>
      <c r="X20" s="305">
        <f>IF($B20="","",IF(TRIM('UX + Dev'!D20)="","",TRIM('UX + Dev'!D20)))</f>
      </c>
      <c r="Y20" s="305">
        <f>IF($B20="","",SUBSTITUTE(SUBSTITUTE(SUBSTITUTE(SUBSTITUTE(SUBSTITUTE(SUBSTITUTE(SUBSTITUTE(SUBSTITUTE(SUBSTITUTE(SUBSTITUTE(SUBSTITUTE(SUBSTITUTE(SUBSTITUTE(SUBSTITUTE(SUBSTITUTE(SUBSTITUTE(SUBSTITUTE(SUBSTITUTE(SUBSTITUTE(SUBSTITUTE(SUBSTITUTE(SUBSTITUTE(SUBSTITUTE(SUBSTITUTE(SUBSTITUTE(UPPER($B20)," ",""),"-",""),":",""),"/",""),"&amp;",""),"|",""),"'",""),"’",""),"&lt;",""),"&gt;",""),",",""),"$",""),".",""),"(",""),")",""),"*",""),"?",""),"~",""),"_",""),"+",""),"#",""),";",""),"!",""),"%",""),"@",""))</f>
      </c>
      <c r="AA20">
        <f>IF($B20="",0,COUNTIFS('UX + Dev'!$AB$1:$DN$1,"&gt;="&amp;AA$1,'UX + Dev'!$AB$1:$DN$1,"&lt;="&amp;EOMONTH(AA$1,0),'UX + Dev'!$AB20:$DN20,"&lt;&gt;"))</f>
      </c>
      <c r="AB20">
        <f>IF($B20="",0,COUNTIFS('UX + Dev'!$AB$1:$DN$1,"&gt;="&amp;AB$1,'UX + Dev'!$AB$1:$DN$1,"&lt;="&amp;EOMONTH(AB$1,0),'UX + Dev'!$AB20:$DN20,"&lt;&gt;"))</f>
      </c>
      <c r="AC20">
        <f>IF($B20="",0,COUNTIFS('UX + Dev'!$AB$1:$DN$1,"&gt;="&amp;AC$1,'UX + Dev'!$AB$1:$DN$1,"&lt;="&amp;EOMONTH(AC$1,0),'UX + Dev'!$AB20:$DN20,"&lt;&gt;"))</f>
      </c>
      <c r="AD20">
        <f>IF($B20="",0,COUNTIFS('UX + Dev'!$AB$1:$DN$1,"&gt;="&amp;AD$1,'UX + Dev'!$AB$1:$DN$1,"&lt;="&amp;EOMONTH(AD$1,0),'UX + Dev'!$AB20:$DN20,"&lt;&gt;"))</f>
      </c>
      <c r="AE20">
        <f>IF($B20="",0,COUNTIFS('UX + Dev'!$AB$1:$DN$1,"&gt;="&amp;AE$1,'UX + Dev'!$AB$1:$DN$1,"&lt;="&amp;EOMONTH(AE$1,0),'UX + Dev'!$AB20:$DN20,"&lt;&gt;"))</f>
      </c>
      <c r="AF20">
        <f>IF($B20="",0,COUNTIFS('UX + Dev'!$AB$1:$DN$1,"&gt;="&amp;AF$1,'UX + Dev'!$AB$1:$DN$1,"&lt;="&amp;EOMONTH(AF$1,0),'UX + Dev'!$AB20:$DN20,"&lt;&gt;"))</f>
      </c>
      <c r="AG20">
        <f>IF($B20="",0,COUNTIFS('UX + Dev'!$AB$1:$DN$1,"&gt;="&amp;AG$1,'UX + Dev'!$AB$1:$DN$1,"&lt;="&amp;EOMONTH(AG$1,0),'UX + Dev'!$AB20:$DN20,"&lt;&gt;"))</f>
      </c>
      <c r="AH20">
        <f>IF($B20="",0,COUNTIFS('UX + Dev'!$AB$1:$DN$1,"&gt;="&amp;AH$1,'UX + Dev'!$AB$1:$DN$1,"&lt;="&amp;EOMONTH(AH$1,0),'UX + Dev'!$AB20:$DN20,"&lt;&gt;"))</f>
      </c>
      <c r="AI20">
        <f>IF($B20="",0,COUNTIFS('UX + Dev'!$AB$1:$DN$1,"&gt;="&amp;AI$1,'UX + Dev'!$AB$1:$DN$1,"&lt;="&amp;EOMONTH(AI$1,0),'UX + Dev'!$AB20:$DN20,"&lt;&gt;"))</f>
      </c>
      <c r="AJ20">
        <f>IF($B20="",0,COUNTIFS('UX + Dev'!$AB$1:$DN$1,"&gt;="&amp;AJ$1,'UX + Dev'!$AB$1:$DN$1,"&lt;="&amp;EOMONTH(AJ$1,0),'UX + Dev'!$AB20:$DN20,"&lt;&gt;"))</f>
      </c>
      <c r="AK20">
        <f>IF($B20="",0,COUNTIFS('UX + Dev'!$AB$1:$DN$1,"&gt;="&amp;AK$1,'UX + Dev'!$AB$1:$DN$1,"&lt;="&amp;EOMONTH(AK$1,0),'UX + Dev'!$AB20:$DN20,"&lt;&gt;"))</f>
      </c>
      <c r="AL20">
        <f>IF($B20="",0,COUNTIFS('UX + Dev'!$AB$1:$DN$1,"&gt;="&amp;AL$1,'UX + Dev'!$AB$1:$DN$1,"&lt;="&amp;EOMONTH(AL$1,0),'UX + Dev'!$AB20:$DN20,"&lt;&gt;"))</f>
      </c>
      <c r="AM20">
        <f>IF($B20="",0,COUNTIFS('UX + Dev'!$AB$1:$DN$1,"&gt;="&amp;AM$1,'UX + Dev'!$AB$1:$DN$1,"&lt;="&amp;EOMONTH(AM$1,0),'UX + Dev'!$AB20:$DN20,"&lt;&gt;"))</f>
      </c>
      <c r="AN20">
        <f>IF($B20="",0,COUNTIFS('UX + Dev'!$AB$1:$DN$1,"&gt;="&amp;AN$1,'UX + Dev'!$AB$1:$DN$1,"&lt;="&amp;EOMONTH(AN$1,0),'UX + Dev'!$AB20:$DN20,"&lt;&gt;"))</f>
      </c>
      <c r="AO20">
        <f>IF($B20="",0,COUNTIFS('UX + Dev'!$AB$1:$DN$1,"&gt;="&amp;AO$1,'UX + Dev'!$AB$1:$DN$1,"&lt;="&amp;EOMONTH(AO$1,0),'UX + Dev'!$AB20:$DN20,"&lt;&gt;"))</f>
      </c>
      <c r="AP20">
        <f>IF($B20="",0,COUNTIFS('UX + Dev'!$AB$1:$DN$1,"&gt;="&amp;AP$1,'UX + Dev'!$AB$1:$DN$1,"&lt;="&amp;EOMONTH(AP$1,0),'UX + Dev'!$AB20:$DN20,"&lt;&gt;"))</f>
      </c>
      <c r="AQ20">
        <f>IF($B20="",0,COUNTIFS('UX + Dev'!$AB$1:$DN$1,"&gt;="&amp;AQ$1,'UX + Dev'!$AB$1:$DN$1,"&lt;="&amp;EOMONTH(AQ$1,0),'UX + Dev'!$AB20:$DN20,"&lt;&gt;"))</f>
      </c>
      <c r="AR20">
        <f>IF($B20="",0,COUNTIFS('UX + Dev'!$AB$1:$DN$1,"&gt;="&amp;AR$1,'UX + Dev'!$AB$1:$DN$1,"&lt;="&amp;EOMONTH(AR$1,0),'UX + Dev'!$AB20:$DN20,"&lt;&gt;"))</f>
      </c>
      <c r="AS20">
        <f>IF($B20="",0,COUNTIFS('UX + Dev'!$AB$1:$DN$1,"&gt;="&amp;AS$1,'UX + Dev'!$AB$1:$DN$1,"&lt;="&amp;EOMONTH(AS$1,0),'UX + Dev'!$AB20:$DN20,"&lt;&gt;"))</f>
      </c>
      <c r="AT20">
        <f>IF($B20="",0,COUNTIFS('UX + Dev'!$AB$1:$DN$1,"&gt;="&amp;AT$1,'UX + Dev'!$AB$1:$DN$1,"&lt;="&amp;EOMONTH(AT$1,0),'UX + Dev'!$AB20:$DN20,"&lt;&gt;"))</f>
      </c>
      <c r="AU20">
        <f>IF($B20="",0,COUNTIFS('UX + Dev'!$AB$1:$DN$1,"&gt;="&amp;AU$1,'UX + Dev'!$AB$1:$DN$1,"&lt;="&amp;EOMONTH(AU$1,0),'UX + Dev'!$AB20:$DN20,"&lt;&gt;"))</f>
      </c>
      <c r="AV20">
        <f>IF($B20="",0,COUNTIFS('UX + Dev'!$AB$1:$DN$1,"&gt;="&amp;AV$1,'UX + Dev'!$AB$1:$DN$1,"&lt;="&amp;EOMONTH(AV$1,0),'UX + Dev'!$AB20:$DN20,"&lt;&gt;"))</f>
      </c>
      <c r="AW20">
        <f>IF($B20="",0,COUNTIFS('UX + Dev'!$AB$1:$DN$1,"&gt;="&amp;AW$1,'UX + Dev'!$AB$1:$DN$1,"&lt;="&amp;EOMONTH(AW$1,0),'UX + Dev'!$AB20:$DN20,"&lt;&gt;"))</f>
      </c>
      <c r="AX20">
        <f>IF($B20="",0,COUNTIFS('UX + Dev'!$AB$1:$DN$1,"&gt;="&amp;AX$1,'UX + Dev'!$AB$1:$DN$1,"&lt;="&amp;EOMONTH(AX$1,0),'UX + Dev'!$AB20:$DN20,"&lt;&gt;"))</f>
      </c>
      <c r="BB20" s="308">
        <f>IF($B20="","",IF(COUNTA('UX + Dev'!U20)&gt;0,DATE(YEAR('UX + Dev'!U20),MONTH('UX + Dev'!U20),1),IF(COUNTA('UX + Dev'!V20)&gt;0,DATE(YEAR('UX + Dev'!V20),MONTH('UX + Dev'!V20),1),"")))</f>
      </c>
      <c r="BC20" s="308">
        <f>IF($B20="","",IF(COUNTA('UX + Dev'!V20)&gt;0,EOMONTH('UX + Dev'!V20,0),IF(COUNTA('UX + Dev'!U20)&gt;0,EOMONTH('UX + Dev'!U20,0),"")))</f>
      </c>
    </row>
    <row r="21">
      <c r="A21" s="305" t="n">
        <v>21</v>
      </c>
      <c r="B21" s="305">
        <f>IF(TRIM('UX + Dev'!E21)="","",TRIM('UX + Dev'!E21))</f>
      </c>
      <c r="C21" s="305">
        <f>IF($B21="","",'UX + Dev'!B21)</f>
      </c>
      <c r="D21" s="305">
        <f>IF($B21="","",IF(TRIM('UX + Dev'!C21)="","(No theme assigned)",TRIM('UX + Dev'!C21)))</f>
      </c>
      <c r="E21" s="305">
        <f>IF($B21="","",TRIM('UX + Dev'!F21))</f>
      </c>
      <c r="F21" s="305">
        <f>IF($B21="","",'UX + Dev'!G21)</f>
      </c>
      <c r="G21" s="306">
        <f t="array" ref="G21">IF($B21="","",IF($T21=0,"",IFERROR(MIN(IF('UX + Dev'!$AB21:$DN21&lt;&gt;"",'UX + Dev'!$AB$1:$DN$1)),"")))</f>
      </c>
      <c r="H21" s="306">
        <f t="array" ref="H21">IF($B21="","",IF($T21=0,"",IFERROR(MAX(IF('UX + Dev'!$AB21:$DN21&lt;&gt;"",'UX + Dev'!$AB$1:$DN$1)),"")))</f>
      </c>
      <c r="I21" s="307">
        <f>IF($R21&lt;&gt;"",$R21,IF($S21&lt;&gt;"",$S21,""))</f>
      </c>
      <c r="J21" s="307">
        <f>IF($S21&lt;&gt;"",EOMONTH($S21,0),IF($R21&lt;&gt;"",EOMONTH($R21,0),""))</f>
      </c>
      <c r="K21" s="305">
        <f>IF($B21="","",IF(COUNTA('UX + Dev'!AA21)=0,"",TRIM('UX + Dev'!AA21)))</f>
      </c>
      <c r="L21" s="305">
        <f>IF($B21="","",IFERROR(MATCH($D21,Control!$E$4:$E$30,0),99))</f>
      </c>
      <c r="M21" s="305">
        <f>IF($B21="","",IFERROR(MATCH($F21,Control!$B$4:$B$30,0),99))</f>
      </c>
      <c r="N21" s="305">
        <f>IF($V21&lt;&gt;1,"",IF('Roadmap (Auto)'!$D$3="Status, then Theme",$M21*1000000+$L21*10000+ROW(),IF('Roadmap (Auto)'!$D$3="Dev start (earliest)",IF($I21="",99999999,$I21)*10000+ROW(),IF('Roadmap (Auto)'!$D$3="UX start (earliest)",IF($G21="",99999999,$G21)*10000+ROW(),IF('Roadmap (Auto)'!$D$3="Deliverable A-Z",$W21*10000+ROW(),$L21*1000000+$M21*10000+ROW())))))</f>
      </c>
      <c r="O21" s="305">
        <f>IF($N21="","",COUNTIF($N$2:$N$151,"&lt;"&amp;$N21)+1)</f>
      </c>
      <c r="P21" s="305">
        <f>IF($B21="","",IF(COUNTA('UX + Dev'!X21)=0,"",'UX + Dev'!X21))</f>
      </c>
      <c r="Q21" s="305">
        <f>IF($B21="","",IF(COUNTA('UX + Dev'!Y21)=0,"",'UX + Dev'!Y21))</f>
      </c>
      <c r="R21" s="307">
        <f>IF($P21="","",IF(ISNUMBER($P21),DATE(YEAR($P21),MONTH($P21),1),IFERROR(DATE(IFERROR(VALUE(RIGHT(TRIM($P21),4)),YEAR(TODAY())),(SEARCH(LEFT(TRIM($P21),3),"JanFebMarAprMayJunJulAugSepOctNovDec")+2)/3,1),"")))</f>
      </c>
      <c r="S21" s="307">
        <f>IF($Q21="","",IF(ISNUMBER($Q21),DATE(YEAR($Q21),MONTH($Q21),1),IFERROR(DATE(IFERROR(VALUE(RIGHT(TRIM($Q21),4)),YEAR(TODAY())),(SEARCH(LEFT(TRIM($Q21),3),"JanFebMarAprMayJunJulAugSepOctNovDec")+2)/3,1),"")))</f>
      </c>
      <c r="T21" s="305">
        <f>IF($B21="","",COUNTA('UX + Dev'!$AB21:$DN21))</f>
      </c>
      <c r="U21" s="305">
        <f>IF($B21="","",IFERROR(MATCH($D21,Control!$E$4:$E$30,0)+3,0))</f>
      </c>
      <c r="V21" s="305">
        <f>IF($B21="","",IF(AND(OR('Roadmap (Auto)'!$A$3="",'Roadmap (Auto)'!$A$3="(All)",ISNUMBER(SEARCH('Roadmap (Auto)'!$A$3,$C21&amp;""))),OR('Roadmap (Auto)'!$B$3="",'Roadmap (Auto)'!$B$3="(All)",$D21='Roadmap (Auto)'!$B$3,$X21='Roadmap (Auto)'!$B$3),OR('Roadmap (Auto)'!$C$3="",'Roadmap (Auto)'!$C$3="(All)",$F21='Roadmap (Auto)'!$C$3)),1,0))</f>
      </c>
      <c r="W21" s="305">
        <f>IF($B21="","",COUNTIF($Y$2:$Y$151,"&lt;"&amp;$Y21)+1)</f>
      </c>
      <c r="X21" s="305">
        <f>IF($B21="","",IF(TRIM('UX + Dev'!D21)="","",TRIM('UX + Dev'!D21)))</f>
      </c>
      <c r="Y21" s="305">
        <f>IF($B21="","",SUBSTITUTE(SUBSTITUTE(SUBSTITUTE(SUBSTITUTE(SUBSTITUTE(SUBSTITUTE(SUBSTITUTE(SUBSTITUTE(SUBSTITUTE(SUBSTITUTE(SUBSTITUTE(SUBSTITUTE(SUBSTITUTE(SUBSTITUTE(SUBSTITUTE(SUBSTITUTE(SUBSTITUTE(SUBSTITUTE(SUBSTITUTE(SUBSTITUTE(SUBSTITUTE(SUBSTITUTE(SUBSTITUTE(SUBSTITUTE(SUBSTITUTE(UPPER($B21)," ",""),"-",""),":",""),"/",""),"&amp;",""),"|",""),"'",""),"’",""),"&lt;",""),"&gt;",""),",",""),"$",""),".",""),"(",""),")",""),"*",""),"?",""),"~",""),"_",""),"+",""),"#",""),";",""),"!",""),"%",""),"@",""))</f>
      </c>
      <c r="AA21">
        <f>IF($B21="",0,COUNTIFS('UX + Dev'!$AB$1:$DN$1,"&gt;="&amp;AA$1,'UX + Dev'!$AB$1:$DN$1,"&lt;="&amp;EOMONTH(AA$1,0),'UX + Dev'!$AB21:$DN21,"&lt;&gt;"))</f>
      </c>
      <c r="AB21">
        <f>IF($B21="",0,COUNTIFS('UX + Dev'!$AB$1:$DN$1,"&gt;="&amp;AB$1,'UX + Dev'!$AB$1:$DN$1,"&lt;="&amp;EOMONTH(AB$1,0),'UX + Dev'!$AB21:$DN21,"&lt;&gt;"))</f>
      </c>
      <c r="AC21">
        <f>IF($B21="",0,COUNTIFS('UX + Dev'!$AB$1:$DN$1,"&gt;="&amp;AC$1,'UX + Dev'!$AB$1:$DN$1,"&lt;="&amp;EOMONTH(AC$1,0),'UX + Dev'!$AB21:$DN21,"&lt;&gt;"))</f>
      </c>
      <c r="AD21">
        <f>IF($B21="",0,COUNTIFS('UX + Dev'!$AB$1:$DN$1,"&gt;="&amp;AD$1,'UX + Dev'!$AB$1:$DN$1,"&lt;="&amp;EOMONTH(AD$1,0),'UX + Dev'!$AB21:$DN21,"&lt;&gt;"))</f>
      </c>
      <c r="AE21">
        <f>IF($B21="",0,COUNTIFS('UX + Dev'!$AB$1:$DN$1,"&gt;="&amp;AE$1,'UX + Dev'!$AB$1:$DN$1,"&lt;="&amp;EOMONTH(AE$1,0),'UX + Dev'!$AB21:$DN21,"&lt;&gt;"))</f>
      </c>
      <c r="AF21">
        <f>IF($B21="",0,COUNTIFS('UX + Dev'!$AB$1:$DN$1,"&gt;="&amp;AF$1,'UX + Dev'!$AB$1:$DN$1,"&lt;="&amp;EOMONTH(AF$1,0),'UX + Dev'!$AB21:$DN21,"&lt;&gt;"))</f>
      </c>
      <c r="AG21">
        <f>IF($B21="",0,COUNTIFS('UX + Dev'!$AB$1:$DN$1,"&gt;="&amp;AG$1,'UX + Dev'!$AB$1:$DN$1,"&lt;="&amp;EOMONTH(AG$1,0),'UX + Dev'!$AB21:$DN21,"&lt;&gt;"))</f>
      </c>
      <c r="AH21">
        <f>IF($B21="",0,COUNTIFS('UX + Dev'!$AB$1:$DN$1,"&gt;="&amp;AH$1,'UX + Dev'!$AB$1:$DN$1,"&lt;="&amp;EOMONTH(AH$1,0),'UX + Dev'!$AB21:$DN21,"&lt;&gt;"))</f>
      </c>
      <c r="AI21">
        <f>IF($B21="",0,COUNTIFS('UX + Dev'!$AB$1:$DN$1,"&gt;="&amp;AI$1,'UX + Dev'!$AB$1:$DN$1,"&lt;="&amp;EOMONTH(AI$1,0),'UX + Dev'!$AB21:$DN21,"&lt;&gt;"))</f>
      </c>
      <c r="AJ21">
        <f>IF($B21="",0,COUNTIFS('UX + Dev'!$AB$1:$DN$1,"&gt;="&amp;AJ$1,'UX + Dev'!$AB$1:$DN$1,"&lt;="&amp;EOMONTH(AJ$1,0),'UX + Dev'!$AB21:$DN21,"&lt;&gt;"))</f>
      </c>
      <c r="AK21">
        <f>IF($B21="",0,COUNTIFS('UX + Dev'!$AB$1:$DN$1,"&gt;="&amp;AK$1,'UX + Dev'!$AB$1:$DN$1,"&lt;="&amp;EOMONTH(AK$1,0),'UX + Dev'!$AB21:$DN21,"&lt;&gt;"))</f>
      </c>
      <c r="AL21">
        <f>IF($B21="",0,COUNTIFS('UX + Dev'!$AB$1:$DN$1,"&gt;="&amp;AL$1,'UX + Dev'!$AB$1:$DN$1,"&lt;="&amp;EOMONTH(AL$1,0),'UX + Dev'!$AB21:$DN21,"&lt;&gt;"))</f>
      </c>
      <c r="AM21">
        <f>IF($B21="",0,COUNTIFS('UX + Dev'!$AB$1:$DN$1,"&gt;="&amp;AM$1,'UX + Dev'!$AB$1:$DN$1,"&lt;="&amp;EOMONTH(AM$1,0),'UX + Dev'!$AB21:$DN21,"&lt;&gt;"))</f>
      </c>
      <c r="AN21">
        <f>IF($B21="",0,COUNTIFS('UX + Dev'!$AB$1:$DN$1,"&gt;="&amp;AN$1,'UX + Dev'!$AB$1:$DN$1,"&lt;="&amp;EOMONTH(AN$1,0),'UX + Dev'!$AB21:$DN21,"&lt;&gt;"))</f>
      </c>
      <c r="AO21">
        <f>IF($B21="",0,COUNTIFS('UX + Dev'!$AB$1:$DN$1,"&gt;="&amp;AO$1,'UX + Dev'!$AB$1:$DN$1,"&lt;="&amp;EOMONTH(AO$1,0),'UX + Dev'!$AB21:$DN21,"&lt;&gt;"))</f>
      </c>
      <c r="AP21">
        <f>IF($B21="",0,COUNTIFS('UX + Dev'!$AB$1:$DN$1,"&gt;="&amp;AP$1,'UX + Dev'!$AB$1:$DN$1,"&lt;="&amp;EOMONTH(AP$1,0),'UX + Dev'!$AB21:$DN21,"&lt;&gt;"))</f>
      </c>
      <c r="AQ21">
        <f>IF($B21="",0,COUNTIFS('UX + Dev'!$AB$1:$DN$1,"&gt;="&amp;AQ$1,'UX + Dev'!$AB$1:$DN$1,"&lt;="&amp;EOMONTH(AQ$1,0),'UX + Dev'!$AB21:$DN21,"&lt;&gt;"))</f>
      </c>
      <c r="AR21">
        <f>IF($B21="",0,COUNTIFS('UX + Dev'!$AB$1:$DN$1,"&gt;="&amp;AR$1,'UX + Dev'!$AB$1:$DN$1,"&lt;="&amp;EOMONTH(AR$1,0),'UX + Dev'!$AB21:$DN21,"&lt;&gt;"))</f>
      </c>
      <c r="AS21">
        <f>IF($B21="",0,COUNTIFS('UX + Dev'!$AB$1:$DN$1,"&gt;="&amp;AS$1,'UX + Dev'!$AB$1:$DN$1,"&lt;="&amp;EOMONTH(AS$1,0),'UX + Dev'!$AB21:$DN21,"&lt;&gt;"))</f>
      </c>
      <c r="AT21">
        <f>IF($B21="",0,COUNTIFS('UX + Dev'!$AB$1:$DN$1,"&gt;="&amp;AT$1,'UX + Dev'!$AB$1:$DN$1,"&lt;="&amp;EOMONTH(AT$1,0),'UX + Dev'!$AB21:$DN21,"&lt;&gt;"))</f>
      </c>
      <c r="AU21">
        <f>IF($B21="",0,COUNTIFS('UX + Dev'!$AB$1:$DN$1,"&gt;="&amp;AU$1,'UX + Dev'!$AB$1:$DN$1,"&lt;="&amp;EOMONTH(AU$1,0),'UX + Dev'!$AB21:$DN21,"&lt;&gt;"))</f>
      </c>
      <c r="AV21">
        <f>IF($B21="",0,COUNTIFS('UX + Dev'!$AB$1:$DN$1,"&gt;="&amp;AV$1,'UX + Dev'!$AB$1:$DN$1,"&lt;="&amp;EOMONTH(AV$1,0),'UX + Dev'!$AB21:$DN21,"&lt;&gt;"))</f>
      </c>
      <c r="AW21">
        <f>IF($B21="",0,COUNTIFS('UX + Dev'!$AB$1:$DN$1,"&gt;="&amp;AW$1,'UX + Dev'!$AB$1:$DN$1,"&lt;="&amp;EOMONTH(AW$1,0),'UX + Dev'!$AB21:$DN21,"&lt;&gt;"))</f>
      </c>
      <c r="AX21">
        <f>IF($B21="",0,COUNTIFS('UX + Dev'!$AB$1:$DN$1,"&gt;="&amp;AX$1,'UX + Dev'!$AB$1:$DN$1,"&lt;="&amp;EOMONTH(AX$1,0),'UX + Dev'!$AB21:$DN21,"&lt;&gt;"))</f>
      </c>
      <c r="BB21" s="308">
        <f>IF($B21="","",IF(COUNTA('UX + Dev'!U21)&gt;0,DATE(YEAR('UX + Dev'!U21),MONTH('UX + Dev'!U21),1),IF(COUNTA('UX + Dev'!V21)&gt;0,DATE(YEAR('UX + Dev'!V21),MONTH('UX + Dev'!V21),1),"")))</f>
      </c>
      <c r="BC21" s="308">
        <f>IF($B21="","",IF(COUNTA('UX + Dev'!V21)&gt;0,EOMONTH('UX + Dev'!V21,0),IF(COUNTA('UX + Dev'!U21)&gt;0,EOMONTH('UX + Dev'!U21,0),"")))</f>
      </c>
    </row>
    <row r="22">
      <c r="A22" s="305" t="n">
        <v>22</v>
      </c>
      <c r="B22" s="305">
        <f>IF(TRIM('UX + Dev'!E22)="","",TRIM('UX + Dev'!E22))</f>
      </c>
      <c r="C22" s="305">
        <f>IF($B22="","",'UX + Dev'!B22)</f>
      </c>
      <c r="D22" s="305">
        <f>IF($B22="","",IF(TRIM('UX + Dev'!C22)="","(No theme assigned)",TRIM('UX + Dev'!C22)))</f>
      </c>
      <c r="E22" s="305">
        <f>IF($B22="","",TRIM('UX + Dev'!F22))</f>
      </c>
      <c r="F22" s="305">
        <f>IF($B22="","",'UX + Dev'!G22)</f>
      </c>
      <c r="G22" s="306">
        <f t="array" ref="G22">IF($B22="","",IF($T22=0,"",IFERROR(MIN(IF('UX + Dev'!$AB22:$DN22&lt;&gt;"",'UX + Dev'!$AB$1:$DN$1)),"")))</f>
      </c>
      <c r="H22" s="306">
        <f t="array" ref="H22">IF($B22="","",IF($T22=0,"",IFERROR(MAX(IF('UX + Dev'!$AB22:$DN22&lt;&gt;"",'UX + Dev'!$AB$1:$DN$1)),"")))</f>
      </c>
      <c r="I22" s="307">
        <f>IF($R22&lt;&gt;"",$R22,IF($S22&lt;&gt;"",$S22,""))</f>
      </c>
      <c r="J22" s="307">
        <f>IF($S22&lt;&gt;"",EOMONTH($S22,0),IF($R22&lt;&gt;"",EOMONTH($R22,0),""))</f>
      </c>
      <c r="K22" s="305">
        <f>IF($B22="","",IF(COUNTA('UX + Dev'!AA22)=0,"",TRIM('UX + Dev'!AA22)))</f>
      </c>
      <c r="L22" s="305">
        <f>IF($B22="","",IFERROR(MATCH($D22,Control!$E$4:$E$30,0),99))</f>
      </c>
      <c r="M22" s="305">
        <f>IF($B22="","",IFERROR(MATCH($F22,Control!$B$4:$B$30,0),99))</f>
      </c>
      <c r="N22" s="305">
        <f>IF($V22&lt;&gt;1,"",IF('Roadmap (Auto)'!$D$3="Status, then Theme",$M22*1000000+$L22*10000+ROW(),IF('Roadmap (Auto)'!$D$3="Dev start (earliest)",IF($I22="",99999999,$I22)*10000+ROW(),IF('Roadmap (Auto)'!$D$3="UX start (earliest)",IF($G22="",99999999,$G22)*10000+ROW(),IF('Roadmap (Auto)'!$D$3="Deliverable A-Z",$W22*10000+ROW(),$L22*1000000+$M22*10000+ROW())))))</f>
      </c>
      <c r="O22" s="305">
        <f>IF($N22="","",COUNTIF($N$2:$N$151,"&lt;"&amp;$N22)+1)</f>
      </c>
      <c r="P22" s="305">
        <f>IF($B22="","",IF(COUNTA('UX + Dev'!X22)=0,"",'UX + Dev'!X22))</f>
      </c>
      <c r="Q22" s="305">
        <f>IF($B22="","",IF(COUNTA('UX + Dev'!Y22)=0,"",'UX + Dev'!Y22))</f>
      </c>
      <c r="R22" s="307">
        <f>IF($P22="","",IF(ISNUMBER($P22),DATE(YEAR($P22),MONTH($P22),1),IFERROR(DATE(IFERROR(VALUE(RIGHT(TRIM($P22),4)),YEAR(TODAY())),(SEARCH(LEFT(TRIM($P22),3),"JanFebMarAprMayJunJulAugSepOctNovDec")+2)/3,1),"")))</f>
      </c>
      <c r="S22" s="307">
        <f>IF($Q22="","",IF(ISNUMBER($Q22),DATE(YEAR($Q22),MONTH($Q22),1),IFERROR(DATE(IFERROR(VALUE(RIGHT(TRIM($Q22),4)),YEAR(TODAY())),(SEARCH(LEFT(TRIM($Q22),3),"JanFebMarAprMayJunJulAugSepOctNovDec")+2)/3,1),"")))</f>
      </c>
      <c r="T22" s="305">
        <f>IF($B22="","",COUNTA('UX + Dev'!$AB22:$DN22))</f>
      </c>
      <c r="U22" s="305">
        <f>IF($B22="","",IFERROR(MATCH($D22,Control!$E$4:$E$30,0)+3,0))</f>
      </c>
      <c r="V22" s="305">
        <f>IF($B22="","",IF(AND(OR('Roadmap (Auto)'!$A$3="",'Roadmap (Auto)'!$A$3="(All)",ISNUMBER(SEARCH('Roadmap (Auto)'!$A$3,$C22&amp;""))),OR('Roadmap (Auto)'!$B$3="",'Roadmap (Auto)'!$B$3="(All)",$D22='Roadmap (Auto)'!$B$3,$X22='Roadmap (Auto)'!$B$3),OR('Roadmap (Auto)'!$C$3="",'Roadmap (Auto)'!$C$3="(All)",$F22='Roadmap (Auto)'!$C$3)),1,0))</f>
      </c>
      <c r="W22" s="305">
        <f>IF($B22="","",COUNTIF($Y$2:$Y$151,"&lt;"&amp;$Y22)+1)</f>
      </c>
      <c r="X22" s="305">
        <f>IF($B22="","",IF(TRIM('UX + Dev'!D22)="","",TRIM('UX + Dev'!D22)))</f>
      </c>
      <c r="Y22" s="305">
        <f>IF($B22="","",SUBSTITUTE(SUBSTITUTE(SUBSTITUTE(SUBSTITUTE(SUBSTITUTE(SUBSTITUTE(SUBSTITUTE(SUBSTITUTE(SUBSTITUTE(SUBSTITUTE(SUBSTITUTE(SUBSTITUTE(SUBSTITUTE(SUBSTITUTE(SUBSTITUTE(SUBSTITUTE(SUBSTITUTE(SUBSTITUTE(SUBSTITUTE(SUBSTITUTE(SUBSTITUTE(SUBSTITUTE(SUBSTITUTE(SUBSTITUTE(SUBSTITUTE(UPPER($B22)," ",""),"-",""),":",""),"/",""),"&amp;",""),"|",""),"'",""),"’",""),"&lt;",""),"&gt;",""),",",""),"$",""),".",""),"(",""),")",""),"*",""),"?",""),"~",""),"_",""),"+",""),"#",""),";",""),"!",""),"%",""),"@",""))</f>
      </c>
      <c r="AA22">
        <f>IF($B22="",0,COUNTIFS('UX + Dev'!$AB$1:$DN$1,"&gt;="&amp;AA$1,'UX + Dev'!$AB$1:$DN$1,"&lt;="&amp;EOMONTH(AA$1,0),'UX + Dev'!$AB22:$DN22,"&lt;&gt;"))</f>
      </c>
      <c r="AB22">
        <f>IF($B22="",0,COUNTIFS('UX + Dev'!$AB$1:$DN$1,"&gt;="&amp;AB$1,'UX + Dev'!$AB$1:$DN$1,"&lt;="&amp;EOMONTH(AB$1,0),'UX + Dev'!$AB22:$DN22,"&lt;&gt;"))</f>
      </c>
      <c r="AC22">
        <f>IF($B22="",0,COUNTIFS('UX + Dev'!$AB$1:$DN$1,"&gt;="&amp;AC$1,'UX + Dev'!$AB$1:$DN$1,"&lt;="&amp;EOMONTH(AC$1,0),'UX + Dev'!$AB22:$DN22,"&lt;&gt;"))</f>
      </c>
      <c r="AD22">
        <f>IF($B22="",0,COUNTIFS('UX + Dev'!$AB$1:$DN$1,"&gt;="&amp;AD$1,'UX + Dev'!$AB$1:$DN$1,"&lt;="&amp;EOMONTH(AD$1,0),'UX + Dev'!$AB22:$DN22,"&lt;&gt;"))</f>
      </c>
      <c r="AE22">
        <f>IF($B22="",0,COUNTIFS('UX + Dev'!$AB$1:$DN$1,"&gt;="&amp;AE$1,'UX + Dev'!$AB$1:$DN$1,"&lt;="&amp;EOMONTH(AE$1,0),'UX + Dev'!$AB22:$DN22,"&lt;&gt;"))</f>
      </c>
      <c r="AF22">
        <f>IF($B22="",0,COUNTIFS('UX + Dev'!$AB$1:$DN$1,"&gt;="&amp;AF$1,'UX + Dev'!$AB$1:$DN$1,"&lt;="&amp;EOMONTH(AF$1,0),'UX + Dev'!$AB22:$DN22,"&lt;&gt;"))</f>
      </c>
      <c r="AG22">
        <f>IF($B22="",0,COUNTIFS('UX + Dev'!$AB$1:$DN$1,"&gt;="&amp;AG$1,'UX + Dev'!$AB$1:$DN$1,"&lt;="&amp;EOMONTH(AG$1,0),'UX + Dev'!$AB22:$DN22,"&lt;&gt;"))</f>
      </c>
      <c r="AH22">
        <f>IF($B22="",0,COUNTIFS('UX + Dev'!$AB$1:$DN$1,"&gt;="&amp;AH$1,'UX + Dev'!$AB$1:$DN$1,"&lt;="&amp;EOMONTH(AH$1,0),'UX + Dev'!$AB22:$DN22,"&lt;&gt;"))</f>
      </c>
      <c r="AI22">
        <f>IF($B22="",0,COUNTIFS('UX + Dev'!$AB$1:$DN$1,"&gt;="&amp;AI$1,'UX + Dev'!$AB$1:$DN$1,"&lt;="&amp;EOMONTH(AI$1,0),'UX + Dev'!$AB22:$DN22,"&lt;&gt;"))</f>
      </c>
      <c r="AJ22">
        <f>IF($B22="",0,COUNTIFS('UX + Dev'!$AB$1:$DN$1,"&gt;="&amp;AJ$1,'UX + Dev'!$AB$1:$DN$1,"&lt;="&amp;EOMONTH(AJ$1,0),'UX + Dev'!$AB22:$DN22,"&lt;&gt;"))</f>
      </c>
      <c r="AK22">
        <f>IF($B22="",0,COUNTIFS('UX + Dev'!$AB$1:$DN$1,"&gt;="&amp;AK$1,'UX + Dev'!$AB$1:$DN$1,"&lt;="&amp;EOMONTH(AK$1,0),'UX + Dev'!$AB22:$DN22,"&lt;&gt;"))</f>
      </c>
      <c r="AL22">
        <f>IF($B22="",0,COUNTIFS('UX + Dev'!$AB$1:$DN$1,"&gt;="&amp;AL$1,'UX + Dev'!$AB$1:$DN$1,"&lt;="&amp;EOMONTH(AL$1,0),'UX + Dev'!$AB22:$DN22,"&lt;&gt;"))</f>
      </c>
      <c r="AM22">
        <f>IF($B22="",0,COUNTIFS('UX + Dev'!$AB$1:$DN$1,"&gt;="&amp;AM$1,'UX + Dev'!$AB$1:$DN$1,"&lt;="&amp;EOMONTH(AM$1,0),'UX + Dev'!$AB22:$DN22,"&lt;&gt;"))</f>
      </c>
      <c r="AN22">
        <f>IF($B22="",0,COUNTIFS('UX + Dev'!$AB$1:$DN$1,"&gt;="&amp;AN$1,'UX + Dev'!$AB$1:$DN$1,"&lt;="&amp;EOMONTH(AN$1,0),'UX + Dev'!$AB22:$DN22,"&lt;&gt;"))</f>
      </c>
      <c r="AO22">
        <f>IF($B22="",0,COUNTIFS('UX + Dev'!$AB$1:$DN$1,"&gt;="&amp;AO$1,'UX + Dev'!$AB$1:$DN$1,"&lt;="&amp;EOMONTH(AO$1,0),'UX + Dev'!$AB22:$DN22,"&lt;&gt;"))</f>
      </c>
      <c r="AP22">
        <f>IF($B22="",0,COUNTIFS('UX + Dev'!$AB$1:$DN$1,"&gt;="&amp;AP$1,'UX + Dev'!$AB$1:$DN$1,"&lt;="&amp;EOMONTH(AP$1,0),'UX + Dev'!$AB22:$DN22,"&lt;&gt;"))</f>
      </c>
      <c r="AQ22">
        <f>IF($B22="",0,COUNTIFS('UX + Dev'!$AB$1:$DN$1,"&gt;="&amp;AQ$1,'UX + Dev'!$AB$1:$DN$1,"&lt;="&amp;EOMONTH(AQ$1,0),'UX + Dev'!$AB22:$DN22,"&lt;&gt;"))</f>
      </c>
      <c r="AR22">
        <f>IF($B22="",0,COUNTIFS('UX + Dev'!$AB$1:$DN$1,"&gt;="&amp;AR$1,'UX + Dev'!$AB$1:$DN$1,"&lt;="&amp;EOMONTH(AR$1,0),'UX + Dev'!$AB22:$DN22,"&lt;&gt;"))</f>
      </c>
      <c r="AS22">
        <f>IF($B22="",0,COUNTIFS('UX + Dev'!$AB$1:$DN$1,"&gt;="&amp;AS$1,'UX + Dev'!$AB$1:$DN$1,"&lt;="&amp;EOMONTH(AS$1,0),'UX + Dev'!$AB22:$DN22,"&lt;&gt;"))</f>
      </c>
      <c r="AT22">
        <f>IF($B22="",0,COUNTIFS('UX + Dev'!$AB$1:$DN$1,"&gt;="&amp;AT$1,'UX + Dev'!$AB$1:$DN$1,"&lt;="&amp;EOMONTH(AT$1,0),'UX + Dev'!$AB22:$DN22,"&lt;&gt;"))</f>
      </c>
      <c r="AU22">
        <f>IF($B22="",0,COUNTIFS('UX + Dev'!$AB$1:$DN$1,"&gt;="&amp;AU$1,'UX + Dev'!$AB$1:$DN$1,"&lt;="&amp;EOMONTH(AU$1,0),'UX + Dev'!$AB22:$DN22,"&lt;&gt;"))</f>
      </c>
      <c r="AV22">
        <f>IF($B22="",0,COUNTIFS('UX + Dev'!$AB$1:$DN$1,"&gt;="&amp;AV$1,'UX + Dev'!$AB$1:$DN$1,"&lt;="&amp;EOMONTH(AV$1,0),'UX + Dev'!$AB22:$DN22,"&lt;&gt;"))</f>
      </c>
      <c r="AW22">
        <f>IF($B22="",0,COUNTIFS('UX + Dev'!$AB$1:$DN$1,"&gt;="&amp;AW$1,'UX + Dev'!$AB$1:$DN$1,"&lt;="&amp;EOMONTH(AW$1,0),'UX + Dev'!$AB22:$DN22,"&lt;&gt;"))</f>
      </c>
      <c r="AX22">
        <f>IF($B22="",0,COUNTIFS('UX + Dev'!$AB$1:$DN$1,"&gt;="&amp;AX$1,'UX + Dev'!$AB$1:$DN$1,"&lt;="&amp;EOMONTH(AX$1,0),'UX + Dev'!$AB22:$DN22,"&lt;&gt;"))</f>
      </c>
      <c r="BB22" s="308">
        <f>IF($B22="","",IF(COUNTA('UX + Dev'!U22)&gt;0,DATE(YEAR('UX + Dev'!U22),MONTH('UX + Dev'!U22),1),IF(COUNTA('UX + Dev'!V22)&gt;0,DATE(YEAR('UX + Dev'!V22),MONTH('UX + Dev'!V22),1),"")))</f>
      </c>
      <c r="BC22" s="308">
        <f>IF($B22="","",IF(COUNTA('UX + Dev'!V22)&gt;0,EOMONTH('UX + Dev'!V22,0),IF(COUNTA('UX + Dev'!U22)&gt;0,EOMONTH('UX + Dev'!U22,0),"")))</f>
      </c>
    </row>
    <row r="23">
      <c r="A23" s="305" t="n">
        <v>23</v>
      </c>
      <c r="B23" s="305">
        <f>IF(TRIM('UX + Dev'!E23)="","",TRIM('UX + Dev'!E23))</f>
      </c>
      <c r="C23" s="305">
        <f>IF($B23="","",'UX + Dev'!B23)</f>
      </c>
      <c r="D23" s="305">
        <f>IF($B23="","",IF(TRIM('UX + Dev'!C23)="","(No theme assigned)",TRIM('UX + Dev'!C23)))</f>
      </c>
      <c r="E23" s="305">
        <f>IF($B23="","",TRIM('UX + Dev'!F23))</f>
      </c>
      <c r="F23" s="305">
        <f>IF($B23="","",'UX + Dev'!G23)</f>
      </c>
      <c r="G23" s="306">
        <f t="array" ref="G23">IF($B23="","",IF($T23=0,"",IFERROR(MIN(IF('UX + Dev'!$AB23:$DN23&lt;&gt;"",'UX + Dev'!$AB$1:$DN$1)),"")))</f>
      </c>
      <c r="H23" s="306">
        <f t="array" ref="H23">IF($B23="","",IF($T23=0,"",IFERROR(MAX(IF('UX + Dev'!$AB23:$DN23&lt;&gt;"",'UX + Dev'!$AB$1:$DN$1)),"")))</f>
      </c>
      <c r="I23" s="307">
        <f>IF($R23&lt;&gt;"",$R23,IF($S23&lt;&gt;"",$S23,""))</f>
      </c>
      <c r="J23" s="307">
        <f>IF($S23&lt;&gt;"",EOMONTH($S23,0),IF($R23&lt;&gt;"",EOMONTH($R23,0),""))</f>
      </c>
      <c r="K23" s="305">
        <f>IF($B23="","",IF(COUNTA('UX + Dev'!AA23)=0,"",TRIM('UX + Dev'!AA23)))</f>
      </c>
      <c r="L23" s="305">
        <f>IF($B23="","",IFERROR(MATCH($D23,Control!$E$4:$E$30,0),99))</f>
      </c>
      <c r="M23" s="305">
        <f>IF($B23="","",IFERROR(MATCH($F23,Control!$B$4:$B$30,0),99))</f>
      </c>
      <c r="N23" s="305">
        <f>IF($V23&lt;&gt;1,"",IF('Roadmap (Auto)'!$D$3="Status, then Theme",$M23*1000000+$L23*10000+ROW(),IF('Roadmap (Auto)'!$D$3="Dev start (earliest)",IF($I23="",99999999,$I23)*10000+ROW(),IF('Roadmap (Auto)'!$D$3="UX start (earliest)",IF($G23="",99999999,$G23)*10000+ROW(),IF('Roadmap (Auto)'!$D$3="Deliverable A-Z",$W23*10000+ROW(),$L23*1000000+$M23*10000+ROW())))))</f>
      </c>
      <c r="O23" s="305">
        <f>IF($N23="","",COUNTIF($N$2:$N$151,"&lt;"&amp;$N23)+1)</f>
      </c>
      <c r="P23" s="305">
        <f>IF($B23="","",IF(COUNTA('UX + Dev'!X23)=0,"",'UX + Dev'!X23))</f>
      </c>
      <c r="Q23" s="305">
        <f>IF($B23="","",IF(COUNTA('UX + Dev'!Y23)=0,"",'UX + Dev'!Y23))</f>
      </c>
      <c r="R23" s="307">
        <f>IF($P23="","",IF(ISNUMBER($P23),DATE(YEAR($P23),MONTH($P23),1),IFERROR(DATE(IFERROR(VALUE(RIGHT(TRIM($P23),4)),YEAR(TODAY())),(SEARCH(LEFT(TRIM($P23),3),"JanFebMarAprMayJunJulAugSepOctNovDec")+2)/3,1),"")))</f>
      </c>
      <c r="S23" s="307">
        <f>IF($Q23="","",IF(ISNUMBER($Q23),DATE(YEAR($Q23),MONTH($Q23),1),IFERROR(DATE(IFERROR(VALUE(RIGHT(TRIM($Q23),4)),YEAR(TODAY())),(SEARCH(LEFT(TRIM($Q23),3),"JanFebMarAprMayJunJulAugSepOctNovDec")+2)/3,1),"")))</f>
      </c>
      <c r="T23" s="305">
        <f>IF($B23="","",COUNTA('UX + Dev'!$AB23:$DN23))</f>
      </c>
      <c r="U23" s="305">
        <f>IF($B23="","",IFERROR(MATCH($D23,Control!$E$4:$E$30,0)+3,0))</f>
      </c>
      <c r="V23" s="305">
        <f>IF($B23="","",IF(AND(OR('Roadmap (Auto)'!$A$3="",'Roadmap (Auto)'!$A$3="(All)",ISNUMBER(SEARCH('Roadmap (Auto)'!$A$3,$C23&amp;""))),OR('Roadmap (Auto)'!$B$3="",'Roadmap (Auto)'!$B$3="(All)",$D23='Roadmap (Auto)'!$B$3,$X23='Roadmap (Auto)'!$B$3),OR('Roadmap (Auto)'!$C$3="",'Roadmap (Auto)'!$C$3="(All)",$F23='Roadmap (Auto)'!$C$3)),1,0))</f>
      </c>
      <c r="W23" s="305">
        <f>IF($B23="","",COUNTIF($Y$2:$Y$151,"&lt;"&amp;$Y23)+1)</f>
      </c>
      <c r="X23" s="305">
        <f>IF($B23="","",IF(TRIM('UX + Dev'!D23)="","",TRIM('UX + Dev'!D23)))</f>
      </c>
      <c r="Y23" s="305">
        <f>IF($B23="","",SUBSTITUTE(SUBSTITUTE(SUBSTITUTE(SUBSTITUTE(SUBSTITUTE(SUBSTITUTE(SUBSTITUTE(SUBSTITUTE(SUBSTITUTE(SUBSTITUTE(SUBSTITUTE(SUBSTITUTE(SUBSTITUTE(SUBSTITUTE(SUBSTITUTE(SUBSTITUTE(SUBSTITUTE(SUBSTITUTE(SUBSTITUTE(SUBSTITUTE(SUBSTITUTE(SUBSTITUTE(SUBSTITUTE(SUBSTITUTE(SUBSTITUTE(UPPER($B23)," ",""),"-",""),":",""),"/",""),"&amp;",""),"|",""),"'",""),"’",""),"&lt;",""),"&gt;",""),",",""),"$",""),".",""),"(",""),")",""),"*",""),"?",""),"~",""),"_",""),"+",""),"#",""),";",""),"!",""),"%",""),"@",""))</f>
      </c>
      <c r="AA23">
        <f>IF($B23="",0,COUNTIFS('UX + Dev'!$AB$1:$DN$1,"&gt;="&amp;AA$1,'UX + Dev'!$AB$1:$DN$1,"&lt;="&amp;EOMONTH(AA$1,0),'UX + Dev'!$AB23:$DN23,"&lt;&gt;"))</f>
      </c>
      <c r="AB23">
        <f>IF($B23="",0,COUNTIFS('UX + Dev'!$AB$1:$DN$1,"&gt;="&amp;AB$1,'UX + Dev'!$AB$1:$DN$1,"&lt;="&amp;EOMONTH(AB$1,0),'UX + Dev'!$AB23:$DN23,"&lt;&gt;"))</f>
      </c>
      <c r="AC23">
        <f>IF($B23="",0,COUNTIFS('UX + Dev'!$AB$1:$DN$1,"&gt;="&amp;AC$1,'UX + Dev'!$AB$1:$DN$1,"&lt;="&amp;EOMONTH(AC$1,0),'UX + Dev'!$AB23:$DN23,"&lt;&gt;"))</f>
      </c>
      <c r="AD23">
        <f>IF($B23="",0,COUNTIFS('UX + Dev'!$AB$1:$DN$1,"&gt;="&amp;AD$1,'UX + Dev'!$AB$1:$DN$1,"&lt;="&amp;EOMONTH(AD$1,0),'UX + Dev'!$AB23:$DN23,"&lt;&gt;"))</f>
      </c>
      <c r="AE23">
        <f>IF($B23="",0,COUNTIFS('UX + Dev'!$AB$1:$DN$1,"&gt;="&amp;AE$1,'UX + Dev'!$AB$1:$DN$1,"&lt;="&amp;EOMONTH(AE$1,0),'UX + Dev'!$AB23:$DN23,"&lt;&gt;"))</f>
      </c>
      <c r="AF23">
        <f>IF($B23="",0,COUNTIFS('UX + Dev'!$AB$1:$DN$1,"&gt;="&amp;AF$1,'UX + Dev'!$AB$1:$DN$1,"&lt;="&amp;EOMONTH(AF$1,0),'UX + Dev'!$AB23:$DN23,"&lt;&gt;"))</f>
      </c>
      <c r="AG23">
        <f>IF($B23="",0,COUNTIFS('UX + Dev'!$AB$1:$DN$1,"&gt;="&amp;AG$1,'UX + Dev'!$AB$1:$DN$1,"&lt;="&amp;EOMONTH(AG$1,0),'UX + Dev'!$AB23:$DN23,"&lt;&gt;"))</f>
      </c>
      <c r="AH23">
        <f>IF($B23="",0,COUNTIFS('UX + Dev'!$AB$1:$DN$1,"&gt;="&amp;AH$1,'UX + Dev'!$AB$1:$DN$1,"&lt;="&amp;EOMONTH(AH$1,0),'UX + Dev'!$AB23:$DN23,"&lt;&gt;"))</f>
      </c>
      <c r="AI23">
        <f>IF($B23="",0,COUNTIFS('UX + Dev'!$AB$1:$DN$1,"&gt;="&amp;AI$1,'UX + Dev'!$AB$1:$DN$1,"&lt;="&amp;EOMONTH(AI$1,0),'UX + Dev'!$AB23:$DN23,"&lt;&gt;"))</f>
      </c>
      <c r="AJ23">
        <f>IF($B23="",0,COUNTIFS('UX + Dev'!$AB$1:$DN$1,"&gt;="&amp;AJ$1,'UX + Dev'!$AB$1:$DN$1,"&lt;="&amp;EOMONTH(AJ$1,0),'UX + Dev'!$AB23:$DN23,"&lt;&gt;"))</f>
      </c>
      <c r="AK23">
        <f>IF($B23="",0,COUNTIFS('UX + Dev'!$AB$1:$DN$1,"&gt;="&amp;AK$1,'UX + Dev'!$AB$1:$DN$1,"&lt;="&amp;EOMONTH(AK$1,0),'UX + Dev'!$AB23:$DN23,"&lt;&gt;"))</f>
      </c>
      <c r="AL23">
        <f>IF($B23="",0,COUNTIFS('UX + Dev'!$AB$1:$DN$1,"&gt;="&amp;AL$1,'UX + Dev'!$AB$1:$DN$1,"&lt;="&amp;EOMONTH(AL$1,0),'UX + Dev'!$AB23:$DN23,"&lt;&gt;"))</f>
      </c>
      <c r="AM23">
        <f>IF($B23="",0,COUNTIFS('UX + Dev'!$AB$1:$DN$1,"&gt;="&amp;AM$1,'UX + Dev'!$AB$1:$DN$1,"&lt;="&amp;EOMONTH(AM$1,0),'UX + Dev'!$AB23:$DN23,"&lt;&gt;"))</f>
      </c>
      <c r="AN23">
        <f>IF($B23="",0,COUNTIFS('UX + Dev'!$AB$1:$DN$1,"&gt;="&amp;AN$1,'UX + Dev'!$AB$1:$DN$1,"&lt;="&amp;EOMONTH(AN$1,0),'UX + Dev'!$AB23:$DN23,"&lt;&gt;"))</f>
      </c>
      <c r="AO23">
        <f>IF($B23="",0,COUNTIFS('UX + Dev'!$AB$1:$DN$1,"&gt;="&amp;AO$1,'UX + Dev'!$AB$1:$DN$1,"&lt;="&amp;EOMONTH(AO$1,0),'UX + Dev'!$AB23:$DN23,"&lt;&gt;"))</f>
      </c>
      <c r="AP23">
        <f>IF($B23="",0,COUNTIFS('UX + Dev'!$AB$1:$DN$1,"&gt;="&amp;AP$1,'UX + Dev'!$AB$1:$DN$1,"&lt;="&amp;EOMONTH(AP$1,0),'UX + Dev'!$AB23:$DN23,"&lt;&gt;"))</f>
      </c>
      <c r="AQ23">
        <f>IF($B23="",0,COUNTIFS('UX + Dev'!$AB$1:$DN$1,"&gt;="&amp;AQ$1,'UX + Dev'!$AB$1:$DN$1,"&lt;="&amp;EOMONTH(AQ$1,0),'UX + Dev'!$AB23:$DN23,"&lt;&gt;"))</f>
      </c>
      <c r="AR23">
        <f>IF($B23="",0,COUNTIFS('UX + Dev'!$AB$1:$DN$1,"&gt;="&amp;AR$1,'UX + Dev'!$AB$1:$DN$1,"&lt;="&amp;EOMONTH(AR$1,0),'UX + Dev'!$AB23:$DN23,"&lt;&gt;"))</f>
      </c>
      <c r="AS23">
        <f>IF($B23="",0,COUNTIFS('UX + Dev'!$AB$1:$DN$1,"&gt;="&amp;AS$1,'UX + Dev'!$AB$1:$DN$1,"&lt;="&amp;EOMONTH(AS$1,0),'UX + Dev'!$AB23:$DN23,"&lt;&gt;"))</f>
      </c>
      <c r="AT23">
        <f>IF($B23="",0,COUNTIFS('UX + Dev'!$AB$1:$DN$1,"&gt;="&amp;AT$1,'UX + Dev'!$AB$1:$DN$1,"&lt;="&amp;EOMONTH(AT$1,0),'UX + Dev'!$AB23:$DN23,"&lt;&gt;"))</f>
      </c>
      <c r="AU23">
        <f>IF($B23="",0,COUNTIFS('UX + Dev'!$AB$1:$DN$1,"&gt;="&amp;AU$1,'UX + Dev'!$AB$1:$DN$1,"&lt;="&amp;EOMONTH(AU$1,0),'UX + Dev'!$AB23:$DN23,"&lt;&gt;"))</f>
      </c>
      <c r="AV23">
        <f>IF($B23="",0,COUNTIFS('UX + Dev'!$AB$1:$DN$1,"&gt;="&amp;AV$1,'UX + Dev'!$AB$1:$DN$1,"&lt;="&amp;EOMONTH(AV$1,0),'UX + Dev'!$AB23:$DN23,"&lt;&gt;"))</f>
      </c>
      <c r="AW23">
        <f>IF($B23="",0,COUNTIFS('UX + Dev'!$AB$1:$DN$1,"&gt;="&amp;AW$1,'UX + Dev'!$AB$1:$DN$1,"&lt;="&amp;EOMONTH(AW$1,0),'UX + Dev'!$AB23:$DN23,"&lt;&gt;"))</f>
      </c>
      <c r="AX23">
        <f>IF($B23="",0,COUNTIFS('UX + Dev'!$AB$1:$DN$1,"&gt;="&amp;AX$1,'UX + Dev'!$AB$1:$DN$1,"&lt;="&amp;EOMONTH(AX$1,0),'UX + Dev'!$AB23:$DN23,"&lt;&gt;"))</f>
      </c>
      <c r="BB23" s="308">
        <f>IF($B23="","",IF(COUNTA('UX + Dev'!U23)&gt;0,DATE(YEAR('UX + Dev'!U23),MONTH('UX + Dev'!U23),1),IF(COUNTA('UX + Dev'!V23)&gt;0,DATE(YEAR('UX + Dev'!V23),MONTH('UX + Dev'!V23),1),"")))</f>
      </c>
      <c r="BC23" s="308">
        <f>IF($B23="","",IF(COUNTA('UX + Dev'!V23)&gt;0,EOMONTH('UX + Dev'!V23,0),IF(COUNTA('UX + Dev'!U23)&gt;0,EOMONTH('UX + Dev'!U23,0),"")))</f>
      </c>
    </row>
    <row r="24">
      <c r="A24" s="305" t="n">
        <v>24</v>
      </c>
      <c r="B24" s="305">
        <f>IF(TRIM('UX + Dev'!E24)="","",TRIM('UX + Dev'!E24))</f>
      </c>
      <c r="C24" s="305">
        <f>IF($B24="","",'UX + Dev'!B24)</f>
      </c>
      <c r="D24" s="305">
        <f>IF($B24="","",IF(TRIM('UX + Dev'!C24)="","(No theme assigned)",TRIM('UX + Dev'!C24)))</f>
      </c>
      <c r="E24" s="305">
        <f>IF($B24="","",TRIM('UX + Dev'!F24))</f>
      </c>
      <c r="F24" s="305">
        <f>IF($B24="","",'UX + Dev'!G24)</f>
      </c>
      <c r="G24" s="306">
        <f t="array" ref="G24">IF($B24="","",IF($T24=0,"",IFERROR(MIN(IF('UX + Dev'!$AB24:$DN24&lt;&gt;"",'UX + Dev'!$AB$1:$DN$1)),"")))</f>
      </c>
      <c r="H24" s="306">
        <f t="array" ref="H24">IF($B24="","",IF($T24=0,"",IFERROR(MAX(IF('UX + Dev'!$AB24:$DN24&lt;&gt;"",'UX + Dev'!$AB$1:$DN$1)),"")))</f>
      </c>
      <c r="I24" s="307">
        <f>IF($R24&lt;&gt;"",$R24,IF($S24&lt;&gt;"",$S24,""))</f>
      </c>
      <c r="J24" s="307">
        <f>IF($S24&lt;&gt;"",EOMONTH($S24,0),IF($R24&lt;&gt;"",EOMONTH($R24,0),""))</f>
      </c>
      <c r="K24" s="305">
        <f>IF($B24="","",IF(COUNTA('UX + Dev'!AA24)=0,"",TRIM('UX + Dev'!AA24)))</f>
      </c>
      <c r="L24" s="305">
        <f>IF($B24="","",IFERROR(MATCH($D24,Control!$E$4:$E$30,0),99))</f>
      </c>
      <c r="M24" s="305">
        <f>IF($B24="","",IFERROR(MATCH($F24,Control!$B$4:$B$30,0),99))</f>
      </c>
      <c r="N24" s="305">
        <f>IF($V24&lt;&gt;1,"",IF('Roadmap (Auto)'!$D$3="Status, then Theme",$M24*1000000+$L24*10000+ROW(),IF('Roadmap (Auto)'!$D$3="Dev start (earliest)",IF($I24="",99999999,$I24)*10000+ROW(),IF('Roadmap (Auto)'!$D$3="UX start (earliest)",IF($G24="",99999999,$G24)*10000+ROW(),IF('Roadmap (Auto)'!$D$3="Deliverable A-Z",$W24*10000+ROW(),$L24*1000000+$M24*10000+ROW())))))</f>
      </c>
      <c r="O24" s="305">
        <f>IF($N24="","",COUNTIF($N$2:$N$151,"&lt;"&amp;$N24)+1)</f>
      </c>
      <c r="P24" s="305">
        <f>IF($B24="","",IF(COUNTA('UX + Dev'!X24)=0,"",'UX + Dev'!X24))</f>
      </c>
      <c r="Q24" s="305">
        <f>IF($B24="","",IF(COUNTA('UX + Dev'!Y24)=0,"",'UX + Dev'!Y24))</f>
      </c>
      <c r="R24" s="307">
        <f>IF($P24="","",IF(ISNUMBER($P24),DATE(YEAR($P24),MONTH($P24),1),IFERROR(DATE(IFERROR(VALUE(RIGHT(TRIM($P24),4)),YEAR(TODAY())),(SEARCH(LEFT(TRIM($P24),3),"JanFebMarAprMayJunJulAugSepOctNovDec")+2)/3,1),"")))</f>
      </c>
      <c r="S24" s="307">
        <f>IF($Q24="","",IF(ISNUMBER($Q24),DATE(YEAR($Q24),MONTH($Q24),1),IFERROR(DATE(IFERROR(VALUE(RIGHT(TRIM($Q24),4)),YEAR(TODAY())),(SEARCH(LEFT(TRIM($Q24),3),"JanFebMarAprMayJunJulAugSepOctNovDec")+2)/3,1),"")))</f>
      </c>
      <c r="T24" s="305">
        <f>IF($B24="","",COUNTA('UX + Dev'!$AB24:$DN24))</f>
      </c>
      <c r="U24" s="305">
        <f>IF($B24="","",IFERROR(MATCH($D24,Control!$E$4:$E$30,0)+3,0))</f>
      </c>
      <c r="V24" s="305">
        <f>IF($B24="","",IF(AND(OR('Roadmap (Auto)'!$A$3="",'Roadmap (Auto)'!$A$3="(All)",ISNUMBER(SEARCH('Roadmap (Auto)'!$A$3,$C24&amp;""))),OR('Roadmap (Auto)'!$B$3="",'Roadmap (Auto)'!$B$3="(All)",$D24='Roadmap (Auto)'!$B$3,$X24='Roadmap (Auto)'!$B$3),OR('Roadmap (Auto)'!$C$3="",'Roadmap (Auto)'!$C$3="(All)",$F24='Roadmap (Auto)'!$C$3)),1,0))</f>
      </c>
      <c r="W24" s="305">
        <f>IF($B24="","",COUNTIF($Y$2:$Y$151,"&lt;"&amp;$Y24)+1)</f>
      </c>
      <c r="X24" s="305">
        <f>IF($B24="","",IF(TRIM('UX + Dev'!D24)="","",TRIM('UX + Dev'!D24)))</f>
      </c>
      <c r="Y24" s="305">
        <f>IF($B24="","",SUBSTITUTE(SUBSTITUTE(SUBSTITUTE(SUBSTITUTE(SUBSTITUTE(SUBSTITUTE(SUBSTITUTE(SUBSTITUTE(SUBSTITUTE(SUBSTITUTE(SUBSTITUTE(SUBSTITUTE(SUBSTITUTE(SUBSTITUTE(SUBSTITUTE(SUBSTITUTE(SUBSTITUTE(SUBSTITUTE(SUBSTITUTE(SUBSTITUTE(SUBSTITUTE(SUBSTITUTE(SUBSTITUTE(SUBSTITUTE(SUBSTITUTE(UPPER($B24)," ",""),"-",""),":",""),"/",""),"&amp;",""),"|",""),"'",""),"’",""),"&lt;",""),"&gt;",""),",",""),"$",""),".",""),"(",""),")",""),"*",""),"?",""),"~",""),"_",""),"+",""),"#",""),";",""),"!",""),"%",""),"@",""))</f>
      </c>
      <c r="AA24">
        <f>IF($B24="",0,COUNTIFS('UX + Dev'!$AB$1:$DN$1,"&gt;="&amp;AA$1,'UX + Dev'!$AB$1:$DN$1,"&lt;="&amp;EOMONTH(AA$1,0),'UX + Dev'!$AB24:$DN24,"&lt;&gt;"))</f>
      </c>
      <c r="AB24">
        <f>IF($B24="",0,COUNTIFS('UX + Dev'!$AB$1:$DN$1,"&gt;="&amp;AB$1,'UX + Dev'!$AB$1:$DN$1,"&lt;="&amp;EOMONTH(AB$1,0),'UX + Dev'!$AB24:$DN24,"&lt;&gt;"))</f>
      </c>
      <c r="AC24">
        <f>IF($B24="",0,COUNTIFS('UX + Dev'!$AB$1:$DN$1,"&gt;="&amp;AC$1,'UX + Dev'!$AB$1:$DN$1,"&lt;="&amp;EOMONTH(AC$1,0),'UX + Dev'!$AB24:$DN24,"&lt;&gt;"))</f>
      </c>
      <c r="AD24">
        <f>IF($B24="",0,COUNTIFS('UX + Dev'!$AB$1:$DN$1,"&gt;="&amp;AD$1,'UX + Dev'!$AB$1:$DN$1,"&lt;="&amp;EOMONTH(AD$1,0),'UX + Dev'!$AB24:$DN24,"&lt;&gt;"))</f>
      </c>
      <c r="AE24">
        <f>IF($B24="",0,COUNTIFS('UX + Dev'!$AB$1:$DN$1,"&gt;="&amp;AE$1,'UX + Dev'!$AB$1:$DN$1,"&lt;="&amp;EOMONTH(AE$1,0),'UX + Dev'!$AB24:$DN24,"&lt;&gt;"))</f>
      </c>
      <c r="AF24">
        <f>IF($B24="",0,COUNTIFS('UX + Dev'!$AB$1:$DN$1,"&gt;="&amp;AF$1,'UX + Dev'!$AB$1:$DN$1,"&lt;="&amp;EOMONTH(AF$1,0),'UX + Dev'!$AB24:$DN24,"&lt;&gt;"))</f>
      </c>
      <c r="AG24">
        <f>IF($B24="",0,COUNTIFS('UX + Dev'!$AB$1:$DN$1,"&gt;="&amp;AG$1,'UX + Dev'!$AB$1:$DN$1,"&lt;="&amp;EOMONTH(AG$1,0),'UX + Dev'!$AB24:$DN24,"&lt;&gt;"))</f>
      </c>
      <c r="AH24">
        <f>IF($B24="",0,COUNTIFS('UX + Dev'!$AB$1:$DN$1,"&gt;="&amp;AH$1,'UX + Dev'!$AB$1:$DN$1,"&lt;="&amp;EOMONTH(AH$1,0),'UX + Dev'!$AB24:$DN24,"&lt;&gt;"))</f>
      </c>
      <c r="AI24">
        <f>IF($B24="",0,COUNTIFS('UX + Dev'!$AB$1:$DN$1,"&gt;="&amp;AI$1,'UX + Dev'!$AB$1:$DN$1,"&lt;="&amp;EOMONTH(AI$1,0),'UX + Dev'!$AB24:$DN24,"&lt;&gt;"))</f>
      </c>
      <c r="AJ24">
        <f>IF($B24="",0,COUNTIFS('UX + Dev'!$AB$1:$DN$1,"&gt;="&amp;AJ$1,'UX + Dev'!$AB$1:$DN$1,"&lt;="&amp;EOMONTH(AJ$1,0),'UX + Dev'!$AB24:$DN24,"&lt;&gt;"))</f>
      </c>
      <c r="AK24">
        <f>IF($B24="",0,COUNTIFS('UX + Dev'!$AB$1:$DN$1,"&gt;="&amp;AK$1,'UX + Dev'!$AB$1:$DN$1,"&lt;="&amp;EOMONTH(AK$1,0),'UX + Dev'!$AB24:$DN24,"&lt;&gt;"))</f>
      </c>
      <c r="AL24">
        <f>IF($B24="",0,COUNTIFS('UX + Dev'!$AB$1:$DN$1,"&gt;="&amp;AL$1,'UX + Dev'!$AB$1:$DN$1,"&lt;="&amp;EOMONTH(AL$1,0),'UX + Dev'!$AB24:$DN24,"&lt;&gt;"))</f>
      </c>
      <c r="AM24">
        <f>IF($B24="",0,COUNTIFS('UX + Dev'!$AB$1:$DN$1,"&gt;="&amp;AM$1,'UX + Dev'!$AB$1:$DN$1,"&lt;="&amp;EOMONTH(AM$1,0),'UX + Dev'!$AB24:$DN24,"&lt;&gt;"))</f>
      </c>
      <c r="AN24">
        <f>IF($B24="",0,COUNTIFS('UX + Dev'!$AB$1:$DN$1,"&gt;="&amp;AN$1,'UX + Dev'!$AB$1:$DN$1,"&lt;="&amp;EOMONTH(AN$1,0),'UX + Dev'!$AB24:$DN24,"&lt;&gt;"))</f>
      </c>
      <c r="AO24">
        <f>IF($B24="",0,COUNTIFS('UX + Dev'!$AB$1:$DN$1,"&gt;="&amp;AO$1,'UX + Dev'!$AB$1:$DN$1,"&lt;="&amp;EOMONTH(AO$1,0),'UX + Dev'!$AB24:$DN24,"&lt;&gt;"))</f>
      </c>
      <c r="AP24">
        <f>IF($B24="",0,COUNTIFS('UX + Dev'!$AB$1:$DN$1,"&gt;="&amp;AP$1,'UX + Dev'!$AB$1:$DN$1,"&lt;="&amp;EOMONTH(AP$1,0),'UX + Dev'!$AB24:$DN24,"&lt;&gt;"))</f>
      </c>
      <c r="AQ24">
        <f>IF($B24="",0,COUNTIFS('UX + Dev'!$AB$1:$DN$1,"&gt;="&amp;AQ$1,'UX + Dev'!$AB$1:$DN$1,"&lt;="&amp;EOMONTH(AQ$1,0),'UX + Dev'!$AB24:$DN24,"&lt;&gt;"))</f>
      </c>
      <c r="AR24">
        <f>IF($B24="",0,COUNTIFS('UX + Dev'!$AB$1:$DN$1,"&gt;="&amp;AR$1,'UX + Dev'!$AB$1:$DN$1,"&lt;="&amp;EOMONTH(AR$1,0),'UX + Dev'!$AB24:$DN24,"&lt;&gt;"))</f>
      </c>
      <c r="AS24">
        <f>IF($B24="",0,COUNTIFS('UX + Dev'!$AB$1:$DN$1,"&gt;="&amp;AS$1,'UX + Dev'!$AB$1:$DN$1,"&lt;="&amp;EOMONTH(AS$1,0),'UX + Dev'!$AB24:$DN24,"&lt;&gt;"))</f>
      </c>
      <c r="AT24">
        <f>IF($B24="",0,COUNTIFS('UX + Dev'!$AB$1:$DN$1,"&gt;="&amp;AT$1,'UX + Dev'!$AB$1:$DN$1,"&lt;="&amp;EOMONTH(AT$1,0),'UX + Dev'!$AB24:$DN24,"&lt;&gt;"))</f>
      </c>
      <c r="AU24">
        <f>IF($B24="",0,COUNTIFS('UX + Dev'!$AB$1:$DN$1,"&gt;="&amp;AU$1,'UX + Dev'!$AB$1:$DN$1,"&lt;="&amp;EOMONTH(AU$1,0),'UX + Dev'!$AB24:$DN24,"&lt;&gt;"))</f>
      </c>
      <c r="AV24">
        <f>IF($B24="",0,COUNTIFS('UX + Dev'!$AB$1:$DN$1,"&gt;="&amp;AV$1,'UX + Dev'!$AB$1:$DN$1,"&lt;="&amp;EOMONTH(AV$1,0),'UX + Dev'!$AB24:$DN24,"&lt;&gt;"))</f>
      </c>
      <c r="AW24">
        <f>IF($B24="",0,COUNTIFS('UX + Dev'!$AB$1:$DN$1,"&gt;="&amp;AW$1,'UX + Dev'!$AB$1:$DN$1,"&lt;="&amp;EOMONTH(AW$1,0),'UX + Dev'!$AB24:$DN24,"&lt;&gt;"))</f>
      </c>
      <c r="AX24">
        <f>IF($B24="",0,COUNTIFS('UX + Dev'!$AB$1:$DN$1,"&gt;="&amp;AX$1,'UX + Dev'!$AB$1:$DN$1,"&lt;="&amp;EOMONTH(AX$1,0),'UX + Dev'!$AB24:$DN24,"&lt;&gt;"))</f>
      </c>
      <c r="BB24" s="308">
        <f>IF($B24="","",IF(COUNTA('UX + Dev'!U24)&gt;0,DATE(YEAR('UX + Dev'!U24),MONTH('UX + Dev'!U24),1),IF(COUNTA('UX + Dev'!V24)&gt;0,DATE(YEAR('UX + Dev'!V24),MONTH('UX + Dev'!V24),1),"")))</f>
      </c>
      <c r="BC24" s="308">
        <f>IF($B24="","",IF(COUNTA('UX + Dev'!V24)&gt;0,EOMONTH('UX + Dev'!V24,0),IF(COUNTA('UX + Dev'!U24)&gt;0,EOMONTH('UX + Dev'!U24,0),"")))</f>
      </c>
    </row>
    <row r="25">
      <c r="A25" s="305" t="n">
        <v>25</v>
      </c>
      <c r="B25" s="305">
        <f>IF(TRIM('UX + Dev'!E25)="","",TRIM('UX + Dev'!E25))</f>
      </c>
      <c r="C25" s="305">
        <f>IF($B25="","",'UX + Dev'!B25)</f>
      </c>
      <c r="D25" s="305">
        <f>IF($B25="","",IF(TRIM('UX + Dev'!C25)="","(No theme assigned)",TRIM('UX + Dev'!C25)))</f>
      </c>
      <c r="E25" s="305">
        <f>IF($B25="","",TRIM('UX + Dev'!F25))</f>
      </c>
      <c r="F25" s="305">
        <f>IF($B25="","",'UX + Dev'!G25)</f>
      </c>
      <c r="G25" s="306">
        <f t="array" ref="G25">IF($B25="","",IF($T25=0,"",IFERROR(MIN(IF('UX + Dev'!$AB25:$DN25&lt;&gt;"",'UX + Dev'!$AB$1:$DN$1)),"")))</f>
      </c>
      <c r="H25" s="306">
        <f t="array" ref="H25">IF($B25="","",IF($T25=0,"",IFERROR(MAX(IF('UX + Dev'!$AB25:$DN25&lt;&gt;"",'UX + Dev'!$AB$1:$DN$1)),"")))</f>
      </c>
      <c r="I25" s="307">
        <f>IF($R25&lt;&gt;"",$R25,IF($S25&lt;&gt;"",$S25,""))</f>
      </c>
      <c r="J25" s="307">
        <f>IF($S25&lt;&gt;"",EOMONTH($S25,0),IF($R25&lt;&gt;"",EOMONTH($R25,0),""))</f>
      </c>
      <c r="K25" s="305">
        <f>IF($B25="","",IF(COUNTA('UX + Dev'!AA25)=0,"",TRIM('UX + Dev'!AA25)))</f>
      </c>
      <c r="L25" s="305">
        <f>IF($B25="","",IFERROR(MATCH($D25,Control!$E$4:$E$30,0),99))</f>
      </c>
      <c r="M25" s="305">
        <f>IF($B25="","",IFERROR(MATCH($F25,Control!$B$4:$B$30,0),99))</f>
      </c>
      <c r="N25" s="305">
        <f>IF($V25&lt;&gt;1,"",IF('Roadmap (Auto)'!$D$3="Status, then Theme",$M25*1000000+$L25*10000+ROW(),IF('Roadmap (Auto)'!$D$3="Dev start (earliest)",IF($I25="",99999999,$I25)*10000+ROW(),IF('Roadmap (Auto)'!$D$3="UX start (earliest)",IF($G25="",99999999,$G25)*10000+ROW(),IF('Roadmap (Auto)'!$D$3="Deliverable A-Z",$W25*10000+ROW(),$L25*1000000+$M25*10000+ROW())))))</f>
      </c>
      <c r="O25" s="305">
        <f>IF($N25="","",COUNTIF($N$2:$N$151,"&lt;"&amp;$N25)+1)</f>
      </c>
      <c r="P25" s="305">
        <f>IF($B25="","",IF(COUNTA('UX + Dev'!X25)=0,"",'UX + Dev'!X25))</f>
      </c>
      <c r="Q25" s="305">
        <f>IF($B25="","",IF(COUNTA('UX + Dev'!Y25)=0,"",'UX + Dev'!Y25))</f>
      </c>
      <c r="R25" s="307">
        <f>IF($P25="","",IF(ISNUMBER($P25),DATE(YEAR($P25),MONTH($P25),1),IFERROR(DATE(IFERROR(VALUE(RIGHT(TRIM($P25),4)),YEAR(TODAY())),(SEARCH(LEFT(TRIM($P25),3),"JanFebMarAprMayJunJulAugSepOctNovDec")+2)/3,1),"")))</f>
      </c>
      <c r="S25" s="307">
        <f>IF($Q25="","",IF(ISNUMBER($Q25),DATE(YEAR($Q25),MONTH($Q25),1),IFERROR(DATE(IFERROR(VALUE(RIGHT(TRIM($Q25),4)),YEAR(TODAY())),(SEARCH(LEFT(TRIM($Q25),3),"JanFebMarAprMayJunJulAugSepOctNovDec")+2)/3,1),"")))</f>
      </c>
      <c r="T25" s="305">
        <f>IF($B25="","",COUNTA('UX + Dev'!$AB25:$DN25))</f>
      </c>
      <c r="U25" s="305">
        <f>IF($B25="","",IFERROR(MATCH($D25,Control!$E$4:$E$30,0)+3,0))</f>
      </c>
      <c r="V25" s="305">
        <f>IF($B25="","",IF(AND(OR('Roadmap (Auto)'!$A$3="",'Roadmap (Auto)'!$A$3="(All)",ISNUMBER(SEARCH('Roadmap (Auto)'!$A$3,$C25&amp;""))),OR('Roadmap (Auto)'!$B$3="",'Roadmap (Auto)'!$B$3="(All)",$D25='Roadmap (Auto)'!$B$3,$X25='Roadmap (Auto)'!$B$3),OR('Roadmap (Auto)'!$C$3="",'Roadmap (Auto)'!$C$3="(All)",$F25='Roadmap (Auto)'!$C$3)),1,0))</f>
      </c>
      <c r="W25" s="305">
        <f>IF($B25="","",COUNTIF($Y$2:$Y$151,"&lt;"&amp;$Y25)+1)</f>
      </c>
      <c r="X25" s="305">
        <f>IF($B25="","",IF(TRIM('UX + Dev'!D25)="","",TRIM('UX + Dev'!D25)))</f>
      </c>
      <c r="Y25" s="305">
        <f>IF($B25="","",SUBSTITUTE(SUBSTITUTE(SUBSTITUTE(SUBSTITUTE(SUBSTITUTE(SUBSTITUTE(SUBSTITUTE(SUBSTITUTE(SUBSTITUTE(SUBSTITUTE(SUBSTITUTE(SUBSTITUTE(SUBSTITUTE(SUBSTITUTE(SUBSTITUTE(SUBSTITUTE(SUBSTITUTE(SUBSTITUTE(SUBSTITUTE(SUBSTITUTE(SUBSTITUTE(SUBSTITUTE(SUBSTITUTE(SUBSTITUTE(SUBSTITUTE(UPPER($B25)," ",""),"-",""),":",""),"/",""),"&amp;",""),"|",""),"'",""),"’",""),"&lt;",""),"&gt;",""),",",""),"$",""),".",""),"(",""),")",""),"*",""),"?",""),"~",""),"_",""),"+",""),"#",""),";",""),"!",""),"%",""),"@",""))</f>
      </c>
      <c r="AA25">
        <f>IF($B25="",0,COUNTIFS('UX + Dev'!$AB$1:$DN$1,"&gt;="&amp;AA$1,'UX + Dev'!$AB$1:$DN$1,"&lt;="&amp;EOMONTH(AA$1,0),'UX + Dev'!$AB25:$DN25,"&lt;&gt;"))</f>
      </c>
      <c r="AB25">
        <f>IF($B25="",0,COUNTIFS('UX + Dev'!$AB$1:$DN$1,"&gt;="&amp;AB$1,'UX + Dev'!$AB$1:$DN$1,"&lt;="&amp;EOMONTH(AB$1,0),'UX + Dev'!$AB25:$DN25,"&lt;&gt;"))</f>
      </c>
      <c r="AC25">
        <f>IF($B25="",0,COUNTIFS('UX + Dev'!$AB$1:$DN$1,"&gt;="&amp;AC$1,'UX + Dev'!$AB$1:$DN$1,"&lt;="&amp;EOMONTH(AC$1,0),'UX + Dev'!$AB25:$DN25,"&lt;&gt;"))</f>
      </c>
      <c r="AD25">
        <f>IF($B25="",0,COUNTIFS('UX + Dev'!$AB$1:$DN$1,"&gt;="&amp;AD$1,'UX + Dev'!$AB$1:$DN$1,"&lt;="&amp;EOMONTH(AD$1,0),'UX + Dev'!$AB25:$DN25,"&lt;&gt;"))</f>
      </c>
      <c r="AE25">
        <f>IF($B25="",0,COUNTIFS('UX + Dev'!$AB$1:$DN$1,"&gt;="&amp;AE$1,'UX + Dev'!$AB$1:$DN$1,"&lt;="&amp;EOMONTH(AE$1,0),'UX + Dev'!$AB25:$DN25,"&lt;&gt;"))</f>
      </c>
      <c r="AF25">
        <f>IF($B25="",0,COUNTIFS('UX + Dev'!$AB$1:$DN$1,"&gt;="&amp;AF$1,'UX + Dev'!$AB$1:$DN$1,"&lt;="&amp;EOMONTH(AF$1,0),'UX + Dev'!$AB25:$DN25,"&lt;&gt;"))</f>
      </c>
      <c r="AG25">
        <f>IF($B25="",0,COUNTIFS('UX + Dev'!$AB$1:$DN$1,"&gt;="&amp;AG$1,'UX + Dev'!$AB$1:$DN$1,"&lt;="&amp;EOMONTH(AG$1,0),'UX + Dev'!$AB25:$DN25,"&lt;&gt;"))</f>
      </c>
      <c r="AH25">
        <f>IF($B25="",0,COUNTIFS('UX + Dev'!$AB$1:$DN$1,"&gt;="&amp;AH$1,'UX + Dev'!$AB$1:$DN$1,"&lt;="&amp;EOMONTH(AH$1,0),'UX + Dev'!$AB25:$DN25,"&lt;&gt;"))</f>
      </c>
      <c r="AI25">
        <f>IF($B25="",0,COUNTIFS('UX + Dev'!$AB$1:$DN$1,"&gt;="&amp;AI$1,'UX + Dev'!$AB$1:$DN$1,"&lt;="&amp;EOMONTH(AI$1,0),'UX + Dev'!$AB25:$DN25,"&lt;&gt;"))</f>
      </c>
      <c r="AJ25">
        <f>IF($B25="",0,COUNTIFS('UX + Dev'!$AB$1:$DN$1,"&gt;="&amp;AJ$1,'UX + Dev'!$AB$1:$DN$1,"&lt;="&amp;EOMONTH(AJ$1,0),'UX + Dev'!$AB25:$DN25,"&lt;&gt;"))</f>
      </c>
      <c r="AK25">
        <f>IF($B25="",0,COUNTIFS('UX + Dev'!$AB$1:$DN$1,"&gt;="&amp;AK$1,'UX + Dev'!$AB$1:$DN$1,"&lt;="&amp;EOMONTH(AK$1,0),'UX + Dev'!$AB25:$DN25,"&lt;&gt;"))</f>
      </c>
      <c r="AL25">
        <f>IF($B25="",0,COUNTIFS('UX + Dev'!$AB$1:$DN$1,"&gt;="&amp;AL$1,'UX + Dev'!$AB$1:$DN$1,"&lt;="&amp;EOMONTH(AL$1,0),'UX + Dev'!$AB25:$DN25,"&lt;&gt;"))</f>
      </c>
      <c r="AM25">
        <f>IF($B25="",0,COUNTIFS('UX + Dev'!$AB$1:$DN$1,"&gt;="&amp;AM$1,'UX + Dev'!$AB$1:$DN$1,"&lt;="&amp;EOMONTH(AM$1,0),'UX + Dev'!$AB25:$DN25,"&lt;&gt;"))</f>
      </c>
      <c r="AN25">
        <f>IF($B25="",0,COUNTIFS('UX + Dev'!$AB$1:$DN$1,"&gt;="&amp;AN$1,'UX + Dev'!$AB$1:$DN$1,"&lt;="&amp;EOMONTH(AN$1,0),'UX + Dev'!$AB25:$DN25,"&lt;&gt;"))</f>
      </c>
      <c r="AO25">
        <f>IF($B25="",0,COUNTIFS('UX + Dev'!$AB$1:$DN$1,"&gt;="&amp;AO$1,'UX + Dev'!$AB$1:$DN$1,"&lt;="&amp;EOMONTH(AO$1,0),'UX + Dev'!$AB25:$DN25,"&lt;&gt;"))</f>
      </c>
      <c r="AP25">
        <f>IF($B25="",0,COUNTIFS('UX + Dev'!$AB$1:$DN$1,"&gt;="&amp;AP$1,'UX + Dev'!$AB$1:$DN$1,"&lt;="&amp;EOMONTH(AP$1,0),'UX + Dev'!$AB25:$DN25,"&lt;&gt;"))</f>
      </c>
      <c r="AQ25">
        <f>IF($B25="",0,COUNTIFS('UX + Dev'!$AB$1:$DN$1,"&gt;="&amp;AQ$1,'UX + Dev'!$AB$1:$DN$1,"&lt;="&amp;EOMONTH(AQ$1,0),'UX + Dev'!$AB25:$DN25,"&lt;&gt;"))</f>
      </c>
      <c r="AR25">
        <f>IF($B25="",0,COUNTIFS('UX + Dev'!$AB$1:$DN$1,"&gt;="&amp;AR$1,'UX + Dev'!$AB$1:$DN$1,"&lt;="&amp;EOMONTH(AR$1,0),'UX + Dev'!$AB25:$DN25,"&lt;&gt;"))</f>
      </c>
      <c r="AS25">
        <f>IF($B25="",0,COUNTIFS('UX + Dev'!$AB$1:$DN$1,"&gt;="&amp;AS$1,'UX + Dev'!$AB$1:$DN$1,"&lt;="&amp;EOMONTH(AS$1,0),'UX + Dev'!$AB25:$DN25,"&lt;&gt;"))</f>
      </c>
      <c r="AT25">
        <f>IF($B25="",0,COUNTIFS('UX + Dev'!$AB$1:$DN$1,"&gt;="&amp;AT$1,'UX + Dev'!$AB$1:$DN$1,"&lt;="&amp;EOMONTH(AT$1,0),'UX + Dev'!$AB25:$DN25,"&lt;&gt;"))</f>
      </c>
      <c r="AU25">
        <f>IF($B25="",0,COUNTIFS('UX + Dev'!$AB$1:$DN$1,"&gt;="&amp;AU$1,'UX + Dev'!$AB$1:$DN$1,"&lt;="&amp;EOMONTH(AU$1,0),'UX + Dev'!$AB25:$DN25,"&lt;&gt;"))</f>
      </c>
      <c r="AV25">
        <f>IF($B25="",0,COUNTIFS('UX + Dev'!$AB$1:$DN$1,"&gt;="&amp;AV$1,'UX + Dev'!$AB$1:$DN$1,"&lt;="&amp;EOMONTH(AV$1,0),'UX + Dev'!$AB25:$DN25,"&lt;&gt;"))</f>
      </c>
      <c r="AW25">
        <f>IF($B25="",0,COUNTIFS('UX + Dev'!$AB$1:$DN$1,"&gt;="&amp;AW$1,'UX + Dev'!$AB$1:$DN$1,"&lt;="&amp;EOMONTH(AW$1,0),'UX + Dev'!$AB25:$DN25,"&lt;&gt;"))</f>
      </c>
      <c r="AX25">
        <f>IF($B25="",0,COUNTIFS('UX + Dev'!$AB$1:$DN$1,"&gt;="&amp;AX$1,'UX + Dev'!$AB$1:$DN$1,"&lt;="&amp;EOMONTH(AX$1,0),'UX + Dev'!$AB25:$DN25,"&lt;&gt;"))</f>
      </c>
      <c r="BB25" s="308">
        <f>IF($B25="","",IF(COUNTA('UX + Dev'!U25)&gt;0,DATE(YEAR('UX + Dev'!U25),MONTH('UX + Dev'!U25),1),IF(COUNTA('UX + Dev'!V25)&gt;0,DATE(YEAR('UX + Dev'!V25),MONTH('UX + Dev'!V25),1),"")))</f>
      </c>
      <c r="BC25" s="308">
        <f>IF($B25="","",IF(COUNTA('UX + Dev'!V25)&gt;0,EOMONTH('UX + Dev'!V25,0),IF(COUNTA('UX + Dev'!U25)&gt;0,EOMONTH('UX + Dev'!U25,0),"")))</f>
      </c>
    </row>
    <row r="26">
      <c r="A26" s="305" t="n">
        <v>26</v>
      </c>
      <c r="B26" s="305">
        <f>IF(TRIM('UX + Dev'!E26)="","",TRIM('UX + Dev'!E26))</f>
      </c>
      <c r="C26" s="305">
        <f>IF($B26="","",'UX + Dev'!B26)</f>
      </c>
      <c r="D26" s="305">
        <f>IF($B26="","",IF(TRIM('UX + Dev'!C26)="","(No theme assigned)",TRIM('UX + Dev'!C26)))</f>
      </c>
      <c r="E26" s="305">
        <f>IF($B26="","",TRIM('UX + Dev'!F26))</f>
      </c>
      <c r="F26" s="305">
        <f>IF($B26="","",'UX + Dev'!G26)</f>
      </c>
      <c r="G26" s="306">
        <f t="array" ref="G26">IF($B26="","",IF($T26=0,"",IFERROR(MIN(IF('UX + Dev'!$AB26:$DN26&lt;&gt;"",'UX + Dev'!$AB$1:$DN$1)),"")))</f>
      </c>
      <c r="H26" s="306">
        <f t="array" ref="H26">IF($B26="","",IF($T26=0,"",IFERROR(MAX(IF('UX + Dev'!$AB26:$DN26&lt;&gt;"",'UX + Dev'!$AB$1:$DN$1)),"")))</f>
      </c>
      <c r="I26" s="307">
        <f>IF($R26&lt;&gt;"",$R26,IF($S26&lt;&gt;"",$S26,""))</f>
      </c>
      <c r="J26" s="307">
        <f>IF($S26&lt;&gt;"",EOMONTH($S26,0),IF($R26&lt;&gt;"",EOMONTH($R26,0),""))</f>
      </c>
      <c r="K26" s="305">
        <f>IF($B26="","",IF(COUNTA('UX + Dev'!AA26)=0,"",TRIM('UX + Dev'!AA26)))</f>
      </c>
      <c r="L26" s="305">
        <f>IF($B26="","",IFERROR(MATCH($D26,Control!$E$4:$E$30,0),99))</f>
      </c>
      <c r="M26" s="305">
        <f>IF($B26="","",IFERROR(MATCH($F26,Control!$B$4:$B$30,0),99))</f>
      </c>
      <c r="N26" s="305">
        <f>IF($V26&lt;&gt;1,"",IF('Roadmap (Auto)'!$D$3="Status, then Theme",$M26*1000000+$L26*10000+ROW(),IF('Roadmap (Auto)'!$D$3="Dev start (earliest)",IF($I26="",99999999,$I26)*10000+ROW(),IF('Roadmap (Auto)'!$D$3="UX start (earliest)",IF($G26="",99999999,$G26)*10000+ROW(),IF('Roadmap (Auto)'!$D$3="Deliverable A-Z",$W26*10000+ROW(),$L26*1000000+$M26*10000+ROW())))))</f>
      </c>
      <c r="O26" s="305">
        <f>IF($N26="","",COUNTIF($N$2:$N$151,"&lt;"&amp;$N26)+1)</f>
      </c>
      <c r="P26" s="305">
        <f>IF($B26="","",IF(COUNTA('UX + Dev'!X26)=0,"",'UX + Dev'!X26))</f>
      </c>
      <c r="Q26" s="305">
        <f>IF($B26="","",IF(COUNTA('UX + Dev'!Y26)=0,"",'UX + Dev'!Y26))</f>
      </c>
      <c r="R26" s="307">
        <f>IF($P26="","",IF(ISNUMBER($P26),DATE(YEAR($P26),MONTH($P26),1),IFERROR(DATE(IFERROR(VALUE(RIGHT(TRIM($P26),4)),YEAR(TODAY())),(SEARCH(LEFT(TRIM($P26),3),"JanFebMarAprMayJunJulAugSepOctNovDec")+2)/3,1),"")))</f>
      </c>
      <c r="S26" s="307">
        <f>IF($Q26="","",IF(ISNUMBER($Q26),DATE(YEAR($Q26),MONTH($Q26),1),IFERROR(DATE(IFERROR(VALUE(RIGHT(TRIM($Q26),4)),YEAR(TODAY())),(SEARCH(LEFT(TRIM($Q26),3),"JanFebMarAprMayJunJulAugSepOctNovDec")+2)/3,1),"")))</f>
      </c>
      <c r="T26" s="305">
        <f>IF($B26="","",COUNTA('UX + Dev'!$AB26:$DN26))</f>
      </c>
      <c r="U26" s="305">
        <f>IF($B26="","",IFERROR(MATCH($D26,Control!$E$4:$E$30,0)+3,0))</f>
      </c>
      <c r="V26" s="305">
        <f>IF($B26="","",IF(AND(OR('Roadmap (Auto)'!$A$3="",'Roadmap (Auto)'!$A$3="(All)",ISNUMBER(SEARCH('Roadmap (Auto)'!$A$3,$C26&amp;""))),OR('Roadmap (Auto)'!$B$3="",'Roadmap (Auto)'!$B$3="(All)",$D26='Roadmap (Auto)'!$B$3,$X26='Roadmap (Auto)'!$B$3),OR('Roadmap (Auto)'!$C$3="",'Roadmap (Auto)'!$C$3="(All)",$F26='Roadmap (Auto)'!$C$3)),1,0))</f>
      </c>
      <c r="W26" s="305">
        <f>IF($B26="","",COUNTIF($Y$2:$Y$151,"&lt;"&amp;$Y26)+1)</f>
      </c>
      <c r="X26" s="305">
        <f>IF($B26="","",IF(TRIM('UX + Dev'!D26)="","",TRIM('UX + Dev'!D26)))</f>
      </c>
      <c r="Y26" s="305">
        <f>IF($B26="","",SUBSTITUTE(SUBSTITUTE(SUBSTITUTE(SUBSTITUTE(SUBSTITUTE(SUBSTITUTE(SUBSTITUTE(SUBSTITUTE(SUBSTITUTE(SUBSTITUTE(SUBSTITUTE(SUBSTITUTE(SUBSTITUTE(SUBSTITUTE(SUBSTITUTE(SUBSTITUTE(SUBSTITUTE(SUBSTITUTE(SUBSTITUTE(SUBSTITUTE(SUBSTITUTE(SUBSTITUTE(SUBSTITUTE(SUBSTITUTE(SUBSTITUTE(UPPER($B26)," ",""),"-",""),":",""),"/",""),"&amp;",""),"|",""),"'",""),"’",""),"&lt;",""),"&gt;",""),",",""),"$",""),".",""),"(",""),")",""),"*",""),"?",""),"~",""),"_",""),"+",""),"#",""),";",""),"!",""),"%",""),"@",""))</f>
      </c>
      <c r="AA26">
        <f>IF($B26="",0,COUNTIFS('UX + Dev'!$AB$1:$DN$1,"&gt;="&amp;AA$1,'UX + Dev'!$AB$1:$DN$1,"&lt;="&amp;EOMONTH(AA$1,0),'UX + Dev'!$AB26:$DN26,"&lt;&gt;"))</f>
      </c>
      <c r="AB26">
        <f>IF($B26="",0,COUNTIFS('UX + Dev'!$AB$1:$DN$1,"&gt;="&amp;AB$1,'UX + Dev'!$AB$1:$DN$1,"&lt;="&amp;EOMONTH(AB$1,0),'UX + Dev'!$AB26:$DN26,"&lt;&gt;"))</f>
      </c>
      <c r="AC26">
        <f>IF($B26="",0,COUNTIFS('UX + Dev'!$AB$1:$DN$1,"&gt;="&amp;AC$1,'UX + Dev'!$AB$1:$DN$1,"&lt;="&amp;EOMONTH(AC$1,0),'UX + Dev'!$AB26:$DN26,"&lt;&gt;"))</f>
      </c>
      <c r="AD26">
        <f>IF($B26="",0,COUNTIFS('UX + Dev'!$AB$1:$DN$1,"&gt;="&amp;AD$1,'UX + Dev'!$AB$1:$DN$1,"&lt;="&amp;EOMONTH(AD$1,0),'UX + Dev'!$AB26:$DN26,"&lt;&gt;"))</f>
      </c>
      <c r="AE26">
        <f>IF($B26="",0,COUNTIFS('UX + Dev'!$AB$1:$DN$1,"&gt;="&amp;AE$1,'UX + Dev'!$AB$1:$DN$1,"&lt;="&amp;EOMONTH(AE$1,0),'UX + Dev'!$AB26:$DN26,"&lt;&gt;"))</f>
      </c>
      <c r="AF26">
        <f>IF($B26="",0,COUNTIFS('UX + Dev'!$AB$1:$DN$1,"&gt;="&amp;AF$1,'UX + Dev'!$AB$1:$DN$1,"&lt;="&amp;EOMONTH(AF$1,0),'UX + Dev'!$AB26:$DN26,"&lt;&gt;"))</f>
      </c>
      <c r="AG26">
        <f>IF($B26="",0,COUNTIFS('UX + Dev'!$AB$1:$DN$1,"&gt;="&amp;AG$1,'UX + Dev'!$AB$1:$DN$1,"&lt;="&amp;EOMONTH(AG$1,0),'UX + Dev'!$AB26:$DN26,"&lt;&gt;"))</f>
      </c>
      <c r="AH26">
        <f>IF($B26="",0,COUNTIFS('UX + Dev'!$AB$1:$DN$1,"&gt;="&amp;AH$1,'UX + Dev'!$AB$1:$DN$1,"&lt;="&amp;EOMONTH(AH$1,0),'UX + Dev'!$AB26:$DN26,"&lt;&gt;"))</f>
      </c>
      <c r="AI26">
        <f>IF($B26="",0,COUNTIFS('UX + Dev'!$AB$1:$DN$1,"&gt;="&amp;AI$1,'UX + Dev'!$AB$1:$DN$1,"&lt;="&amp;EOMONTH(AI$1,0),'UX + Dev'!$AB26:$DN26,"&lt;&gt;"))</f>
      </c>
      <c r="AJ26">
        <f>IF($B26="",0,COUNTIFS('UX + Dev'!$AB$1:$DN$1,"&gt;="&amp;AJ$1,'UX + Dev'!$AB$1:$DN$1,"&lt;="&amp;EOMONTH(AJ$1,0),'UX + Dev'!$AB26:$DN26,"&lt;&gt;"))</f>
      </c>
      <c r="AK26">
        <f>IF($B26="",0,COUNTIFS('UX + Dev'!$AB$1:$DN$1,"&gt;="&amp;AK$1,'UX + Dev'!$AB$1:$DN$1,"&lt;="&amp;EOMONTH(AK$1,0),'UX + Dev'!$AB26:$DN26,"&lt;&gt;"))</f>
      </c>
      <c r="AL26">
        <f>IF($B26="",0,COUNTIFS('UX + Dev'!$AB$1:$DN$1,"&gt;="&amp;AL$1,'UX + Dev'!$AB$1:$DN$1,"&lt;="&amp;EOMONTH(AL$1,0),'UX + Dev'!$AB26:$DN26,"&lt;&gt;"))</f>
      </c>
      <c r="AM26">
        <f>IF($B26="",0,COUNTIFS('UX + Dev'!$AB$1:$DN$1,"&gt;="&amp;AM$1,'UX + Dev'!$AB$1:$DN$1,"&lt;="&amp;EOMONTH(AM$1,0),'UX + Dev'!$AB26:$DN26,"&lt;&gt;"))</f>
      </c>
      <c r="AN26">
        <f>IF($B26="",0,COUNTIFS('UX + Dev'!$AB$1:$DN$1,"&gt;="&amp;AN$1,'UX + Dev'!$AB$1:$DN$1,"&lt;="&amp;EOMONTH(AN$1,0),'UX + Dev'!$AB26:$DN26,"&lt;&gt;"))</f>
      </c>
      <c r="AO26">
        <f>IF($B26="",0,COUNTIFS('UX + Dev'!$AB$1:$DN$1,"&gt;="&amp;AO$1,'UX + Dev'!$AB$1:$DN$1,"&lt;="&amp;EOMONTH(AO$1,0),'UX + Dev'!$AB26:$DN26,"&lt;&gt;"))</f>
      </c>
      <c r="AP26">
        <f>IF($B26="",0,COUNTIFS('UX + Dev'!$AB$1:$DN$1,"&gt;="&amp;AP$1,'UX + Dev'!$AB$1:$DN$1,"&lt;="&amp;EOMONTH(AP$1,0),'UX + Dev'!$AB26:$DN26,"&lt;&gt;"))</f>
      </c>
      <c r="AQ26">
        <f>IF($B26="",0,COUNTIFS('UX + Dev'!$AB$1:$DN$1,"&gt;="&amp;AQ$1,'UX + Dev'!$AB$1:$DN$1,"&lt;="&amp;EOMONTH(AQ$1,0),'UX + Dev'!$AB26:$DN26,"&lt;&gt;"))</f>
      </c>
      <c r="AR26">
        <f>IF($B26="",0,COUNTIFS('UX + Dev'!$AB$1:$DN$1,"&gt;="&amp;AR$1,'UX + Dev'!$AB$1:$DN$1,"&lt;="&amp;EOMONTH(AR$1,0),'UX + Dev'!$AB26:$DN26,"&lt;&gt;"))</f>
      </c>
      <c r="AS26">
        <f>IF($B26="",0,COUNTIFS('UX + Dev'!$AB$1:$DN$1,"&gt;="&amp;AS$1,'UX + Dev'!$AB$1:$DN$1,"&lt;="&amp;EOMONTH(AS$1,0),'UX + Dev'!$AB26:$DN26,"&lt;&gt;"))</f>
      </c>
      <c r="AT26">
        <f>IF($B26="",0,COUNTIFS('UX + Dev'!$AB$1:$DN$1,"&gt;="&amp;AT$1,'UX + Dev'!$AB$1:$DN$1,"&lt;="&amp;EOMONTH(AT$1,0),'UX + Dev'!$AB26:$DN26,"&lt;&gt;"))</f>
      </c>
      <c r="AU26">
        <f>IF($B26="",0,COUNTIFS('UX + Dev'!$AB$1:$DN$1,"&gt;="&amp;AU$1,'UX + Dev'!$AB$1:$DN$1,"&lt;="&amp;EOMONTH(AU$1,0),'UX + Dev'!$AB26:$DN26,"&lt;&gt;"))</f>
      </c>
      <c r="AV26">
        <f>IF($B26="",0,COUNTIFS('UX + Dev'!$AB$1:$DN$1,"&gt;="&amp;AV$1,'UX + Dev'!$AB$1:$DN$1,"&lt;="&amp;EOMONTH(AV$1,0),'UX + Dev'!$AB26:$DN26,"&lt;&gt;"))</f>
      </c>
      <c r="AW26">
        <f>IF($B26="",0,COUNTIFS('UX + Dev'!$AB$1:$DN$1,"&gt;="&amp;AW$1,'UX + Dev'!$AB$1:$DN$1,"&lt;="&amp;EOMONTH(AW$1,0),'UX + Dev'!$AB26:$DN26,"&lt;&gt;"))</f>
      </c>
      <c r="AX26">
        <f>IF($B26="",0,COUNTIFS('UX + Dev'!$AB$1:$DN$1,"&gt;="&amp;AX$1,'UX + Dev'!$AB$1:$DN$1,"&lt;="&amp;EOMONTH(AX$1,0),'UX + Dev'!$AB26:$DN26,"&lt;&gt;"))</f>
      </c>
      <c r="BB26" s="308">
        <f>IF($B26="","",IF(COUNTA('UX + Dev'!U26)&gt;0,DATE(YEAR('UX + Dev'!U26),MONTH('UX + Dev'!U26),1),IF(COUNTA('UX + Dev'!V26)&gt;0,DATE(YEAR('UX + Dev'!V26),MONTH('UX + Dev'!V26),1),"")))</f>
      </c>
      <c r="BC26" s="308">
        <f>IF($B26="","",IF(COUNTA('UX + Dev'!V26)&gt;0,EOMONTH('UX + Dev'!V26,0),IF(COUNTA('UX + Dev'!U26)&gt;0,EOMONTH('UX + Dev'!U26,0),"")))</f>
      </c>
    </row>
    <row r="27">
      <c r="A27" s="305" t="n">
        <v>27</v>
      </c>
      <c r="B27" s="305">
        <f>IF(TRIM('UX + Dev'!E27)="","",TRIM('UX + Dev'!E27))</f>
      </c>
      <c r="C27" s="305">
        <f>IF($B27="","",'UX + Dev'!B27)</f>
      </c>
      <c r="D27" s="305">
        <f>IF($B27="","",IF(TRIM('UX + Dev'!C27)="","(No theme assigned)",TRIM('UX + Dev'!C27)))</f>
      </c>
      <c r="E27" s="305">
        <f>IF($B27="","",TRIM('UX + Dev'!F27))</f>
      </c>
      <c r="F27" s="305">
        <f>IF($B27="","",'UX + Dev'!G27)</f>
      </c>
      <c r="G27" s="306">
        <f t="array" ref="G27">IF($B27="","",IF($T27=0,"",IFERROR(MIN(IF('UX + Dev'!$AB27:$DN27&lt;&gt;"",'UX + Dev'!$AB$1:$DN$1)),"")))</f>
      </c>
      <c r="H27" s="306">
        <f t="array" ref="H27">IF($B27="","",IF($T27=0,"",IFERROR(MAX(IF('UX + Dev'!$AB27:$DN27&lt;&gt;"",'UX + Dev'!$AB$1:$DN$1)),"")))</f>
      </c>
      <c r="I27" s="307">
        <f>IF($R27&lt;&gt;"",$R27,IF($S27&lt;&gt;"",$S27,""))</f>
      </c>
      <c r="J27" s="307">
        <f>IF($S27&lt;&gt;"",EOMONTH($S27,0),IF($R27&lt;&gt;"",EOMONTH($R27,0),""))</f>
      </c>
      <c r="K27" s="305">
        <f>IF($B27="","",IF(COUNTA('UX + Dev'!AA27)=0,"",TRIM('UX + Dev'!AA27)))</f>
      </c>
      <c r="L27" s="305">
        <f>IF($B27="","",IFERROR(MATCH($D27,Control!$E$4:$E$30,0),99))</f>
      </c>
      <c r="M27" s="305">
        <f>IF($B27="","",IFERROR(MATCH($F27,Control!$B$4:$B$30,0),99))</f>
      </c>
      <c r="N27" s="305">
        <f>IF($V27&lt;&gt;1,"",IF('Roadmap (Auto)'!$D$3="Status, then Theme",$M27*1000000+$L27*10000+ROW(),IF('Roadmap (Auto)'!$D$3="Dev start (earliest)",IF($I27="",99999999,$I27)*10000+ROW(),IF('Roadmap (Auto)'!$D$3="UX start (earliest)",IF($G27="",99999999,$G27)*10000+ROW(),IF('Roadmap (Auto)'!$D$3="Deliverable A-Z",$W27*10000+ROW(),$L27*1000000+$M27*10000+ROW())))))</f>
      </c>
      <c r="O27" s="305">
        <f>IF($N27="","",COUNTIF($N$2:$N$151,"&lt;"&amp;$N27)+1)</f>
      </c>
      <c r="P27" s="305">
        <f>IF($B27="","",IF(COUNTA('UX + Dev'!X27)=0,"",'UX + Dev'!X27))</f>
      </c>
      <c r="Q27" s="305">
        <f>IF($B27="","",IF(COUNTA('UX + Dev'!Y27)=0,"",'UX + Dev'!Y27))</f>
      </c>
      <c r="R27" s="307">
        <f>IF($P27="","",IF(ISNUMBER($P27),DATE(YEAR($P27),MONTH($P27),1),IFERROR(DATE(IFERROR(VALUE(RIGHT(TRIM($P27),4)),YEAR(TODAY())),(SEARCH(LEFT(TRIM($P27),3),"JanFebMarAprMayJunJulAugSepOctNovDec")+2)/3,1),"")))</f>
      </c>
      <c r="S27" s="307">
        <f>IF($Q27="","",IF(ISNUMBER($Q27),DATE(YEAR($Q27),MONTH($Q27),1),IFERROR(DATE(IFERROR(VALUE(RIGHT(TRIM($Q27),4)),YEAR(TODAY())),(SEARCH(LEFT(TRIM($Q27),3),"JanFebMarAprMayJunJulAugSepOctNovDec")+2)/3,1),"")))</f>
      </c>
      <c r="T27" s="305">
        <f>IF($B27="","",COUNTA('UX + Dev'!$AB27:$DN27))</f>
      </c>
      <c r="U27" s="305">
        <f>IF($B27="","",IFERROR(MATCH($D27,Control!$E$4:$E$30,0)+3,0))</f>
      </c>
      <c r="V27" s="305">
        <f>IF($B27="","",IF(AND(OR('Roadmap (Auto)'!$A$3="",'Roadmap (Auto)'!$A$3="(All)",ISNUMBER(SEARCH('Roadmap (Auto)'!$A$3,$C27&amp;""))),OR('Roadmap (Auto)'!$B$3="",'Roadmap (Auto)'!$B$3="(All)",$D27='Roadmap (Auto)'!$B$3,$X27='Roadmap (Auto)'!$B$3),OR('Roadmap (Auto)'!$C$3="",'Roadmap (Auto)'!$C$3="(All)",$F27='Roadmap (Auto)'!$C$3)),1,0))</f>
      </c>
      <c r="W27" s="305">
        <f>IF($B27="","",COUNTIF($Y$2:$Y$151,"&lt;"&amp;$Y27)+1)</f>
      </c>
      <c r="X27" s="305">
        <f>IF($B27="","",IF(TRIM('UX + Dev'!D27)="","",TRIM('UX + Dev'!D27)))</f>
      </c>
      <c r="Y27" s="305">
        <f>IF($B27="","",SUBSTITUTE(SUBSTITUTE(SUBSTITUTE(SUBSTITUTE(SUBSTITUTE(SUBSTITUTE(SUBSTITUTE(SUBSTITUTE(SUBSTITUTE(SUBSTITUTE(SUBSTITUTE(SUBSTITUTE(SUBSTITUTE(SUBSTITUTE(SUBSTITUTE(SUBSTITUTE(SUBSTITUTE(SUBSTITUTE(SUBSTITUTE(SUBSTITUTE(SUBSTITUTE(SUBSTITUTE(SUBSTITUTE(SUBSTITUTE(SUBSTITUTE(UPPER($B27)," ",""),"-",""),":",""),"/",""),"&amp;",""),"|",""),"'",""),"’",""),"&lt;",""),"&gt;",""),",",""),"$",""),".",""),"(",""),")",""),"*",""),"?",""),"~",""),"_",""),"+",""),"#",""),";",""),"!",""),"%",""),"@",""))</f>
      </c>
      <c r="AA27">
        <f>IF($B27="",0,COUNTIFS('UX + Dev'!$AB$1:$DN$1,"&gt;="&amp;AA$1,'UX + Dev'!$AB$1:$DN$1,"&lt;="&amp;EOMONTH(AA$1,0),'UX + Dev'!$AB27:$DN27,"&lt;&gt;"))</f>
      </c>
      <c r="AB27">
        <f>IF($B27="",0,COUNTIFS('UX + Dev'!$AB$1:$DN$1,"&gt;="&amp;AB$1,'UX + Dev'!$AB$1:$DN$1,"&lt;="&amp;EOMONTH(AB$1,0),'UX + Dev'!$AB27:$DN27,"&lt;&gt;"))</f>
      </c>
      <c r="AC27">
        <f>IF($B27="",0,COUNTIFS('UX + Dev'!$AB$1:$DN$1,"&gt;="&amp;AC$1,'UX + Dev'!$AB$1:$DN$1,"&lt;="&amp;EOMONTH(AC$1,0),'UX + Dev'!$AB27:$DN27,"&lt;&gt;"))</f>
      </c>
      <c r="AD27">
        <f>IF($B27="",0,COUNTIFS('UX + Dev'!$AB$1:$DN$1,"&gt;="&amp;AD$1,'UX + Dev'!$AB$1:$DN$1,"&lt;="&amp;EOMONTH(AD$1,0),'UX + Dev'!$AB27:$DN27,"&lt;&gt;"))</f>
      </c>
      <c r="AE27">
        <f>IF($B27="",0,COUNTIFS('UX + Dev'!$AB$1:$DN$1,"&gt;="&amp;AE$1,'UX + Dev'!$AB$1:$DN$1,"&lt;="&amp;EOMONTH(AE$1,0),'UX + Dev'!$AB27:$DN27,"&lt;&gt;"))</f>
      </c>
      <c r="AF27">
        <f>IF($B27="",0,COUNTIFS('UX + Dev'!$AB$1:$DN$1,"&gt;="&amp;AF$1,'UX + Dev'!$AB$1:$DN$1,"&lt;="&amp;EOMONTH(AF$1,0),'UX + Dev'!$AB27:$DN27,"&lt;&gt;"))</f>
      </c>
      <c r="AG27">
        <f>IF($B27="",0,COUNTIFS('UX + Dev'!$AB$1:$DN$1,"&gt;="&amp;AG$1,'UX + Dev'!$AB$1:$DN$1,"&lt;="&amp;EOMONTH(AG$1,0),'UX + Dev'!$AB27:$DN27,"&lt;&gt;"))</f>
      </c>
      <c r="AH27">
        <f>IF($B27="",0,COUNTIFS('UX + Dev'!$AB$1:$DN$1,"&gt;="&amp;AH$1,'UX + Dev'!$AB$1:$DN$1,"&lt;="&amp;EOMONTH(AH$1,0),'UX + Dev'!$AB27:$DN27,"&lt;&gt;"))</f>
      </c>
      <c r="AI27">
        <f>IF($B27="",0,COUNTIFS('UX + Dev'!$AB$1:$DN$1,"&gt;="&amp;AI$1,'UX + Dev'!$AB$1:$DN$1,"&lt;="&amp;EOMONTH(AI$1,0),'UX + Dev'!$AB27:$DN27,"&lt;&gt;"))</f>
      </c>
      <c r="AJ27">
        <f>IF($B27="",0,COUNTIFS('UX + Dev'!$AB$1:$DN$1,"&gt;="&amp;AJ$1,'UX + Dev'!$AB$1:$DN$1,"&lt;="&amp;EOMONTH(AJ$1,0),'UX + Dev'!$AB27:$DN27,"&lt;&gt;"))</f>
      </c>
      <c r="AK27">
        <f>IF($B27="",0,COUNTIFS('UX + Dev'!$AB$1:$DN$1,"&gt;="&amp;AK$1,'UX + Dev'!$AB$1:$DN$1,"&lt;="&amp;EOMONTH(AK$1,0),'UX + Dev'!$AB27:$DN27,"&lt;&gt;"))</f>
      </c>
      <c r="AL27">
        <f>IF($B27="",0,COUNTIFS('UX + Dev'!$AB$1:$DN$1,"&gt;="&amp;AL$1,'UX + Dev'!$AB$1:$DN$1,"&lt;="&amp;EOMONTH(AL$1,0),'UX + Dev'!$AB27:$DN27,"&lt;&gt;"))</f>
      </c>
      <c r="AM27">
        <f>IF($B27="",0,COUNTIFS('UX + Dev'!$AB$1:$DN$1,"&gt;="&amp;AM$1,'UX + Dev'!$AB$1:$DN$1,"&lt;="&amp;EOMONTH(AM$1,0),'UX + Dev'!$AB27:$DN27,"&lt;&gt;"))</f>
      </c>
      <c r="AN27">
        <f>IF($B27="",0,COUNTIFS('UX + Dev'!$AB$1:$DN$1,"&gt;="&amp;AN$1,'UX + Dev'!$AB$1:$DN$1,"&lt;="&amp;EOMONTH(AN$1,0),'UX + Dev'!$AB27:$DN27,"&lt;&gt;"))</f>
      </c>
      <c r="AO27">
        <f>IF($B27="",0,COUNTIFS('UX + Dev'!$AB$1:$DN$1,"&gt;="&amp;AO$1,'UX + Dev'!$AB$1:$DN$1,"&lt;="&amp;EOMONTH(AO$1,0),'UX + Dev'!$AB27:$DN27,"&lt;&gt;"))</f>
      </c>
      <c r="AP27">
        <f>IF($B27="",0,COUNTIFS('UX + Dev'!$AB$1:$DN$1,"&gt;="&amp;AP$1,'UX + Dev'!$AB$1:$DN$1,"&lt;="&amp;EOMONTH(AP$1,0),'UX + Dev'!$AB27:$DN27,"&lt;&gt;"))</f>
      </c>
      <c r="AQ27">
        <f>IF($B27="",0,COUNTIFS('UX + Dev'!$AB$1:$DN$1,"&gt;="&amp;AQ$1,'UX + Dev'!$AB$1:$DN$1,"&lt;="&amp;EOMONTH(AQ$1,0),'UX + Dev'!$AB27:$DN27,"&lt;&gt;"))</f>
      </c>
      <c r="AR27">
        <f>IF($B27="",0,COUNTIFS('UX + Dev'!$AB$1:$DN$1,"&gt;="&amp;AR$1,'UX + Dev'!$AB$1:$DN$1,"&lt;="&amp;EOMONTH(AR$1,0),'UX + Dev'!$AB27:$DN27,"&lt;&gt;"))</f>
      </c>
      <c r="AS27">
        <f>IF($B27="",0,COUNTIFS('UX + Dev'!$AB$1:$DN$1,"&gt;="&amp;AS$1,'UX + Dev'!$AB$1:$DN$1,"&lt;="&amp;EOMONTH(AS$1,0),'UX + Dev'!$AB27:$DN27,"&lt;&gt;"))</f>
      </c>
      <c r="AT27">
        <f>IF($B27="",0,COUNTIFS('UX + Dev'!$AB$1:$DN$1,"&gt;="&amp;AT$1,'UX + Dev'!$AB$1:$DN$1,"&lt;="&amp;EOMONTH(AT$1,0),'UX + Dev'!$AB27:$DN27,"&lt;&gt;"))</f>
      </c>
      <c r="AU27">
        <f>IF($B27="",0,COUNTIFS('UX + Dev'!$AB$1:$DN$1,"&gt;="&amp;AU$1,'UX + Dev'!$AB$1:$DN$1,"&lt;="&amp;EOMONTH(AU$1,0),'UX + Dev'!$AB27:$DN27,"&lt;&gt;"))</f>
      </c>
      <c r="AV27">
        <f>IF($B27="",0,COUNTIFS('UX + Dev'!$AB$1:$DN$1,"&gt;="&amp;AV$1,'UX + Dev'!$AB$1:$DN$1,"&lt;="&amp;EOMONTH(AV$1,0),'UX + Dev'!$AB27:$DN27,"&lt;&gt;"))</f>
      </c>
      <c r="AW27">
        <f>IF($B27="",0,COUNTIFS('UX + Dev'!$AB$1:$DN$1,"&gt;="&amp;AW$1,'UX + Dev'!$AB$1:$DN$1,"&lt;="&amp;EOMONTH(AW$1,0),'UX + Dev'!$AB27:$DN27,"&lt;&gt;"))</f>
      </c>
      <c r="AX27">
        <f>IF($B27="",0,COUNTIFS('UX + Dev'!$AB$1:$DN$1,"&gt;="&amp;AX$1,'UX + Dev'!$AB$1:$DN$1,"&lt;="&amp;EOMONTH(AX$1,0),'UX + Dev'!$AB27:$DN27,"&lt;&gt;"))</f>
      </c>
      <c r="BB27" s="308">
        <f>IF($B27="","",IF(COUNTA('UX + Dev'!U27)&gt;0,DATE(YEAR('UX + Dev'!U27),MONTH('UX + Dev'!U27),1),IF(COUNTA('UX + Dev'!V27)&gt;0,DATE(YEAR('UX + Dev'!V27),MONTH('UX + Dev'!V27),1),"")))</f>
      </c>
      <c r="BC27" s="308">
        <f>IF($B27="","",IF(COUNTA('UX + Dev'!V27)&gt;0,EOMONTH('UX + Dev'!V27,0),IF(COUNTA('UX + Dev'!U27)&gt;0,EOMONTH('UX + Dev'!U27,0),"")))</f>
      </c>
    </row>
    <row r="28">
      <c r="A28" s="305" t="n">
        <v>28</v>
      </c>
      <c r="B28" s="305">
        <f>IF(TRIM('UX + Dev'!E28)="","",TRIM('UX + Dev'!E28))</f>
      </c>
      <c r="C28" s="305">
        <f>IF($B28="","",'UX + Dev'!B28)</f>
      </c>
      <c r="D28" s="305">
        <f>IF($B28="","",IF(TRIM('UX + Dev'!C28)="","(No theme assigned)",TRIM('UX + Dev'!C28)))</f>
      </c>
      <c r="E28" s="305">
        <f>IF($B28="","",TRIM('UX + Dev'!F28))</f>
      </c>
      <c r="F28" s="305">
        <f>IF($B28="","",'UX + Dev'!G28)</f>
      </c>
      <c r="G28" s="306">
        <f t="array" ref="G28">IF($B28="","",IF($T28=0,"",IFERROR(MIN(IF('UX + Dev'!$AB28:$DN28&lt;&gt;"",'UX + Dev'!$AB$1:$DN$1)),"")))</f>
      </c>
      <c r="H28" s="306">
        <f t="array" ref="H28">IF($B28="","",IF($T28=0,"",IFERROR(MAX(IF('UX + Dev'!$AB28:$DN28&lt;&gt;"",'UX + Dev'!$AB$1:$DN$1)),"")))</f>
      </c>
      <c r="I28" s="307">
        <f>IF($R28&lt;&gt;"",$R28,IF($S28&lt;&gt;"",$S28,""))</f>
      </c>
      <c r="J28" s="307">
        <f>IF($S28&lt;&gt;"",EOMONTH($S28,0),IF($R28&lt;&gt;"",EOMONTH($R28,0),""))</f>
      </c>
      <c r="K28" s="305">
        <f>IF($B28="","",IF(COUNTA('UX + Dev'!AA28)=0,"",TRIM('UX + Dev'!AA28)))</f>
      </c>
      <c r="L28" s="305">
        <f>IF($B28="","",IFERROR(MATCH($D28,Control!$E$4:$E$30,0),99))</f>
      </c>
      <c r="M28" s="305">
        <f>IF($B28="","",IFERROR(MATCH($F28,Control!$B$4:$B$30,0),99))</f>
      </c>
      <c r="N28" s="305">
        <f>IF($V28&lt;&gt;1,"",IF('Roadmap (Auto)'!$D$3="Status, then Theme",$M28*1000000+$L28*10000+ROW(),IF('Roadmap (Auto)'!$D$3="Dev start (earliest)",IF($I28="",99999999,$I28)*10000+ROW(),IF('Roadmap (Auto)'!$D$3="UX start (earliest)",IF($G28="",99999999,$G28)*10000+ROW(),IF('Roadmap (Auto)'!$D$3="Deliverable A-Z",$W28*10000+ROW(),$L28*1000000+$M28*10000+ROW())))))</f>
      </c>
      <c r="O28" s="305">
        <f>IF($N28="","",COUNTIF($N$2:$N$151,"&lt;"&amp;$N28)+1)</f>
      </c>
      <c r="P28" s="305">
        <f>IF($B28="","",IF(COUNTA('UX + Dev'!X28)=0,"",'UX + Dev'!X28))</f>
      </c>
      <c r="Q28" s="305">
        <f>IF($B28="","",IF(COUNTA('UX + Dev'!Y28)=0,"",'UX + Dev'!Y28))</f>
      </c>
      <c r="R28" s="307">
        <f>IF($P28="","",IF(ISNUMBER($P28),DATE(YEAR($P28),MONTH($P28),1),IFERROR(DATE(IFERROR(VALUE(RIGHT(TRIM($P28),4)),YEAR(TODAY())),(SEARCH(LEFT(TRIM($P28),3),"JanFebMarAprMayJunJulAugSepOctNovDec")+2)/3,1),"")))</f>
      </c>
      <c r="S28" s="307">
        <f>IF($Q28="","",IF(ISNUMBER($Q28),DATE(YEAR($Q28),MONTH($Q28),1),IFERROR(DATE(IFERROR(VALUE(RIGHT(TRIM($Q28),4)),YEAR(TODAY())),(SEARCH(LEFT(TRIM($Q28),3),"JanFebMarAprMayJunJulAugSepOctNovDec")+2)/3,1),"")))</f>
      </c>
      <c r="T28" s="305">
        <f>IF($B28="","",COUNTA('UX + Dev'!$AB28:$DN28))</f>
      </c>
      <c r="U28" s="305">
        <f>IF($B28="","",IFERROR(MATCH($D28,Control!$E$4:$E$30,0)+3,0))</f>
      </c>
      <c r="V28" s="305">
        <f>IF($B28="","",IF(AND(OR('Roadmap (Auto)'!$A$3="",'Roadmap (Auto)'!$A$3="(All)",ISNUMBER(SEARCH('Roadmap (Auto)'!$A$3,$C28&amp;""))),OR('Roadmap (Auto)'!$B$3="",'Roadmap (Auto)'!$B$3="(All)",$D28='Roadmap (Auto)'!$B$3,$X28='Roadmap (Auto)'!$B$3),OR('Roadmap (Auto)'!$C$3="",'Roadmap (Auto)'!$C$3="(All)",$F28='Roadmap (Auto)'!$C$3)),1,0))</f>
      </c>
      <c r="W28" s="305">
        <f>IF($B28="","",COUNTIF($Y$2:$Y$151,"&lt;"&amp;$Y28)+1)</f>
      </c>
      <c r="X28" s="305">
        <f>IF($B28="","",IF(TRIM('UX + Dev'!D28)="","",TRIM('UX + Dev'!D28)))</f>
      </c>
      <c r="Y28" s="305">
        <f>IF($B28="","",SUBSTITUTE(SUBSTITUTE(SUBSTITUTE(SUBSTITUTE(SUBSTITUTE(SUBSTITUTE(SUBSTITUTE(SUBSTITUTE(SUBSTITUTE(SUBSTITUTE(SUBSTITUTE(SUBSTITUTE(SUBSTITUTE(SUBSTITUTE(SUBSTITUTE(SUBSTITUTE(SUBSTITUTE(SUBSTITUTE(SUBSTITUTE(SUBSTITUTE(SUBSTITUTE(SUBSTITUTE(SUBSTITUTE(SUBSTITUTE(SUBSTITUTE(UPPER($B28)," ",""),"-",""),":",""),"/",""),"&amp;",""),"|",""),"'",""),"’",""),"&lt;",""),"&gt;",""),",",""),"$",""),".",""),"(",""),")",""),"*",""),"?",""),"~",""),"_",""),"+",""),"#",""),";",""),"!",""),"%",""),"@",""))</f>
      </c>
      <c r="AA28">
        <f>IF($B28="",0,COUNTIFS('UX + Dev'!$AB$1:$DN$1,"&gt;="&amp;AA$1,'UX + Dev'!$AB$1:$DN$1,"&lt;="&amp;EOMONTH(AA$1,0),'UX + Dev'!$AB28:$DN28,"&lt;&gt;"))</f>
      </c>
      <c r="AB28">
        <f>IF($B28="",0,COUNTIFS('UX + Dev'!$AB$1:$DN$1,"&gt;="&amp;AB$1,'UX + Dev'!$AB$1:$DN$1,"&lt;="&amp;EOMONTH(AB$1,0),'UX + Dev'!$AB28:$DN28,"&lt;&gt;"))</f>
      </c>
      <c r="AC28">
        <f>IF($B28="",0,COUNTIFS('UX + Dev'!$AB$1:$DN$1,"&gt;="&amp;AC$1,'UX + Dev'!$AB$1:$DN$1,"&lt;="&amp;EOMONTH(AC$1,0),'UX + Dev'!$AB28:$DN28,"&lt;&gt;"))</f>
      </c>
      <c r="AD28">
        <f>IF($B28="",0,COUNTIFS('UX + Dev'!$AB$1:$DN$1,"&gt;="&amp;AD$1,'UX + Dev'!$AB$1:$DN$1,"&lt;="&amp;EOMONTH(AD$1,0),'UX + Dev'!$AB28:$DN28,"&lt;&gt;"))</f>
      </c>
      <c r="AE28">
        <f>IF($B28="",0,COUNTIFS('UX + Dev'!$AB$1:$DN$1,"&gt;="&amp;AE$1,'UX + Dev'!$AB$1:$DN$1,"&lt;="&amp;EOMONTH(AE$1,0),'UX + Dev'!$AB28:$DN28,"&lt;&gt;"))</f>
      </c>
      <c r="AF28">
        <f>IF($B28="",0,COUNTIFS('UX + Dev'!$AB$1:$DN$1,"&gt;="&amp;AF$1,'UX + Dev'!$AB$1:$DN$1,"&lt;="&amp;EOMONTH(AF$1,0),'UX + Dev'!$AB28:$DN28,"&lt;&gt;"))</f>
      </c>
      <c r="AG28">
        <f>IF($B28="",0,COUNTIFS('UX + Dev'!$AB$1:$DN$1,"&gt;="&amp;AG$1,'UX + Dev'!$AB$1:$DN$1,"&lt;="&amp;EOMONTH(AG$1,0),'UX + Dev'!$AB28:$DN28,"&lt;&gt;"))</f>
      </c>
      <c r="AH28">
        <f>IF($B28="",0,COUNTIFS('UX + Dev'!$AB$1:$DN$1,"&gt;="&amp;AH$1,'UX + Dev'!$AB$1:$DN$1,"&lt;="&amp;EOMONTH(AH$1,0),'UX + Dev'!$AB28:$DN28,"&lt;&gt;"))</f>
      </c>
      <c r="AI28">
        <f>IF($B28="",0,COUNTIFS('UX + Dev'!$AB$1:$DN$1,"&gt;="&amp;AI$1,'UX + Dev'!$AB$1:$DN$1,"&lt;="&amp;EOMONTH(AI$1,0),'UX + Dev'!$AB28:$DN28,"&lt;&gt;"))</f>
      </c>
      <c r="AJ28">
        <f>IF($B28="",0,COUNTIFS('UX + Dev'!$AB$1:$DN$1,"&gt;="&amp;AJ$1,'UX + Dev'!$AB$1:$DN$1,"&lt;="&amp;EOMONTH(AJ$1,0),'UX + Dev'!$AB28:$DN28,"&lt;&gt;"))</f>
      </c>
      <c r="AK28">
        <f>IF($B28="",0,COUNTIFS('UX + Dev'!$AB$1:$DN$1,"&gt;="&amp;AK$1,'UX + Dev'!$AB$1:$DN$1,"&lt;="&amp;EOMONTH(AK$1,0),'UX + Dev'!$AB28:$DN28,"&lt;&gt;"))</f>
      </c>
      <c r="AL28">
        <f>IF($B28="",0,COUNTIFS('UX + Dev'!$AB$1:$DN$1,"&gt;="&amp;AL$1,'UX + Dev'!$AB$1:$DN$1,"&lt;="&amp;EOMONTH(AL$1,0),'UX + Dev'!$AB28:$DN28,"&lt;&gt;"))</f>
      </c>
      <c r="AM28">
        <f>IF($B28="",0,COUNTIFS('UX + Dev'!$AB$1:$DN$1,"&gt;="&amp;AM$1,'UX + Dev'!$AB$1:$DN$1,"&lt;="&amp;EOMONTH(AM$1,0),'UX + Dev'!$AB28:$DN28,"&lt;&gt;"))</f>
      </c>
      <c r="AN28">
        <f>IF($B28="",0,COUNTIFS('UX + Dev'!$AB$1:$DN$1,"&gt;="&amp;AN$1,'UX + Dev'!$AB$1:$DN$1,"&lt;="&amp;EOMONTH(AN$1,0),'UX + Dev'!$AB28:$DN28,"&lt;&gt;"))</f>
      </c>
      <c r="AO28">
        <f>IF($B28="",0,COUNTIFS('UX + Dev'!$AB$1:$DN$1,"&gt;="&amp;AO$1,'UX + Dev'!$AB$1:$DN$1,"&lt;="&amp;EOMONTH(AO$1,0),'UX + Dev'!$AB28:$DN28,"&lt;&gt;"))</f>
      </c>
      <c r="AP28">
        <f>IF($B28="",0,COUNTIFS('UX + Dev'!$AB$1:$DN$1,"&gt;="&amp;AP$1,'UX + Dev'!$AB$1:$DN$1,"&lt;="&amp;EOMONTH(AP$1,0),'UX + Dev'!$AB28:$DN28,"&lt;&gt;"))</f>
      </c>
      <c r="AQ28">
        <f>IF($B28="",0,COUNTIFS('UX + Dev'!$AB$1:$DN$1,"&gt;="&amp;AQ$1,'UX + Dev'!$AB$1:$DN$1,"&lt;="&amp;EOMONTH(AQ$1,0),'UX + Dev'!$AB28:$DN28,"&lt;&gt;"))</f>
      </c>
      <c r="AR28">
        <f>IF($B28="",0,COUNTIFS('UX + Dev'!$AB$1:$DN$1,"&gt;="&amp;AR$1,'UX + Dev'!$AB$1:$DN$1,"&lt;="&amp;EOMONTH(AR$1,0),'UX + Dev'!$AB28:$DN28,"&lt;&gt;"))</f>
      </c>
      <c r="AS28">
        <f>IF($B28="",0,COUNTIFS('UX + Dev'!$AB$1:$DN$1,"&gt;="&amp;AS$1,'UX + Dev'!$AB$1:$DN$1,"&lt;="&amp;EOMONTH(AS$1,0),'UX + Dev'!$AB28:$DN28,"&lt;&gt;"))</f>
      </c>
      <c r="AT28">
        <f>IF($B28="",0,COUNTIFS('UX + Dev'!$AB$1:$DN$1,"&gt;="&amp;AT$1,'UX + Dev'!$AB$1:$DN$1,"&lt;="&amp;EOMONTH(AT$1,0),'UX + Dev'!$AB28:$DN28,"&lt;&gt;"))</f>
      </c>
      <c r="AU28">
        <f>IF($B28="",0,COUNTIFS('UX + Dev'!$AB$1:$DN$1,"&gt;="&amp;AU$1,'UX + Dev'!$AB$1:$DN$1,"&lt;="&amp;EOMONTH(AU$1,0),'UX + Dev'!$AB28:$DN28,"&lt;&gt;"))</f>
      </c>
      <c r="AV28">
        <f>IF($B28="",0,COUNTIFS('UX + Dev'!$AB$1:$DN$1,"&gt;="&amp;AV$1,'UX + Dev'!$AB$1:$DN$1,"&lt;="&amp;EOMONTH(AV$1,0),'UX + Dev'!$AB28:$DN28,"&lt;&gt;"))</f>
      </c>
      <c r="AW28">
        <f>IF($B28="",0,COUNTIFS('UX + Dev'!$AB$1:$DN$1,"&gt;="&amp;AW$1,'UX + Dev'!$AB$1:$DN$1,"&lt;="&amp;EOMONTH(AW$1,0),'UX + Dev'!$AB28:$DN28,"&lt;&gt;"))</f>
      </c>
      <c r="AX28">
        <f>IF($B28="",0,COUNTIFS('UX + Dev'!$AB$1:$DN$1,"&gt;="&amp;AX$1,'UX + Dev'!$AB$1:$DN$1,"&lt;="&amp;EOMONTH(AX$1,0),'UX + Dev'!$AB28:$DN28,"&lt;&gt;"))</f>
      </c>
      <c r="BB28" s="308">
        <f>IF($B28="","",IF(COUNTA('UX + Dev'!U28)&gt;0,DATE(YEAR('UX + Dev'!U28),MONTH('UX + Dev'!U28),1),IF(COUNTA('UX + Dev'!V28)&gt;0,DATE(YEAR('UX + Dev'!V28),MONTH('UX + Dev'!V28),1),"")))</f>
      </c>
      <c r="BC28" s="308">
        <f>IF($B28="","",IF(COUNTA('UX + Dev'!V28)&gt;0,EOMONTH('UX + Dev'!V28,0),IF(COUNTA('UX + Dev'!U28)&gt;0,EOMONTH('UX + Dev'!U28,0),"")))</f>
      </c>
    </row>
    <row r="29">
      <c r="A29" s="305" t="n">
        <v>29</v>
      </c>
      <c r="B29" s="305">
        <f>IF(TRIM('UX + Dev'!E29)="","",TRIM('UX + Dev'!E29))</f>
      </c>
      <c r="C29" s="305">
        <f>IF($B29="","",'UX + Dev'!B29)</f>
      </c>
      <c r="D29" s="305">
        <f>IF($B29="","",IF(TRIM('UX + Dev'!C29)="","(No theme assigned)",TRIM('UX + Dev'!C29)))</f>
      </c>
      <c r="E29" s="305">
        <f>IF($B29="","",TRIM('UX + Dev'!F29))</f>
      </c>
      <c r="F29" s="305">
        <f>IF($B29="","",'UX + Dev'!G29)</f>
      </c>
      <c r="G29" s="306">
        <f t="array" ref="G29">IF($B29="","",IF($T29=0,"",IFERROR(MIN(IF('UX + Dev'!$AB29:$DN29&lt;&gt;"",'UX + Dev'!$AB$1:$DN$1)),"")))</f>
      </c>
      <c r="H29" s="306">
        <f t="array" ref="H29">IF($B29="","",IF($T29=0,"",IFERROR(MAX(IF('UX + Dev'!$AB29:$DN29&lt;&gt;"",'UX + Dev'!$AB$1:$DN$1)),"")))</f>
      </c>
      <c r="I29" s="307">
        <f>IF($R29&lt;&gt;"",$R29,IF($S29&lt;&gt;"",$S29,""))</f>
      </c>
      <c r="J29" s="307">
        <f>IF($S29&lt;&gt;"",EOMONTH($S29,0),IF($R29&lt;&gt;"",EOMONTH($R29,0),""))</f>
      </c>
      <c r="K29" s="305">
        <f>IF($B29="","",IF(COUNTA('UX + Dev'!AA29)=0,"",TRIM('UX + Dev'!AA29)))</f>
      </c>
      <c r="L29" s="305">
        <f>IF($B29="","",IFERROR(MATCH($D29,Control!$E$4:$E$30,0),99))</f>
      </c>
      <c r="M29" s="305">
        <f>IF($B29="","",IFERROR(MATCH($F29,Control!$B$4:$B$30,0),99))</f>
      </c>
      <c r="N29" s="305">
        <f>IF($V29&lt;&gt;1,"",IF('Roadmap (Auto)'!$D$3="Status, then Theme",$M29*1000000+$L29*10000+ROW(),IF('Roadmap (Auto)'!$D$3="Dev start (earliest)",IF($I29="",99999999,$I29)*10000+ROW(),IF('Roadmap (Auto)'!$D$3="UX start (earliest)",IF($G29="",99999999,$G29)*10000+ROW(),IF('Roadmap (Auto)'!$D$3="Deliverable A-Z",$W29*10000+ROW(),$L29*1000000+$M29*10000+ROW())))))</f>
      </c>
      <c r="O29" s="305">
        <f>IF($N29="","",COUNTIF($N$2:$N$151,"&lt;"&amp;$N29)+1)</f>
      </c>
      <c r="P29" s="305">
        <f>IF($B29="","",IF(COUNTA('UX + Dev'!X29)=0,"",'UX + Dev'!X29))</f>
      </c>
      <c r="Q29" s="305">
        <f>IF($B29="","",IF(COUNTA('UX + Dev'!Y29)=0,"",'UX + Dev'!Y29))</f>
      </c>
      <c r="R29" s="307">
        <f>IF($P29="","",IF(ISNUMBER($P29),DATE(YEAR($P29),MONTH($P29),1),IFERROR(DATE(IFERROR(VALUE(RIGHT(TRIM($P29),4)),YEAR(TODAY())),(SEARCH(LEFT(TRIM($P29),3),"JanFebMarAprMayJunJulAugSepOctNovDec")+2)/3,1),"")))</f>
      </c>
      <c r="S29" s="307">
        <f>IF($Q29="","",IF(ISNUMBER($Q29),DATE(YEAR($Q29),MONTH($Q29),1),IFERROR(DATE(IFERROR(VALUE(RIGHT(TRIM($Q29),4)),YEAR(TODAY())),(SEARCH(LEFT(TRIM($Q29),3),"JanFebMarAprMayJunJulAugSepOctNovDec")+2)/3,1),"")))</f>
      </c>
      <c r="T29" s="305">
        <f>IF($B29="","",COUNTA('UX + Dev'!$AB29:$DN29))</f>
      </c>
      <c r="U29" s="305">
        <f>IF($B29="","",IFERROR(MATCH($D29,Control!$E$4:$E$30,0)+3,0))</f>
      </c>
      <c r="V29" s="305">
        <f>IF($B29="","",IF(AND(OR('Roadmap (Auto)'!$A$3="",'Roadmap (Auto)'!$A$3="(All)",ISNUMBER(SEARCH('Roadmap (Auto)'!$A$3,$C29&amp;""))),OR('Roadmap (Auto)'!$B$3="",'Roadmap (Auto)'!$B$3="(All)",$D29='Roadmap (Auto)'!$B$3,$X29='Roadmap (Auto)'!$B$3),OR('Roadmap (Auto)'!$C$3="",'Roadmap (Auto)'!$C$3="(All)",$F29='Roadmap (Auto)'!$C$3)),1,0))</f>
      </c>
      <c r="W29" s="305">
        <f>IF($B29="","",COUNTIF($Y$2:$Y$151,"&lt;"&amp;$Y29)+1)</f>
      </c>
      <c r="X29" s="305">
        <f>IF($B29="","",IF(TRIM('UX + Dev'!D29)="","",TRIM('UX + Dev'!D29)))</f>
      </c>
      <c r="Y29" s="305">
        <f>IF($B29="","",SUBSTITUTE(SUBSTITUTE(SUBSTITUTE(SUBSTITUTE(SUBSTITUTE(SUBSTITUTE(SUBSTITUTE(SUBSTITUTE(SUBSTITUTE(SUBSTITUTE(SUBSTITUTE(SUBSTITUTE(SUBSTITUTE(SUBSTITUTE(SUBSTITUTE(SUBSTITUTE(SUBSTITUTE(SUBSTITUTE(SUBSTITUTE(SUBSTITUTE(SUBSTITUTE(SUBSTITUTE(SUBSTITUTE(SUBSTITUTE(SUBSTITUTE(UPPER($B29)," ",""),"-",""),":",""),"/",""),"&amp;",""),"|",""),"'",""),"’",""),"&lt;",""),"&gt;",""),",",""),"$",""),".",""),"(",""),")",""),"*",""),"?",""),"~",""),"_",""),"+",""),"#",""),";",""),"!",""),"%",""),"@",""))</f>
      </c>
      <c r="AA29">
        <f>IF($B29="",0,COUNTIFS('UX + Dev'!$AB$1:$DN$1,"&gt;="&amp;AA$1,'UX + Dev'!$AB$1:$DN$1,"&lt;="&amp;EOMONTH(AA$1,0),'UX + Dev'!$AB29:$DN29,"&lt;&gt;"))</f>
      </c>
      <c r="AB29">
        <f>IF($B29="",0,COUNTIFS('UX + Dev'!$AB$1:$DN$1,"&gt;="&amp;AB$1,'UX + Dev'!$AB$1:$DN$1,"&lt;="&amp;EOMONTH(AB$1,0),'UX + Dev'!$AB29:$DN29,"&lt;&gt;"))</f>
      </c>
      <c r="AC29">
        <f>IF($B29="",0,COUNTIFS('UX + Dev'!$AB$1:$DN$1,"&gt;="&amp;AC$1,'UX + Dev'!$AB$1:$DN$1,"&lt;="&amp;EOMONTH(AC$1,0),'UX + Dev'!$AB29:$DN29,"&lt;&gt;"))</f>
      </c>
      <c r="AD29">
        <f>IF($B29="",0,COUNTIFS('UX + Dev'!$AB$1:$DN$1,"&gt;="&amp;AD$1,'UX + Dev'!$AB$1:$DN$1,"&lt;="&amp;EOMONTH(AD$1,0),'UX + Dev'!$AB29:$DN29,"&lt;&gt;"))</f>
      </c>
      <c r="AE29">
        <f>IF($B29="",0,COUNTIFS('UX + Dev'!$AB$1:$DN$1,"&gt;="&amp;AE$1,'UX + Dev'!$AB$1:$DN$1,"&lt;="&amp;EOMONTH(AE$1,0),'UX + Dev'!$AB29:$DN29,"&lt;&gt;"))</f>
      </c>
      <c r="AF29">
        <f>IF($B29="",0,COUNTIFS('UX + Dev'!$AB$1:$DN$1,"&gt;="&amp;AF$1,'UX + Dev'!$AB$1:$DN$1,"&lt;="&amp;EOMONTH(AF$1,0),'UX + Dev'!$AB29:$DN29,"&lt;&gt;"))</f>
      </c>
      <c r="AG29">
        <f>IF($B29="",0,COUNTIFS('UX + Dev'!$AB$1:$DN$1,"&gt;="&amp;AG$1,'UX + Dev'!$AB$1:$DN$1,"&lt;="&amp;EOMONTH(AG$1,0),'UX + Dev'!$AB29:$DN29,"&lt;&gt;"))</f>
      </c>
      <c r="AH29">
        <f>IF($B29="",0,COUNTIFS('UX + Dev'!$AB$1:$DN$1,"&gt;="&amp;AH$1,'UX + Dev'!$AB$1:$DN$1,"&lt;="&amp;EOMONTH(AH$1,0),'UX + Dev'!$AB29:$DN29,"&lt;&gt;"))</f>
      </c>
      <c r="AI29">
        <f>IF($B29="",0,COUNTIFS('UX + Dev'!$AB$1:$DN$1,"&gt;="&amp;AI$1,'UX + Dev'!$AB$1:$DN$1,"&lt;="&amp;EOMONTH(AI$1,0),'UX + Dev'!$AB29:$DN29,"&lt;&gt;"))</f>
      </c>
      <c r="AJ29">
        <f>IF($B29="",0,COUNTIFS('UX + Dev'!$AB$1:$DN$1,"&gt;="&amp;AJ$1,'UX + Dev'!$AB$1:$DN$1,"&lt;="&amp;EOMONTH(AJ$1,0),'UX + Dev'!$AB29:$DN29,"&lt;&gt;"))</f>
      </c>
      <c r="AK29">
        <f>IF($B29="",0,COUNTIFS('UX + Dev'!$AB$1:$DN$1,"&gt;="&amp;AK$1,'UX + Dev'!$AB$1:$DN$1,"&lt;="&amp;EOMONTH(AK$1,0),'UX + Dev'!$AB29:$DN29,"&lt;&gt;"))</f>
      </c>
      <c r="AL29">
        <f>IF($B29="",0,COUNTIFS('UX + Dev'!$AB$1:$DN$1,"&gt;="&amp;AL$1,'UX + Dev'!$AB$1:$DN$1,"&lt;="&amp;EOMONTH(AL$1,0),'UX + Dev'!$AB29:$DN29,"&lt;&gt;"))</f>
      </c>
      <c r="AM29">
        <f>IF($B29="",0,COUNTIFS('UX + Dev'!$AB$1:$DN$1,"&gt;="&amp;AM$1,'UX + Dev'!$AB$1:$DN$1,"&lt;="&amp;EOMONTH(AM$1,0),'UX + Dev'!$AB29:$DN29,"&lt;&gt;"))</f>
      </c>
      <c r="AN29">
        <f>IF($B29="",0,COUNTIFS('UX + Dev'!$AB$1:$DN$1,"&gt;="&amp;AN$1,'UX + Dev'!$AB$1:$DN$1,"&lt;="&amp;EOMONTH(AN$1,0),'UX + Dev'!$AB29:$DN29,"&lt;&gt;"))</f>
      </c>
      <c r="AO29">
        <f>IF($B29="",0,COUNTIFS('UX + Dev'!$AB$1:$DN$1,"&gt;="&amp;AO$1,'UX + Dev'!$AB$1:$DN$1,"&lt;="&amp;EOMONTH(AO$1,0),'UX + Dev'!$AB29:$DN29,"&lt;&gt;"))</f>
      </c>
      <c r="AP29">
        <f>IF($B29="",0,COUNTIFS('UX + Dev'!$AB$1:$DN$1,"&gt;="&amp;AP$1,'UX + Dev'!$AB$1:$DN$1,"&lt;="&amp;EOMONTH(AP$1,0),'UX + Dev'!$AB29:$DN29,"&lt;&gt;"))</f>
      </c>
      <c r="AQ29">
        <f>IF($B29="",0,COUNTIFS('UX + Dev'!$AB$1:$DN$1,"&gt;="&amp;AQ$1,'UX + Dev'!$AB$1:$DN$1,"&lt;="&amp;EOMONTH(AQ$1,0),'UX + Dev'!$AB29:$DN29,"&lt;&gt;"))</f>
      </c>
      <c r="AR29">
        <f>IF($B29="",0,COUNTIFS('UX + Dev'!$AB$1:$DN$1,"&gt;="&amp;AR$1,'UX + Dev'!$AB$1:$DN$1,"&lt;="&amp;EOMONTH(AR$1,0),'UX + Dev'!$AB29:$DN29,"&lt;&gt;"))</f>
      </c>
      <c r="AS29">
        <f>IF($B29="",0,COUNTIFS('UX + Dev'!$AB$1:$DN$1,"&gt;="&amp;AS$1,'UX + Dev'!$AB$1:$DN$1,"&lt;="&amp;EOMONTH(AS$1,0),'UX + Dev'!$AB29:$DN29,"&lt;&gt;"))</f>
      </c>
      <c r="AT29">
        <f>IF($B29="",0,COUNTIFS('UX + Dev'!$AB$1:$DN$1,"&gt;="&amp;AT$1,'UX + Dev'!$AB$1:$DN$1,"&lt;="&amp;EOMONTH(AT$1,0),'UX + Dev'!$AB29:$DN29,"&lt;&gt;"))</f>
      </c>
      <c r="AU29">
        <f>IF($B29="",0,COUNTIFS('UX + Dev'!$AB$1:$DN$1,"&gt;="&amp;AU$1,'UX + Dev'!$AB$1:$DN$1,"&lt;="&amp;EOMONTH(AU$1,0),'UX + Dev'!$AB29:$DN29,"&lt;&gt;"))</f>
      </c>
      <c r="AV29">
        <f>IF($B29="",0,COUNTIFS('UX + Dev'!$AB$1:$DN$1,"&gt;="&amp;AV$1,'UX + Dev'!$AB$1:$DN$1,"&lt;="&amp;EOMONTH(AV$1,0),'UX + Dev'!$AB29:$DN29,"&lt;&gt;"))</f>
      </c>
      <c r="AW29">
        <f>IF($B29="",0,COUNTIFS('UX + Dev'!$AB$1:$DN$1,"&gt;="&amp;AW$1,'UX + Dev'!$AB$1:$DN$1,"&lt;="&amp;EOMONTH(AW$1,0),'UX + Dev'!$AB29:$DN29,"&lt;&gt;"))</f>
      </c>
      <c r="AX29">
        <f>IF($B29="",0,COUNTIFS('UX + Dev'!$AB$1:$DN$1,"&gt;="&amp;AX$1,'UX + Dev'!$AB$1:$DN$1,"&lt;="&amp;EOMONTH(AX$1,0),'UX + Dev'!$AB29:$DN29,"&lt;&gt;"))</f>
      </c>
      <c r="BB29" s="308">
        <f>IF($B29="","",IF(COUNTA('UX + Dev'!U29)&gt;0,DATE(YEAR('UX + Dev'!U29),MONTH('UX + Dev'!U29),1),IF(COUNTA('UX + Dev'!V29)&gt;0,DATE(YEAR('UX + Dev'!V29),MONTH('UX + Dev'!V29),1),"")))</f>
      </c>
      <c r="BC29" s="308">
        <f>IF($B29="","",IF(COUNTA('UX + Dev'!V29)&gt;0,EOMONTH('UX + Dev'!V29,0),IF(COUNTA('UX + Dev'!U29)&gt;0,EOMONTH('UX + Dev'!U29,0),"")))</f>
      </c>
    </row>
    <row r="30">
      <c r="A30" s="305" t="n">
        <v>30</v>
      </c>
      <c r="B30" s="305">
        <f>IF(TRIM('UX + Dev'!E30)="","",TRIM('UX + Dev'!E30))</f>
      </c>
      <c r="C30" s="305">
        <f>IF($B30="","",'UX + Dev'!B30)</f>
      </c>
      <c r="D30" s="305">
        <f>IF($B30="","",IF(TRIM('UX + Dev'!C30)="","(No theme assigned)",TRIM('UX + Dev'!C30)))</f>
      </c>
      <c r="E30" s="305">
        <f>IF($B30="","",TRIM('UX + Dev'!F30))</f>
      </c>
      <c r="F30" s="305">
        <f>IF($B30="","",'UX + Dev'!G30)</f>
      </c>
      <c r="G30" s="306">
        <f t="array" ref="G30">IF($B30="","",IF($T30=0,"",IFERROR(MIN(IF('UX + Dev'!$AB30:$DN30&lt;&gt;"",'UX + Dev'!$AB$1:$DN$1)),"")))</f>
      </c>
      <c r="H30" s="306">
        <f t="array" ref="H30">IF($B30="","",IF($T30=0,"",IFERROR(MAX(IF('UX + Dev'!$AB30:$DN30&lt;&gt;"",'UX + Dev'!$AB$1:$DN$1)),"")))</f>
      </c>
      <c r="I30" s="307">
        <f>IF($R30&lt;&gt;"",$R30,IF($S30&lt;&gt;"",$S30,""))</f>
      </c>
      <c r="J30" s="307">
        <f>IF($S30&lt;&gt;"",EOMONTH($S30,0),IF($R30&lt;&gt;"",EOMONTH($R30,0),""))</f>
      </c>
      <c r="K30" s="305">
        <f>IF($B30="","",IF(COUNTA('UX + Dev'!AA30)=0,"",TRIM('UX + Dev'!AA30)))</f>
      </c>
      <c r="L30" s="305">
        <f>IF($B30="","",IFERROR(MATCH($D30,Control!$E$4:$E$30,0),99))</f>
      </c>
      <c r="M30" s="305">
        <f>IF($B30="","",IFERROR(MATCH($F30,Control!$B$4:$B$30,0),99))</f>
      </c>
      <c r="N30" s="305">
        <f>IF($V30&lt;&gt;1,"",IF('Roadmap (Auto)'!$D$3="Status, then Theme",$M30*1000000+$L30*10000+ROW(),IF('Roadmap (Auto)'!$D$3="Dev start (earliest)",IF($I30="",99999999,$I30)*10000+ROW(),IF('Roadmap (Auto)'!$D$3="UX start (earliest)",IF($G30="",99999999,$G30)*10000+ROW(),IF('Roadmap (Auto)'!$D$3="Deliverable A-Z",$W30*10000+ROW(),$L30*1000000+$M30*10000+ROW())))))</f>
      </c>
      <c r="O30" s="305">
        <f>IF($N30="","",COUNTIF($N$2:$N$151,"&lt;"&amp;$N30)+1)</f>
      </c>
      <c r="P30" s="305">
        <f>IF($B30="","",IF(COUNTA('UX + Dev'!X30)=0,"",'UX + Dev'!X30))</f>
      </c>
      <c r="Q30" s="305">
        <f>IF($B30="","",IF(COUNTA('UX + Dev'!Y30)=0,"",'UX + Dev'!Y30))</f>
      </c>
      <c r="R30" s="307">
        <f>IF($P30="","",IF(ISNUMBER($P30),DATE(YEAR($P30),MONTH($P30),1),IFERROR(DATE(IFERROR(VALUE(RIGHT(TRIM($P30),4)),YEAR(TODAY())),(SEARCH(LEFT(TRIM($P30),3),"JanFebMarAprMayJunJulAugSepOctNovDec")+2)/3,1),"")))</f>
      </c>
      <c r="S30" s="307">
        <f>IF($Q30="","",IF(ISNUMBER($Q30),DATE(YEAR($Q30),MONTH($Q30),1),IFERROR(DATE(IFERROR(VALUE(RIGHT(TRIM($Q30),4)),YEAR(TODAY())),(SEARCH(LEFT(TRIM($Q30),3),"JanFebMarAprMayJunJulAugSepOctNovDec")+2)/3,1),"")))</f>
      </c>
      <c r="T30" s="305">
        <f>IF($B30="","",COUNTA('UX + Dev'!$AB30:$DN30))</f>
      </c>
      <c r="U30" s="305">
        <f>IF($B30="","",IFERROR(MATCH($D30,Control!$E$4:$E$30,0)+3,0))</f>
      </c>
      <c r="V30" s="305">
        <f>IF($B30="","",IF(AND(OR('Roadmap (Auto)'!$A$3="",'Roadmap (Auto)'!$A$3="(All)",ISNUMBER(SEARCH('Roadmap (Auto)'!$A$3,$C30&amp;""))),OR('Roadmap (Auto)'!$B$3="",'Roadmap (Auto)'!$B$3="(All)",$D30='Roadmap (Auto)'!$B$3,$X30='Roadmap (Auto)'!$B$3),OR('Roadmap (Auto)'!$C$3="",'Roadmap (Auto)'!$C$3="(All)",$F30='Roadmap (Auto)'!$C$3)),1,0))</f>
      </c>
      <c r="W30" s="305">
        <f>IF($B30="","",COUNTIF($Y$2:$Y$151,"&lt;"&amp;$Y30)+1)</f>
      </c>
      <c r="X30" s="305">
        <f>IF($B30="","",IF(TRIM('UX + Dev'!D30)="","",TRIM('UX + Dev'!D30)))</f>
      </c>
      <c r="Y30" s="305">
        <f>IF($B30="","",SUBSTITUTE(SUBSTITUTE(SUBSTITUTE(SUBSTITUTE(SUBSTITUTE(SUBSTITUTE(SUBSTITUTE(SUBSTITUTE(SUBSTITUTE(SUBSTITUTE(SUBSTITUTE(SUBSTITUTE(SUBSTITUTE(SUBSTITUTE(SUBSTITUTE(SUBSTITUTE(SUBSTITUTE(SUBSTITUTE(SUBSTITUTE(SUBSTITUTE(SUBSTITUTE(SUBSTITUTE(SUBSTITUTE(SUBSTITUTE(SUBSTITUTE(UPPER($B30)," ",""),"-",""),":",""),"/",""),"&amp;",""),"|",""),"'",""),"’",""),"&lt;",""),"&gt;",""),",",""),"$",""),".",""),"(",""),")",""),"*",""),"?",""),"~",""),"_",""),"+",""),"#",""),";",""),"!",""),"%",""),"@",""))</f>
      </c>
      <c r="AA30">
        <f>IF($B30="",0,COUNTIFS('UX + Dev'!$AB$1:$DN$1,"&gt;="&amp;AA$1,'UX + Dev'!$AB$1:$DN$1,"&lt;="&amp;EOMONTH(AA$1,0),'UX + Dev'!$AB30:$DN30,"&lt;&gt;"))</f>
      </c>
      <c r="AB30">
        <f>IF($B30="",0,COUNTIFS('UX + Dev'!$AB$1:$DN$1,"&gt;="&amp;AB$1,'UX + Dev'!$AB$1:$DN$1,"&lt;="&amp;EOMONTH(AB$1,0),'UX + Dev'!$AB30:$DN30,"&lt;&gt;"))</f>
      </c>
      <c r="AC30">
        <f>IF($B30="",0,COUNTIFS('UX + Dev'!$AB$1:$DN$1,"&gt;="&amp;AC$1,'UX + Dev'!$AB$1:$DN$1,"&lt;="&amp;EOMONTH(AC$1,0),'UX + Dev'!$AB30:$DN30,"&lt;&gt;"))</f>
      </c>
      <c r="AD30">
        <f>IF($B30="",0,COUNTIFS('UX + Dev'!$AB$1:$DN$1,"&gt;="&amp;AD$1,'UX + Dev'!$AB$1:$DN$1,"&lt;="&amp;EOMONTH(AD$1,0),'UX + Dev'!$AB30:$DN30,"&lt;&gt;"))</f>
      </c>
      <c r="AE30">
        <f>IF($B30="",0,COUNTIFS('UX + Dev'!$AB$1:$DN$1,"&gt;="&amp;AE$1,'UX + Dev'!$AB$1:$DN$1,"&lt;="&amp;EOMONTH(AE$1,0),'UX + Dev'!$AB30:$DN30,"&lt;&gt;"))</f>
      </c>
      <c r="AF30">
        <f>IF($B30="",0,COUNTIFS('UX + Dev'!$AB$1:$DN$1,"&gt;="&amp;AF$1,'UX + Dev'!$AB$1:$DN$1,"&lt;="&amp;EOMONTH(AF$1,0),'UX + Dev'!$AB30:$DN30,"&lt;&gt;"))</f>
      </c>
      <c r="AG30">
        <f>IF($B30="",0,COUNTIFS('UX + Dev'!$AB$1:$DN$1,"&gt;="&amp;AG$1,'UX + Dev'!$AB$1:$DN$1,"&lt;="&amp;EOMONTH(AG$1,0),'UX + Dev'!$AB30:$DN30,"&lt;&gt;"))</f>
      </c>
      <c r="AH30">
        <f>IF($B30="",0,COUNTIFS('UX + Dev'!$AB$1:$DN$1,"&gt;="&amp;AH$1,'UX + Dev'!$AB$1:$DN$1,"&lt;="&amp;EOMONTH(AH$1,0),'UX + Dev'!$AB30:$DN30,"&lt;&gt;"))</f>
      </c>
      <c r="AI30">
        <f>IF($B30="",0,COUNTIFS('UX + Dev'!$AB$1:$DN$1,"&gt;="&amp;AI$1,'UX + Dev'!$AB$1:$DN$1,"&lt;="&amp;EOMONTH(AI$1,0),'UX + Dev'!$AB30:$DN30,"&lt;&gt;"))</f>
      </c>
      <c r="AJ30">
        <f>IF($B30="",0,COUNTIFS('UX + Dev'!$AB$1:$DN$1,"&gt;="&amp;AJ$1,'UX + Dev'!$AB$1:$DN$1,"&lt;="&amp;EOMONTH(AJ$1,0),'UX + Dev'!$AB30:$DN30,"&lt;&gt;"))</f>
      </c>
      <c r="AK30">
        <f>IF($B30="",0,COUNTIFS('UX + Dev'!$AB$1:$DN$1,"&gt;="&amp;AK$1,'UX + Dev'!$AB$1:$DN$1,"&lt;="&amp;EOMONTH(AK$1,0),'UX + Dev'!$AB30:$DN30,"&lt;&gt;"))</f>
      </c>
      <c r="AL30">
        <f>IF($B30="",0,COUNTIFS('UX + Dev'!$AB$1:$DN$1,"&gt;="&amp;AL$1,'UX + Dev'!$AB$1:$DN$1,"&lt;="&amp;EOMONTH(AL$1,0),'UX + Dev'!$AB30:$DN30,"&lt;&gt;"))</f>
      </c>
      <c r="AM30">
        <f>IF($B30="",0,COUNTIFS('UX + Dev'!$AB$1:$DN$1,"&gt;="&amp;AM$1,'UX + Dev'!$AB$1:$DN$1,"&lt;="&amp;EOMONTH(AM$1,0),'UX + Dev'!$AB30:$DN30,"&lt;&gt;"))</f>
      </c>
      <c r="AN30">
        <f>IF($B30="",0,COUNTIFS('UX + Dev'!$AB$1:$DN$1,"&gt;="&amp;AN$1,'UX + Dev'!$AB$1:$DN$1,"&lt;="&amp;EOMONTH(AN$1,0),'UX + Dev'!$AB30:$DN30,"&lt;&gt;"))</f>
      </c>
      <c r="AO30">
        <f>IF($B30="",0,COUNTIFS('UX + Dev'!$AB$1:$DN$1,"&gt;="&amp;AO$1,'UX + Dev'!$AB$1:$DN$1,"&lt;="&amp;EOMONTH(AO$1,0),'UX + Dev'!$AB30:$DN30,"&lt;&gt;"))</f>
      </c>
      <c r="AP30">
        <f>IF($B30="",0,COUNTIFS('UX + Dev'!$AB$1:$DN$1,"&gt;="&amp;AP$1,'UX + Dev'!$AB$1:$DN$1,"&lt;="&amp;EOMONTH(AP$1,0),'UX + Dev'!$AB30:$DN30,"&lt;&gt;"))</f>
      </c>
      <c r="AQ30">
        <f>IF($B30="",0,COUNTIFS('UX + Dev'!$AB$1:$DN$1,"&gt;="&amp;AQ$1,'UX + Dev'!$AB$1:$DN$1,"&lt;="&amp;EOMONTH(AQ$1,0),'UX + Dev'!$AB30:$DN30,"&lt;&gt;"))</f>
      </c>
      <c r="AR30">
        <f>IF($B30="",0,COUNTIFS('UX + Dev'!$AB$1:$DN$1,"&gt;="&amp;AR$1,'UX + Dev'!$AB$1:$DN$1,"&lt;="&amp;EOMONTH(AR$1,0),'UX + Dev'!$AB30:$DN30,"&lt;&gt;"))</f>
      </c>
      <c r="AS30">
        <f>IF($B30="",0,COUNTIFS('UX + Dev'!$AB$1:$DN$1,"&gt;="&amp;AS$1,'UX + Dev'!$AB$1:$DN$1,"&lt;="&amp;EOMONTH(AS$1,0),'UX + Dev'!$AB30:$DN30,"&lt;&gt;"))</f>
      </c>
      <c r="AT30">
        <f>IF($B30="",0,COUNTIFS('UX + Dev'!$AB$1:$DN$1,"&gt;="&amp;AT$1,'UX + Dev'!$AB$1:$DN$1,"&lt;="&amp;EOMONTH(AT$1,0),'UX + Dev'!$AB30:$DN30,"&lt;&gt;"))</f>
      </c>
      <c r="AU30">
        <f>IF($B30="",0,COUNTIFS('UX + Dev'!$AB$1:$DN$1,"&gt;="&amp;AU$1,'UX + Dev'!$AB$1:$DN$1,"&lt;="&amp;EOMONTH(AU$1,0),'UX + Dev'!$AB30:$DN30,"&lt;&gt;"))</f>
      </c>
      <c r="AV30">
        <f>IF($B30="",0,COUNTIFS('UX + Dev'!$AB$1:$DN$1,"&gt;="&amp;AV$1,'UX + Dev'!$AB$1:$DN$1,"&lt;="&amp;EOMONTH(AV$1,0),'UX + Dev'!$AB30:$DN30,"&lt;&gt;"))</f>
      </c>
      <c r="AW30">
        <f>IF($B30="",0,COUNTIFS('UX + Dev'!$AB$1:$DN$1,"&gt;="&amp;AW$1,'UX + Dev'!$AB$1:$DN$1,"&lt;="&amp;EOMONTH(AW$1,0),'UX + Dev'!$AB30:$DN30,"&lt;&gt;"))</f>
      </c>
      <c r="AX30">
        <f>IF($B30="",0,COUNTIFS('UX + Dev'!$AB$1:$DN$1,"&gt;="&amp;AX$1,'UX + Dev'!$AB$1:$DN$1,"&lt;="&amp;EOMONTH(AX$1,0),'UX + Dev'!$AB30:$DN30,"&lt;&gt;"))</f>
      </c>
      <c r="BB30" s="308">
        <f>IF($B30="","",IF(COUNTA('UX + Dev'!U30)&gt;0,DATE(YEAR('UX + Dev'!U30),MONTH('UX + Dev'!U30),1),IF(COUNTA('UX + Dev'!V30)&gt;0,DATE(YEAR('UX + Dev'!V30),MONTH('UX + Dev'!V30),1),"")))</f>
      </c>
      <c r="BC30" s="308">
        <f>IF($B30="","",IF(COUNTA('UX + Dev'!V30)&gt;0,EOMONTH('UX + Dev'!V30,0),IF(COUNTA('UX + Dev'!U30)&gt;0,EOMONTH('UX + Dev'!U30,0),"")))</f>
      </c>
    </row>
    <row r="31">
      <c r="A31" s="305" t="n">
        <v>31</v>
      </c>
      <c r="B31" s="305">
        <f>IF(TRIM('UX + Dev'!E31)="","",TRIM('UX + Dev'!E31))</f>
      </c>
      <c r="C31" s="305">
        <f>IF($B31="","",'UX + Dev'!B31)</f>
      </c>
      <c r="D31" s="305">
        <f>IF($B31="","",IF(TRIM('UX + Dev'!C31)="","(No theme assigned)",TRIM('UX + Dev'!C31)))</f>
      </c>
      <c r="E31" s="305">
        <f>IF($B31="","",TRIM('UX + Dev'!F31))</f>
      </c>
      <c r="F31" s="305">
        <f>IF($B31="","",'UX + Dev'!G31)</f>
      </c>
      <c r="G31" s="306">
        <f t="array" ref="G31">IF($B31="","",IF($T31=0,"",IFERROR(MIN(IF('UX + Dev'!$AB31:$DN31&lt;&gt;"",'UX + Dev'!$AB$1:$DN$1)),"")))</f>
      </c>
      <c r="H31" s="306">
        <f t="array" ref="H31">IF($B31="","",IF($T31=0,"",IFERROR(MAX(IF('UX + Dev'!$AB31:$DN31&lt;&gt;"",'UX + Dev'!$AB$1:$DN$1)),"")))</f>
      </c>
      <c r="I31" s="307">
        <f>IF($R31&lt;&gt;"",$R31,IF($S31&lt;&gt;"",$S31,""))</f>
      </c>
      <c r="J31" s="307">
        <f>IF($S31&lt;&gt;"",EOMONTH($S31,0),IF($R31&lt;&gt;"",EOMONTH($R31,0),""))</f>
      </c>
      <c r="K31" s="305">
        <f>IF($B31="","",IF(COUNTA('UX + Dev'!AA31)=0,"",TRIM('UX + Dev'!AA31)))</f>
      </c>
      <c r="L31" s="305">
        <f>IF($B31="","",IFERROR(MATCH($D31,Control!$E$4:$E$30,0),99))</f>
      </c>
      <c r="M31" s="305">
        <f>IF($B31="","",IFERROR(MATCH($F31,Control!$B$4:$B$30,0),99))</f>
      </c>
      <c r="N31" s="305">
        <f>IF($V31&lt;&gt;1,"",IF('Roadmap (Auto)'!$D$3="Status, then Theme",$M31*1000000+$L31*10000+ROW(),IF('Roadmap (Auto)'!$D$3="Dev start (earliest)",IF($I31="",99999999,$I31)*10000+ROW(),IF('Roadmap (Auto)'!$D$3="UX start (earliest)",IF($G31="",99999999,$G31)*10000+ROW(),IF('Roadmap (Auto)'!$D$3="Deliverable A-Z",$W31*10000+ROW(),$L31*1000000+$M31*10000+ROW())))))</f>
      </c>
      <c r="O31" s="305">
        <f>IF($N31="","",COUNTIF($N$2:$N$151,"&lt;"&amp;$N31)+1)</f>
      </c>
      <c r="P31" s="305">
        <f>IF($B31="","",IF(COUNTA('UX + Dev'!X31)=0,"",'UX + Dev'!X31))</f>
      </c>
      <c r="Q31" s="305">
        <f>IF($B31="","",IF(COUNTA('UX + Dev'!Y31)=0,"",'UX + Dev'!Y31))</f>
      </c>
      <c r="R31" s="307">
        <f>IF($P31="","",IF(ISNUMBER($P31),DATE(YEAR($P31),MONTH($P31),1),IFERROR(DATE(IFERROR(VALUE(RIGHT(TRIM($P31),4)),YEAR(TODAY())),(SEARCH(LEFT(TRIM($P31),3),"JanFebMarAprMayJunJulAugSepOctNovDec")+2)/3,1),"")))</f>
      </c>
      <c r="S31" s="307">
        <f>IF($Q31="","",IF(ISNUMBER($Q31),DATE(YEAR($Q31),MONTH($Q31),1),IFERROR(DATE(IFERROR(VALUE(RIGHT(TRIM($Q31),4)),YEAR(TODAY())),(SEARCH(LEFT(TRIM($Q31),3),"JanFebMarAprMayJunJulAugSepOctNovDec")+2)/3,1),"")))</f>
      </c>
      <c r="T31" s="305">
        <f>IF($B31="","",COUNTA('UX + Dev'!$AB31:$DN31))</f>
      </c>
      <c r="U31" s="305">
        <f>IF($B31="","",IFERROR(MATCH($D31,Control!$E$4:$E$30,0)+3,0))</f>
      </c>
      <c r="V31" s="305">
        <f>IF($B31="","",IF(AND(OR('Roadmap (Auto)'!$A$3="",'Roadmap (Auto)'!$A$3="(All)",ISNUMBER(SEARCH('Roadmap (Auto)'!$A$3,$C31&amp;""))),OR('Roadmap (Auto)'!$B$3="",'Roadmap (Auto)'!$B$3="(All)",$D31='Roadmap (Auto)'!$B$3,$X31='Roadmap (Auto)'!$B$3),OR('Roadmap (Auto)'!$C$3="",'Roadmap (Auto)'!$C$3="(All)",$F31='Roadmap (Auto)'!$C$3)),1,0))</f>
      </c>
      <c r="W31" s="305">
        <f>IF($B31="","",COUNTIF($Y$2:$Y$151,"&lt;"&amp;$Y31)+1)</f>
      </c>
      <c r="X31" s="305">
        <f>IF($B31="","",IF(TRIM('UX + Dev'!D31)="","",TRIM('UX + Dev'!D31)))</f>
      </c>
      <c r="Y31" s="305">
        <f>IF($B31="","",SUBSTITUTE(SUBSTITUTE(SUBSTITUTE(SUBSTITUTE(SUBSTITUTE(SUBSTITUTE(SUBSTITUTE(SUBSTITUTE(SUBSTITUTE(SUBSTITUTE(SUBSTITUTE(SUBSTITUTE(SUBSTITUTE(SUBSTITUTE(SUBSTITUTE(SUBSTITUTE(SUBSTITUTE(SUBSTITUTE(SUBSTITUTE(SUBSTITUTE(SUBSTITUTE(SUBSTITUTE(SUBSTITUTE(SUBSTITUTE(SUBSTITUTE(UPPER($B31)," ",""),"-",""),":",""),"/",""),"&amp;",""),"|",""),"'",""),"’",""),"&lt;",""),"&gt;",""),",",""),"$",""),".",""),"(",""),")",""),"*",""),"?",""),"~",""),"_",""),"+",""),"#",""),";",""),"!",""),"%",""),"@",""))</f>
      </c>
      <c r="AA31">
        <f>IF($B31="",0,COUNTIFS('UX + Dev'!$AB$1:$DN$1,"&gt;="&amp;AA$1,'UX + Dev'!$AB$1:$DN$1,"&lt;="&amp;EOMONTH(AA$1,0),'UX + Dev'!$AB31:$DN31,"&lt;&gt;"))</f>
      </c>
      <c r="AB31">
        <f>IF($B31="",0,COUNTIFS('UX + Dev'!$AB$1:$DN$1,"&gt;="&amp;AB$1,'UX + Dev'!$AB$1:$DN$1,"&lt;="&amp;EOMONTH(AB$1,0),'UX + Dev'!$AB31:$DN31,"&lt;&gt;"))</f>
      </c>
      <c r="AC31">
        <f>IF($B31="",0,COUNTIFS('UX + Dev'!$AB$1:$DN$1,"&gt;="&amp;AC$1,'UX + Dev'!$AB$1:$DN$1,"&lt;="&amp;EOMONTH(AC$1,0),'UX + Dev'!$AB31:$DN31,"&lt;&gt;"))</f>
      </c>
      <c r="AD31">
        <f>IF($B31="",0,COUNTIFS('UX + Dev'!$AB$1:$DN$1,"&gt;="&amp;AD$1,'UX + Dev'!$AB$1:$DN$1,"&lt;="&amp;EOMONTH(AD$1,0),'UX + Dev'!$AB31:$DN31,"&lt;&gt;"))</f>
      </c>
      <c r="AE31">
        <f>IF($B31="",0,COUNTIFS('UX + Dev'!$AB$1:$DN$1,"&gt;="&amp;AE$1,'UX + Dev'!$AB$1:$DN$1,"&lt;="&amp;EOMONTH(AE$1,0),'UX + Dev'!$AB31:$DN31,"&lt;&gt;"))</f>
      </c>
      <c r="AF31">
        <f>IF($B31="",0,COUNTIFS('UX + Dev'!$AB$1:$DN$1,"&gt;="&amp;AF$1,'UX + Dev'!$AB$1:$DN$1,"&lt;="&amp;EOMONTH(AF$1,0),'UX + Dev'!$AB31:$DN31,"&lt;&gt;"))</f>
      </c>
      <c r="AG31">
        <f>IF($B31="",0,COUNTIFS('UX + Dev'!$AB$1:$DN$1,"&gt;="&amp;AG$1,'UX + Dev'!$AB$1:$DN$1,"&lt;="&amp;EOMONTH(AG$1,0),'UX + Dev'!$AB31:$DN31,"&lt;&gt;"))</f>
      </c>
      <c r="AH31">
        <f>IF($B31="",0,COUNTIFS('UX + Dev'!$AB$1:$DN$1,"&gt;="&amp;AH$1,'UX + Dev'!$AB$1:$DN$1,"&lt;="&amp;EOMONTH(AH$1,0),'UX + Dev'!$AB31:$DN31,"&lt;&gt;"))</f>
      </c>
      <c r="AI31">
        <f>IF($B31="",0,COUNTIFS('UX + Dev'!$AB$1:$DN$1,"&gt;="&amp;AI$1,'UX + Dev'!$AB$1:$DN$1,"&lt;="&amp;EOMONTH(AI$1,0),'UX + Dev'!$AB31:$DN31,"&lt;&gt;"))</f>
      </c>
      <c r="AJ31">
        <f>IF($B31="",0,COUNTIFS('UX + Dev'!$AB$1:$DN$1,"&gt;="&amp;AJ$1,'UX + Dev'!$AB$1:$DN$1,"&lt;="&amp;EOMONTH(AJ$1,0),'UX + Dev'!$AB31:$DN31,"&lt;&gt;"))</f>
      </c>
      <c r="AK31">
        <f>IF($B31="",0,COUNTIFS('UX + Dev'!$AB$1:$DN$1,"&gt;="&amp;AK$1,'UX + Dev'!$AB$1:$DN$1,"&lt;="&amp;EOMONTH(AK$1,0),'UX + Dev'!$AB31:$DN31,"&lt;&gt;"))</f>
      </c>
      <c r="AL31">
        <f>IF($B31="",0,COUNTIFS('UX + Dev'!$AB$1:$DN$1,"&gt;="&amp;AL$1,'UX + Dev'!$AB$1:$DN$1,"&lt;="&amp;EOMONTH(AL$1,0),'UX + Dev'!$AB31:$DN31,"&lt;&gt;"))</f>
      </c>
      <c r="AM31">
        <f>IF($B31="",0,COUNTIFS('UX + Dev'!$AB$1:$DN$1,"&gt;="&amp;AM$1,'UX + Dev'!$AB$1:$DN$1,"&lt;="&amp;EOMONTH(AM$1,0),'UX + Dev'!$AB31:$DN31,"&lt;&gt;"))</f>
      </c>
      <c r="AN31">
        <f>IF($B31="",0,COUNTIFS('UX + Dev'!$AB$1:$DN$1,"&gt;="&amp;AN$1,'UX + Dev'!$AB$1:$DN$1,"&lt;="&amp;EOMONTH(AN$1,0),'UX + Dev'!$AB31:$DN31,"&lt;&gt;"))</f>
      </c>
      <c r="AO31">
        <f>IF($B31="",0,COUNTIFS('UX + Dev'!$AB$1:$DN$1,"&gt;="&amp;AO$1,'UX + Dev'!$AB$1:$DN$1,"&lt;="&amp;EOMONTH(AO$1,0),'UX + Dev'!$AB31:$DN31,"&lt;&gt;"))</f>
      </c>
      <c r="AP31">
        <f>IF($B31="",0,COUNTIFS('UX + Dev'!$AB$1:$DN$1,"&gt;="&amp;AP$1,'UX + Dev'!$AB$1:$DN$1,"&lt;="&amp;EOMONTH(AP$1,0),'UX + Dev'!$AB31:$DN31,"&lt;&gt;"))</f>
      </c>
      <c r="AQ31">
        <f>IF($B31="",0,COUNTIFS('UX + Dev'!$AB$1:$DN$1,"&gt;="&amp;AQ$1,'UX + Dev'!$AB$1:$DN$1,"&lt;="&amp;EOMONTH(AQ$1,0),'UX + Dev'!$AB31:$DN31,"&lt;&gt;"))</f>
      </c>
      <c r="AR31">
        <f>IF($B31="",0,COUNTIFS('UX + Dev'!$AB$1:$DN$1,"&gt;="&amp;AR$1,'UX + Dev'!$AB$1:$DN$1,"&lt;="&amp;EOMONTH(AR$1,0),'UX + Dev'!$AB31:$DN31,"&lt;&gt;"))</f>
      </c>
      <c r="AS31">
        <f>IF($B31="",0,COUNTIFS('UX + Dev'!$AB$1:$DN$1,"&gt;="&amp;AS$1,'UX + Dev'!$AB$1:$DN$1,"&lt;="&amp;EOMONTH(AS$1,0),'UX + Dev'!$AB31:$DN31,"&lt;&gt;"))</f>
      </c>
      <c r="AT31">
        <f>IF($B31="",0,COUNTIFS('UX + Dev'!$AB$1:$DN$1,"&gt;="&amp;AT$1,'UX + Dev'!$AB$1:$DN$1,"&lt;="&amp;EOMONTH(AT$1,0),'UX + Dev'!$AB31:$DN31,"&lt;&gt;"))</f>
      </c>
      <c r="AU31">
        <f>IF($B31="",0,COUNTIFS('UX + Dev'!$AB$1:$DN$1,"&gt;="&amp;AU$1,'UX + Dev'!$AB$1:$DN$1,"&lt;="&amp;EOMONTH(AU$1,0),'UX + Dev'!$AB31:$DN31,"&lt;&gt;"))</f>
      </c>
      <c r="AV31">
        <f>IF($B31="",0,COUNTIFS('UX + Dev'!$AB$1:$DN$1,"&gt;="&amp;AV$1,'UX + Dev'!$AB$1:$DN$1,"&lt;="&amp;EOMONTH(AV$1,0),'UX + Dev'!$AB31:$DN31,"&lt;&gt;"))</f>
      </c>
      <c r="AW31">
        <f>IF($B31="",0,COUNTIFS('UX + Dev'!$AB$1:$DN$1,"&gt;="&amp;AW$1,'UX + Dev'!$AB$1:$DN$1,"&lt;="&amp;EOMONTH(AW$1,0),'UX + Dev'!$AB31:$DN31,"&lt;&gt;"))</f>
      </c>
      <c r="AX31">
        <f>IF($B31="",0,COUNTIFS('UX + Dev'!$AB$1:$DN$1,"&gt;="&amp;AX$1,'UX + Dev'!$AB$1:$DN$1,"&lt;="&amp;EOMONTH(AX$1,0),'UX + Dev'!$AB31:$DN31,"&lt;&gt;"))</f>
      </c>
      <c r="BB31" s="308">
        <f>IF($B31="","",IF(COUNTA('UX + Dev'!U31)&gt;0,DATE(YEAR('UX + Dev'!U31),MONTH('UX + Dev'!U31),1),IF(COUNTA('UX + Dev'!V31)&gt;0,DATE(YEAR('UX + Dev'!V31),MONTH('UX + Dev'!V31),1),"")))</f>
      </c>
      <c r="BC31" s="308">
        <f>IF($B31="","",IF(COUNTA('UX + Dev'!V31)&gt;0,EOMONTH('UX + Dev'!V31,0),IF(COUNTA('UX + Dev'!U31)&gt;0,EOMONTH('UX + Dev'!U31,0),"")))</f>
      </c>
    </row>
    <row r="32">
      <c r="A32" s="305" t="n">
        <v>32</v>
      </c>
      <c r="B32" s="305">
        <f>IF(TRIM('UX + Dev'!E32)="","",TRIM('UX + Dev'!E32))</f>
      </c>
      <c r="C32" s="305">
        <f>IF($B32="","",'UX + Dev'!B32)</f>
      </c>
      <c r="D32" s="305">
        <f>IF($B32="","",IF(TRIM('UX + Dev'!C32)="","(No theme assigned)",TRIM('UX + Dev'!C32)))</f>
      </c>
      <c r="E32" s="305">
        <f>IF($B32="","",TRIM('UX + Dev'!F32))</f>
      </c>
      <c r="F32" s="305">
        <f>IF($B32="","",'UX + Dev'!G32)</f>
      </c>
      <c r="G32" s="306">
        <f t="array" ref="G32">IF($B32="","",IF($T32=0,"",IFERROR(MIN(IF('UX + Dev'!$AB32:$DN32&lt;&gt;"",'UX + Dev'!$AB$1:$DN$1)),"")))</f>
      </c>
      <c r="H32" s="306">
        <f t="array" ref="H32">IF($B32="","",IF($T32=0,"",IFERROR(MAX(IF('UX + Dev'!$AB32:$DN32&lt;&gt;"",'UX + Dev'!$AB$1:$DN$1)),"")))</f>
      </c>
      <c r="I32" s="307">
        <f>IF($R32&lt;&gt;"",$R32,IF($S32&lt;&gt;"",$S32,""))</f>
      </c>
      <c r="J32" s="307">
        <f>IF($S32&lt;&gt;"",EOMONTH($S32,0),IF($R32&lt;&gt;"",EOMONTH($R32,0),""))</f>
      </c>
      <c r="K32" s="305">
        <f>IF($B32="","",IF(COUNTA('UX + Dev'!AA32)=0,"",TRIM('UX + Dev'!AA32)))</f>
      </c>
      <c r="L32" s="305">
        <f>IF($B32="","",IFERROR(MATCH($D32,Control!$E$4:$E$30,0),99))</f>
      </c>
      <c r="M32" s="305">
        <f>IF($B32="","",IFERROR(MATCH($F32,Control!$B$4:$B$30,0),99))</f>
      </c>
      <c r="N32" s="305">
        <f>IF($V32&lt;&gt;1,"",IF('Roadmap (Auto)'!$D$3="Status, then Theme",$M32*1000000+$L32*10000+ROW(),IF('Roadmap (Auto)'!$D$3="Dev start (earliest)",IF($I32="",99999999,$I32)*10000+ROW(),IF('Roadmap (Auto)'!$D$3="UX start (earliest)",IF($G32="",99999999,$G32)*10000+ROW(),IF('Roadmap (Auto)'!$D$3="Deliverable A-Z",$W32*10000+ROW(),$L32*1000000+$M32*10000+ROW())))))</f>
      </c>
      <c r="O32" s="305">
        <f>IF($N32="","",COUNTIF($N$2:$N$151,"&lt;"&amp;$N32)+1)</f>
      </c>
      <c r="P32" s="305">
        <f>IF($B32="","",IF(COUNTA('UX + Dev'!X32)=0,"",'UX + Dev'!X32))</f>
      </c>
      <c r="Q32" s="305">
        <f>IF($B32="","",IF(COUNTA('UX + Dev'!Y32)=0,"",'UX + Dev'!Y32))</f>
      </c>
      <c r="R32" s="307">
        <f>IF($P32="","",IF(ISNUMBER($P32),DATE(YEAR($P32),MONTH($P32),1),IFERROR(DATE(IFERROR(VALUE(RIGHT(TRIM($P32),4)),YEAR(TODAY())),(SEARCH(LEFT(TRIM($P32),3),"JanFebMarAprMayJunJulAugSepOctNovDec")+2)/3,1),"")))</f>
      </c>
      <c r="S32" s="307">
        <f>IF($Q32="","",IF(ISNUMBER($Q32),DATE(YEAR($Q32),MONTH($Q32),1),IFERROR(DATE(IFERROR(VALUE(RIGHT(TRIM($Q32),4)),YEAR(TODAY())),(SEARCH(LEFT(TRIM($Q32),3),"JanFebMarAprMayJunJulAugSepOctNovDec")+2)/3,1),"")))</f>
      </c>
      <c r="T32" s="305">
        <f>IF($B32="","",COUNTA('UX + Dev'!$AB32:$DN32))</f>
      </c>
      <c r="U32" s="305">
        <f>IF($B32="","",IFERROR(MATCH($D32,Control!$E$4:$E$30,0)+3,0))</f>
      </c>
      <c r="V32" s="305">
        <f>IF($B32="","",IF(AND(OR('Roadmap (Auto)'!$A$3="",'Roadmap (Auto)'!$A$3="(All)",ISNUMBER(SEARCH('Roadmap (Auto)'!$A$3,$C32&amp;""))),OR('Roadmap (Auto)'!$B$3="",'Roadmap (Auto)'!$B$3="(All)",$D32='Roadmap (Auto)'!$B$3,$X32='Roadmap (Auto)'!$B$3),OR('Roadmap (Auto)'!$C$3="",'Roadmap (Auto)'!$C$3="(All)",$F32='Roadmap (Auto)'!$C$3)),1,0))</f>
      </c>
      <c r="W32" s="305">
        <f>IF($B32="","",COUNTIF($Y$2:$Y$151,"&lt;"&amp;$Y32)+1)</f>
      </c>
      <c r="X32" s="305">
        <f>IF($B32="","",IF(TRIM('UX + Dev'!D32)="","",TRIM('UX + Dev'!D32)))</f>
      </c>
      <c r="Y32" s="305">
        <f>IF($B32="","",SUBSTITUTE(SUBSTITUTE(SUBSTITUTE(SUBSTITUTE(SUBSTITUTE(SUBSTITUTE(SUBSTITUTE(SUBSTITUTE(SUBSTITUTE(SUBSTITUTE(SUBSTITUTE(SUBSTITUTE(SUBSTITUTE(SUBSTITUTE(SUBSTITUTE(SUBSTITUTE(SUBSTITUTE(SUBSTITUTE(SUBSTITUTE(SUBSTITUTE(SUBSTITUTE(SUBSTITUTE(SUBSTITUTE(SUBSTITUTE(SUBSTITUTE(UPPER($B32)," ",""),"-",""),":",""),"/",""),"&amp;",""),"|",""),"'",""),"’",""),"&lt;",""),"&gt;",""),",",""),"$",""),".",""),"(",""),")",""),"*",""),"?",""),"~",""),"_",""),"+",""),"#",""),";",""),"!",""),"%",""),"@",""))</f>
      </c>
      <c r="AA32">
        <f>IF($B32="",0,COUNTIFS('UX + Dev'!$AB$1:$DN$1,"&gt;="&amp;AA$1,'UX + Dev'!$AB$1:$DN$1,"&lt;="&amp;EOMONTH(AA$1,0),'UX + Dev'!$AB32:$DN32,"&lt;&gt;"))</f>
      </c>
      <c r="AB32">
        <f>IF($B32="",0,COUNTIFS('UX + Dev'!$AB$1:$DN$1,"&gt;="&amp;AB$1,'UX + Dev'!$AB$1:$DN$1,"&lt;="&amp;EOMONTH(AB$1,0),'UX + Dev'!$AB32:$DN32,"&lt;&gt;"))</f>
      </c>
      <c r="AC32">
        <f>IF($B32="",0,COUNTIFS('UX + Dev'!$AB$1:$DN$1,"&gt;="&amp;AC$1,'UX + Dev'!$AB$1:$DN$1,"&lt;="&amp;EOMONTH(AC$1,0),'UX + Dev'!$AB32:$DN32,"&lt;&gt;"))</f>
      </c>
      <c r="AD32">
        <f>IF($B32="",0,COUNTIFS('UX + Dev'!$AB$1:$DN$1,"&gt;="&amp;AD$1,'UX + Dev'!$AB$1:$DN$1,"&lt;="&amp;EOMONTH(AD$1,0),'UX + Dev'!$AB32:$DN32,"&lt;&gt;"))</f>
      </c>
      <c r="AE32">
        <f>IF($B32="",0,COUNTIFS('UX + Dev'!$AB$1:$DN$1,"&gt;="&amp;AE$1,'UX + Dev'!$AB$1:$DN$1,"&lt;="&amp;EOMONTH(AE$1,0),'UX + Dev'!$AB32:$DN32,"&lt;&gt;"))</f>
      </c>
      <c r="AF32">
        <f>IF($B32="",0,COUNTIFS('UX + Dev'!$AB$1:$DN$1,"&gt;="&amp;AF$1,'UX + Dev'!$AB$1:$DN$1,"&lt;="&amp;EOMONTH(AF$1,0),'UX + Dev'!$AB32:$DN32,"&lt;&gt;"))</f>
      </c>
      <c r="AG32">
        <f>IF($B32="",0,COUNTIFS('UX + Dev'!$AB$1:$DN$1,"&gt;="&amp;AG$1,'UX + Dev'!$AB$1:$DN$1,"&lt;="&amp;EOMONTH(AG$1,0),'UX + Dev'!$AB32:$DN32,"&lt;&gt;"))</f>
      </c>
      <c r="AH32">
        <f>IF($B32="",0,COUNTIFS('UX + Dev'!$AB$1:$DN$1,"&gt;="&amp;AH$1,'UX + Dev'!$AB$1:$DN$1,"&lt;="&amp;EOMONTH(AH$1,0),'UX + Dev'!$AB32:$DN32,"&lt;&gt;"))</f>
      </c>
      <c r="AI32">
        <f>IF($B32="",0,COUNTIFS('UX + Dev'!$AB$1:$DN$1,"&gt;="&amp;AI$1,'UX + Dev'!$AB$1:$DN$1,"&lt;="&amp;EOMONTH(AI$1,0),'UX + Dev'!$AB32:$DN32,"&lt;&gt;"))</f>
      </c>
      <c r="AJ32">
        <f>IF($B32="",0,COUNTIFS('UX + Dev'!$AB$1:$DN$1,"&gt;="&amp;AJ$1,'UX + Dev'!$AB$1:$DN$1,"&lt;="&amp;EOMONTH(AJ$1,0),'UX + Dev'!$AB32:$DN32,"&lt;&gt;"))</f>
      </c>
      <c r="AK32">
        <f>IF($B32="",0,COUNTIFS('UX + Dev'!$AB$1:$DN$1,"&gt;="&amp;AK$1,'UX + Dev'!$AB$1:$DN$1,"&lt;="&amp;EOMONTH(AK$1,0),'UX + Dev'!$AB32:$DN32,"&lt;&gt;"))</f>
      </c>
      <c r="AL32">
        <f>IF($B32="",0,COUNTIFS('UX + Dev'!$AB$1:$DN$1,"&gt;="&amp;AL$1,'UX + Dev'!$AB$1:$DN$1,"&lt;="&amp;EOMONTH(AL$1,0),'UX + Dev'!$AB32:$DN32,"&lt;&gt;"))</f>
      </c>
      <c r="AM32">
        <f>IF($B32="",0,COUNTIFS('UX + Dev'!$AB$1:$DN$1,"&gt;="&amp;AM$1,'UX + Dev'!$AB$1:$DN$1,"&lt;="&amp;EOMONTH(AM$1,0),'UX + Dev'!$AB32:$DN32,"&lt;&gt;"))</f>
      </c>
      <c r="AN32">
        <f>IF($B32="",0,COUNTIFS('UX + Dev'!$AB$1:$DN$1,"&gt;="&amp;AN$1,'UX + Dev'!$AB$1:$DN$1,"&lt;="&amp;EOMONTH(AN$1,0),'UX + Dev'!$AB32:$DN32,"&lt;&gt;"))</f>
      </c>
      <c r="AO32">
        <f>IF($B32="",0,COUNTIFS('UX + Dev'!$AB$1:$DN$1,"&gt;="&amp;AO$1,'UX + Dev'!$AB$1:$DN$1,"&lt;="&amp;EOMONTH(AO$1,0),'UX + Dev'!$AB32:$DN32,"&lt;&gt;"))</f>
      </c>
      <c r="AP32">
        <f>IF($B32="",0,COUNTIFS('UX + Dev'!$AB$1:$DN$1,"&gt;="&amp;AP$1,'UX + Dev'!$AB$1:$DN$1,"&lt;="&amp;EOMONTH(AP$1,0),'UX + Dev'!$AB32:$DN32,"&lt;&gt;"))</f>
      </c>
      <c r="AQ32">
        <f>IF($B32="",0,COUNTIFS('UX + Dev'!$AB$1:$DN$1,"&gt;="&amp;AQ$1,'UX + Dev'!$AB$1:$DN$1,"&lt;="&amp;EOMONTH(AQ$1,0),'UX + Dev'!$AB32:$DN32,"&lt;&gt;"))</f>
      </c>
      <c r="AR32">
        <f>IF($B32="",0,COUNTIFS('UX + Dev'!$AB$1:$DN$1,"&gt;="&amp;AR$1,'UX + Dev'!$AB$1:$DN$1,"&lt;="&amp;EOMONTH(AR$1,0),'UX + Dev'!$AB32:$DN32,"&lt;&gt;"))</f>
      </c>
      <c r="AS32">
        <f>IF($B32="",0,COUNTIFS('UX + Dev'!$AB$1:$DN$1,"&gt;="&amp;AS$1,'UX + Dev'!$AB$1:$DN$1,"&lt;="&amp;EOMONTH(AS$1,0),'UX + Dev'!$AB32:$DN32,"&lt;&gt;"))</f>
      </c>
      <c r="AT32">
        <f>IF($B32="",0,COUNTIFS('UX + Dev'!$AB$1:$DN$1,"&gt;="&amp;AT$1,'UX + Dev'!$AB$1:$DN$1,"&lt;="&amp;EOMONTH(AT$1,0),'UX + Dev'!$AB32:$DN32,"&lt;&gt;"))</f>
      </c>
      <c r="AU32">
        <f>IF($B32="",0,COUNTIFS('UX + Dev'!$AB$1:$DN$1,"&gt;="&amp;AU$1,'UX + Dev'!$AB$1:$DN$1,"&lt;="&amp;EOMONTH(AU$1,0),'UX + Dev'!$AB32:$DN32,"&lt;&gt;"))</f>
      </c>
      <c r="AV32">
        <f>IF($B32="",0,COUNTIFS('UX + Dev'!$AB$1:$DN$1,"&gt;="&amp;AV$1,'UX + Dev'!$AB$1:$DN$1,"&lt;="&amp;EOMONTH(AV$1,0),'UX + Dev'!$AB32:$DN32,"&lt;&gt;"))</f>
      </c>
      <c r="AW32">
        <f>IF($B32="",0,COUNTIFS('UX + Dev'!$AB$1:$DN$1,"&gt;="&amp;AW$1,'UX + Dev'!$AB$1:$DN$1,"&lt;="&amp;EOMONTH(AW$1,0),'UX + Dev'!$AB32:$DN32,"&lt;&gt;"))</f>
      </c>
      <c r="AX32">
        <f>IF($B32="",0,COUNTIFS('UX + Dev'!$AB$1:$DN$1,"&gt;="&amp;AX$1,'UX + Dev'!$AB$1:$DN$1,"&lt;="&amp;EOMONTH(AX$1,0),'UX + Dev'!$AB32:$DN32,"&lt;&gt;"))</f>
      </c>
      <c r="BB32" s="308">
        <f>IF($B32="","",IF(COUNTA('UX + Dev'!U32)&gt;0,DATE(YEAR('UX + Dev'!U32),MONTH('UX + Dev'!U32),1),IF(COUNTA('UX + Dev'!V32)&gt;0,DATE(YEAR('UX + Dev'!V32),MONTH('UX + Dev'!V32),1),"")))</f>
      </c>
      <c r="BC32" s="308">
        <f>IF($B32="","",IF(COUNTA('UX + Dev'!V32)&gt;0,EOMONTH('UX + Dev'!V32,0),IF(COUNTA('UX + Dev'!U32)&gt;0,EOMONTH('UX + Dev'!U32,0),"")))</f>
      </c>
    </row>
    <row r="33">
      <c r="A33" s="305" t="n">
        <v>33</v>
      </c>
      <c r="B33" s="305">
        <f>IF(TRIM('UX + Dev'!E33)="","",TRIM('UX + Dev'!E33))</f>
      </c>
      <c r="C33" s="305">
        <f>IF($B33="","",'UX + Dev'!B33)</f>
      </c>
      <c r="D33" s="305">
        <f>IF($B33="","",IF(TRIM('UX + Dev'!C33)="","(No theme assigned)",TRIM('UX + Dev'!C33)))</f>
      </c>
      <c r="E33" s="305">
        <f>IF($B33="","",TRIM('UX + Dev'!F33))</f>
      </c>
      <c r="F33" s="305">
        <f>IF($B33="","",'UX + Dev'!G33)</f>
      </c>
      <c r="G33" s="306">
        <f t="array" ref="G33">IF($B33="","",IF($T33=0,"",IFERROR(MIN(IF('UX + Dev'!$AB33:$DN33&lt;&gt;"",'UX + Dev'!$AB$1:$DN$1)),"")))</f>
      </c>
      <c r="H33" s="306">
        <f t="array" ref="H33">IF($B33="","",IF($T33=0,"",IFERROR(MAX(IF('UX + Dev'!$AB33:$DN33&lt;&gt;"",'UX + Dev'!$AB$1:$DN$1)),"")))</f>
      </c>
      <c r="I33" s="307">
        <f>IF($R33&lt;&gt;"",$R33,IF($S33&lt;&gt;"",$S33,""))</f>
      </c>
      <c r="J33" s="307">
        <f>IF($S33&lt;&gt;"",EOMONTH($S33,0),IF($R33&lt;&gt;"",EOMONTH($R33,0),""))</f>
      </c>
      <c r="K33" s="305">
        <f>IF($B33="","",IF(COUNTA('UX + Dev'!AA33)=0,"",TRIM('UX + Dev'!AA33)))</f>
      </c>
      <c r="L33" s="305">
        <f>IF($B33="","",IFERROR(MATCH($D33,Control!$E$4:$E$30,0),99))</f>
      </c>
      <c r="M33" s="305">
        <f>IF($B33="","",IFERROR(MATCH($F33,Control!$B$4:$B$30,0),99))</f>
      </c>
      <c r="N33" s="305">
        <f>IF($V33&lt;&gt;1,"",IF('Roadmap (Auto)'!$D$3="Status, then Theme",$M33*1000000+$L33*10000+ROW(),IF('Roadmap (Auto)'!$D$3="Dev start (earliest)",IF($I33="",99999999,$I33)*10000+ROW(),IF('Roadmap (Auto)'!$D$3="UX start (earliest)",IF($G33="",99999999,$G33)*10000+ROW(),IF('Roadmap (Auto)'!$D$3="Deliverable A-Z",$W33*10000+ROW(),$L33*1000000+$M33*10000+ROW())))))</f>
      </c>
      <c r="O33" s="305">
        <f>IF($N33="","",COUNTIF($N$2:$N$151,"&lt;"&amp;$N33)+1)</f>
      </c>
      <c r="P33" s="305">
        <f>IF($B33="","",IF(COUNTA('UX + Dev'!X33)=0,"",'UX + Dev'!X33))</f>
      </c>
      <c r="Q33" s="305">
        <f>IF($B33="","",IF(COUNTA('UX + Dev'!Y33)=0,"",'UX + Dev'!Y33))</f>
      </c>
      <c r="R33" s="307">
        <f>IF($P33="","",IF(ISNUMBER($P33),DATE(YEAR($P33),MONTH($P33),1),IFERROR(DATE(IFERROR(VALUE(RIGHT(TRIM($P33),4)),YEAR(TODAY())),(SEARCH(LEFT(TRIM($P33),3),"JanFebMarAprMayJunJulAugSepOctNovDec")+2)/3,1),"")))</f>
      </c>
      <c r="S33" s="307">
        <f>IF($Q33="","",IF(ISNUMBER($Q33),DATE(YEAR($Q33),MONTH($Q33),1),IFERROR(DATE(IFERROR(VALUE(RIGHT(TRIM($Q33),4)),YEAR(TODAY())),(SEARCH(LEFT(TRIM($Q33),3),"JanFebMarAprMayJunJulAugSepOctNovDec")+2)/3,1),"")))</f>
      </c>
      <c r="T33" s="305">
        <f>IF($B33="","",COUNTA('UX + Dev'!$AB33:$DN33))</f>
      </c>
      <c r="U33" s="305">
        <f>IF($B33="","",IFERROR(MATCH($D33,Control!$E$4:$E$30,0)+3,0))</f>
      </c>
      <c r="V33" s="305">
        <f>IF($B33="","",IF(AND(OR('Roadmap (Auto)'!$A$3="",'Roadmap (Auto)'!$A$3="(All)",ISNUMBER(SEARCH('Roadmap (Auto)'!$A$3,$C33&amp;""))),OR('Roadmap (Auto)'!$B$3="",'Roadmap (Auto)'!$B$3="(All)",$D33='Roadmap (Auto)'!$B$3,$X33='Roadmap (Auto)'!$B$3),OR('Roadmap (Auto)'!$C$3="",'Roadmap (Auto)'!$C$3="(All)",$F33='Roadmap (Auto)'!$C$3)),1,0))</f>
      </c>
      <c r="W33" s="305">
        <f>IF($B33="","",COUNTIF($Y$2:$Y$151,"&lt;"&amp;$Y33)+1)</f>
      </c>
      <c r="X33" s="305">
        <f>IF($B33="","",IF(TRIM('UX + Dev'!D33)="","",TRIM('UX + Dev'!D33)))</f>
      </c>
      <c r="Y33" s="305">
        <f>IF($B33="","",SUBSTITUTE(SUBSTITUTE(SUBSTITUTE(SUBSTITUTE(SUBSTITUTE(SUBSTITUTE(SUBSTITUTE(SUBSTITUTE(SUBSTITUTE(SUBSTITUTE(SUBSTITUTE(SUBSTITUTE(SUBSTITUTE(SUBSTITUTE(SUBSTITUTE(SUBSTITUTE(SUBSTITUTE(SUBSTITUTE(SUBSTITUTE(SUBSTITUTE(SUBSTITUTE(SUBSTITUTE(SUBSTITUTE(SUBSTITUTE(SUBSTITUTE(UPPER($B33)," ",""),"-",""),":",""),"/",""),"&amp;",""),"|",""),"'",""),"’",""),"&lt;",""),"&gt;",""),",",""),"$",""),".",""),"(",""),")",""),"*",""),"?",""),"~",""),"_",""),"+",""),"#",""),";",""),"!",""),"%",""),"@",""))</f>
      </c>
      <c r="AA33">
        <f>IF($B33="",0,COUNTIFS('UX + Dev'!$AB$1:$DN$1,"&gt;="&amp;AA$1,'UX + Dev'!$AB$1:$DN$1,"&lt;="&amp;EOMONTH(AA$1,0),'UX + Dev'!$AB33:$DN33,"&lt;&gt;"))</f>
      </c>
      <c r="AB33">
        <f>IF($B33="",0,COUNTIFS('UX + Dev'!$AB$1:$DN$1,"&gt;="&amp;AB$1,'UX + Dev'!$AB$1:$DN$1,"&lt;="&amp;EOMONTH(AB$1,0),'UX + Dev'!$AB33:$DN33,"&lt;&gt;"))</f>
      </c>
      <c r="AC33">
        <f>IF($B33="",0,COUNTIFS('UX + Dev'!$AB$1:$DN$1,"&gt;="&amp;AC$1,'UX + Dev'!$AB$1:$DN$1,"&lt;="&amp;EOMONTH(AC$1,0),'UX + Dev'!$AB33:$DN33,"&lt;&gt;"))</f>
      </c>
      <c r="AD33">
        <f>IF($B33="",0,COUNTIFS('UX + Dev'!$AB$1:$DN$1,"&gt;="&amp;AD$1,'UX + Dev'!$AB$1:$DN$1,"&lt;="&amp;EOMONTH(AD$1,0),'UX + Dev'!$AB33:$DN33,"&lt;&gt;"))</f>
      </c>
      <c r="AE33">
        <f>IF($B33="",0,COUNTIFS('UX + Dev'!$AB$1:$DN$1,"&gt;="&amp;AE$1,'UX + Dev'!$AB$1:$DN$1,"&lt;="&amp;EOMONTH(AE$1,0),'UX + Dev'!$AB33:$DN33,"&lt;&gt;"))</f>
      </c>
      <c r="AF33">
        <f>IF($B33="",0,COUNTIFS('UX + Dev'!$AB$1:$DN$1,"&gt;="&amp;AF$1,'UX + Dev'!$AB$1:$DN$1,"&lt;="&amp;EOMONTH(AF$1,0),'UX + Dev'!$AB33:$DN33,"&lt;&gt;"))</f>
      </c>
      <c r="AG33">
        <f>IF($B33="",0,COUNTIFS('UX + Dev'!$AB$1:$DN$1,"&gt;="&amp;AG$1,'UX + Dev'!$AB$1:$DN$1,"&lt;="&amp;EOMONTH(AG$1,0),'UX + Dev'!$AB33:$DN33,"&lt;&gt;"))</f>
      </c>
      <c r="AH33">
        <f>IF($B33="",0,COUNTIFS('UX + Dev'!$AB$1:$DN$1,"&gt;="&amp;AH$1,'UX + Dev'!$AB$1:$DN$1,"&lt;="&amp;EOMONTH(AH$1,0),'UX + Dev'!$AB33:$DN33,"&lt;&gt;"))</f>
      </c>
      <c r="AI33">
        <f>IF($B33="",0,COUNTIFS('UX + Dev'!$AB$1:$DN$1,"&gt;="&amp;AI$1,'UX + Dev'!$AB$1:$DN$1,"&lt;="&amp;EOMONTH(AI$1,0),'UX + Dev'!$AB33:$DN33,"&lt;&gt;"))</f>
      </c>
      <c r="AJ33">
        <f>IF($B33="",0,COUNTIFS('UX + Dev'!$AB$1:$DN$1,"&gt;="&amp;AJ$1,'UX + Dev'!$AB$1:$DN$1,"&lt;="&amp;EOMONTH(AJ$1,0),'UX + Dev'!$AB33:$DN33,"&lt;&gt;"))</f>
      </c>
      <c r="AK33">
        <f>IF($B33="",0,COUNTIFS('UX + Dev'!$AB$1:$DN$1,"&gt;="&amp;AK$1,'UX + Dev'!$AB$1:$DN$1,"&lt;="&amp;EOMONTH(AK$1,0),'UX + Dev'!$AB33:$DN33,"&lt;&gt;"))</f>
      </c>
      <c r="AL33">
        <f>IF($B33="",0,COUNTIFS('UX + Dev'!$AB$1:$DN$1,"&gt;="&amp;AL$1,'UX + Dev'!$AB$1:$DN$1,"&lt;="&amp;EOMONTH(AL$1,0),'UX + Dev'!$AB33:$DN33,"&lt;&gt;"))</f>
      </c>
      <c r="AM33">
        <f>IF($B33="",0,COUNTIFS('UX + Dev'!$AB$1:$DN$1,"&gt;="&amp;AM$1,'UX + Dev'!$AB$1:$DN$1,"&lt;="&amp;EOMONTH(AM$1,0),'UX + Dev'!$AB33:$DN33,"&lt;&gt;"))</f>
      </c>
      <c r="AN33">
        <f>IF($B33="",0,COUNTIFS('UX + Dev'!$AB$1:$DN$1,"&gt;="&amp;AN$1,'UX + Dev'!$AB$1:$DN$1,"&lt;="&amp;EOMONTH(AN$1,0),'UX + Dev'!$AB33:$DN33,"&lt;&gt;"))</f>
      </c>
      <c r="AO33">
        <f>IF($B33="",0,COUNTIFS('UX + Dev'!$AB$1:$DN$1,"&gt;="&amp;AO$1,'UX + Dev'!$AB$1:$DN$1,"&lt;="&amp;EOMONTH(AO$1,0),'UX + Dev'!$AB33:$DN33,"&lt;&gt;"))</f>
      </c>
      <c r="AP33">
        <f>IF($B33="",0,COUNTIFS('UX + Dev'!$AB$1:$DN$1,"&gt;="&amp;AP$1,'UX + Dev'!$AB$1:$DN$1,"&lt;="&amp;EOMONTH(AP$1,0),'UX + Dev'!$AB33:$DN33,"&lt;&gt;"))</f>
      </c>
      <c r="AQ33">
        <f>IF($B33="",0,COUNTIFS('UX + Dev'!$AB$1:$DN$1,"&gt;="&amp;AQ$1,'UX + Dev'!$AB$1:$DN$1,"&lt;="&amp;EOMONTH(AQ$1,0),'UX + Dev'!$AB33:$DN33,"&lt;&gt;"))</f>
      </c>
      <c r="AR33">
        <f>IF($B33="",0,COUNTIFS('UX + Dev'!$AB$1:$DN$1,"&gt;="&amp;AR$1,'UX + Dev'!$AB$1:$DN$1,"&lt;="&amp;EOMONTH(AR$1,0),'UX + Dev'!$AB33:$DN33,"&lt;&gt;"))</f>
      </c>
      <c r="AS33">
        <f>IF($B33="",0,COUNTIFS('UX + Dev'!$AB$1:$DN$1,"&gt;="&amp;AS$1,'UX + Dev'!$AB$1:$DN$1,"&lt;="&amp;EOMONTH(AS$1,0),'UX + Dev'!$AB33:$DN33,"&lt;&gt;"))</f>
      </c>
      <c r="AT33">
        <f>IF($B33="",0,COUNTIFS('UX + Dev'!$AB$1:$DN$1,"&gt;="&amp;AT$1,'UX + Dev'!$AB$1:$DN$1,"&lt;="&amp;EOMONTH(AT$1,0),'UX + Dev'!$AB33:$DN33,"&lt;&gt;"))</f>
      </c>
      <c r="AU33">
        <f>IF($B33="",0,COUNTIFS('UX + Dev'!$AB$1:$DN$1,"&gt;="&amp;AU$1,'UX + Dev'!$AB$1:$DN$1,"&lt;="&amp;EOMONTH(AU$1,0),'UX + Dev'!$AB33:$DN33,"&lt;&gt;"))</f>
      </c>
      <c r="AV33">
        <f>IF($B33="",0,COUNTIFS('UX + Dev'!$AB$1:$DN$1,"&gt;="&amp;AV$1,'UX + Dev'!$AB$1:$DN$1,"&lt;="&amp;EOMONTH(AV$1,0),'UX + Dev'!$AB33:$DN33,"&lt;&gt;"))</f>
      </c>
      <c r="AW33">
        <f>IF($B33="",0,COUNTIFS('UX + Dev'!$AB$1:$DN$1,"&gt;="&amp;AW$1,'UX + Dev'!$AB$1:$DN$1,"&lt;="&amp;EOMONTH(AW$1,0),'UX + Dev'!$AB33:$DN33,"&lt;&gt;"))</f>
      </c>
      <c r="AX33">
        <f>IF($B33="",0,COUNTIFS('UX + Dev'!$AB$1:$DN$1,"&gt;="&amp;AX$1,'UX + Dev'!$AB$1:$DN$1,"&lt;="&amp;EOMONTH(AX$1,0),'UX + Dev'!$AB33:$DN33,"&lt;&gt;"))</f>
      </c>
      <c r="BB33" s="308">
        <f>IF($B33="","",IF(COUNTA('UX + Dev'!U33)&gt;0,DATE(YEAR('UX + Dev'!U33),MONTH('UX + Dev'!U33),1),IF(COUNTA('UX + Dev'!V33)&gt;0,DATE(YEAR('UX + Dev'!V33),MONTH('UX + Dev'!V33),1),"")))</f>
      </c>
      <c r="BC33" s="308">
        <f>IF($B33="","",IF(COUNTA('UX + Dev'!V33)&gt;0,EOMONTH('UX + Dev'!V33,0),IF(COUNTA('UX + Dev'!U33)&gt;0,EOMONTH('UX + Dev'!U33,0),"")))</f>
      </c>
    </row>
    <row r="34">
      <c r="A34" s="305" t="n">
        <v>34</v>
      </c>
      <c r="B34" s="305">
        <f>IF(TRIM('UX + Dev'!E34)="","",TRIM('UX + Dev'!E34))</f>
      </c>
      <c r="C34" s="305">
        <f>IF($B34="","",'UX + Dev'!B34)</f>
      </c>
      <c r="D34" s="305">
        <f>IF($B34="","",IF(TRIM('UX + Dev'!C34)="","(No theme assigned)",TRIM('UX + Dev'!C34)))</f>
      </c>
      <c r="E34" s="305">
        <f>IF($B34="","",TRIM('UX + Dev'!F34))</f>
      </c>
      <c r="F34" s="305">
        <f>IF($B34="","",'UX + Dev'!G34)</f>
      </c>
      <c r="G34" s="306">
        <f t="array" ref="G34">IF($B34="","",IF($T34=0,"",IFERROR(MIN(IF('UX + Dev'!$AB34:$DN34&lt;&gt;"",'UX + Dev'!$AB$1:$DN$1)),"")))</f>
      </c>
      <c r="H34" s="306">
        <f t="array" ref="H34">IF($B34="","",IF($T34=0,"",IFERROR(MAX(IF('UX + Dev'!$AB34:$DN34&lt;&gt;"",'UX + Dev'!$AB$1:$DN$1)),"")))</f>
      </c>
      <c r="I34" s="307">
        <f>IF($R34&lt;&gt;"",$R34,IF($S34&lt;&gt;"",$S34,""))</f>
      </c>
      <c r="J34" s="307">
        <f>IF($S34&lt;&gt;"",EOMONTH($S34,0),IF($R34&lt;&gt;"",EOMONTH($R34,0),""))</f>
      </c>
      <c r="K34" s="305">
        <f>IF($B34="","",IF(COUNTA('UX + Dev'!AA34)=0,"",TRIM('UX + Dev'!AA34)))</f>
      </c>
      <c r="L34" s="305">
        <f>IF($B34="","",IFERROR(MATCH($D34,Control!$E$4:$E$30,0),99))</f>
      </c>
      <c r="M34" s="305">
        <f>IF($B34="","",IFERROR(MATCH($F34,Control!$B$4:$B$30,0),99))</f>
      </c>
      <c r="N34" s="305">
        <f>IF($V34&lt;&gt;1,"",IF('Roadmap (Auto)'!$D$3="Status, then Theme",$M34*1000000+$L34*10000+ROW(),IF('Roadmap (Auto)'!$D$3="Dev start (earliest)",IF($I34="",99999999,$I34)*10000+ROW(),IF('Roadmap (Auto)'!$D$3="UX start (earliest)",IF($G34="",99999999,$G34)*10000+ROW(),IF('Roadmap (Auto)'!$D$3="Deliverable A-Z",$W34*10000+ROW(),$L34*1000000+$M34*10000+ROW())))))</f>
      </c>
      <c r="O34" s="305">
        <f>IF($N34="","",COUNTIF($N$2:$N$151,"&lt;"&amp;$N34)+1)</f>
      </c>
      <c r="P34" s="305">
        <f>IF($B34="","",IF(COUNTA('UX + Dev'!X34)=0,"",'UX + Dev'!X34))</f>
      </c>
      <c r="Q34" s="305">
        <f>IF($B34="","",IF(COUNTA('UX + Dev'!Y34)=0,"",'UX + Dev'!Y34))</f>
      </c>
      <c r="R34" s="307">
        <f>IF($P34="","",IF(ISNUMBER($P34),DATE(YEAR($P34),MONTH($P34),1),IFERROR(DATE(IFERROR(VALUE(RIGHT(TRIM($P34),4)),YEAR(TODAY())),(SEARCH(LEFT(TRIM($P34),3),"JanFebMarAprMayJunJulAugSepOctNovDec")+2)/3,1),"")))</f>
      </c>
      <c r="S34" s="307">
        <f>IF($Q34="","",IF(ISNUMBER($Q34),DATE(YEAR($Q34),MONTH($Q34),1),IFERROR(DATE(IFERROR(VALUE(RIGHT(TRIM($Q34),4)),YEAR(TODAY())),(SEARCH(LEFT(TRIM($Q34),3),"JanFebMarAprMayJunJulAugSepOctNovDec")+2)/3,1),"")))</f>
      </c>
      <c r="T34" s="305">
        <f>IF($B34="","",COUNTA('UX + Dev'!$AB34:$DN34))</f>
      </c>
      <c r="U34" s="305">
        <f>IF($B34="","",IFERROR(MATCH($D34,Control!$E$4:$E$30,0)+3,0))</f>
      </c>
      <c r="V34" s="305">
        <f>IF($B34="","",IF(AND(OR('Roadmap (Auto)'!$A$3="",'Roadmap (Auto)'!$A$3="(All)",ISNUMBER(SEARCH('Roadmap (Auto)'!$A$3,$C34&amp;""))),OR('Roadmap (Auto)'!$B$3="",'Roadmap (Auto)'!$B$3="(All)",$D34='Roadmap (Auto)'!$B$3,$X34='Roadmap (Auto)'!$B$3),OR('Roadmap (Auto)'!$C$3="",'Roadmap (Auto)'!$C$3="(All)",$F34='Roadmap (Auto)'!$C$3)),1,0))</f>
      </c>
      <c r="W34" s="305">
        <f>IF($B34="","",COUNTIF($Y$2:$Y$151,"&lt;"&amp;$Y34)+1)</f>
      </c>
      <c r="X34" s="305">
        <f>IF($B34="","",IF(TRIM('UX + Dev'!D34)="","",TRIM('UX + Dev'!D34)))</f>
      </c>
      <c r="Y34" s="305">
        <f>IF($B34="","",SUBSTITUTE(SUBSTITUTE(SUBSTITUTE(SUBSTITUTE(SUBSTITUTE(SUBSTITUTE(SUBSTITUTE(SUBSTITUTE(SUBSTITUTE(SUBSTITUTE(SUBSTITUTE(SUBSTITUTE(SUBSTITUTE(SUBSTITUTE(SUBSTITUTE(SUBSTITUTE(SUBSTITUTE(SUBSTITUTE(SUBSTITUTE(SUBSTITUTE(SUBSTITUTE(SUBSTITUTE(SUBSTITUTE(SUBSTITUTE(SUBSTITUTE(UPPER($B34)," ",""),"-",""),":",""),"/",""),"&amp;",""),"|",""),"'",""),"’",""),"&lt;",""),"&gt;",""),",",""),"$",""),".",""),"(",""),")",""),"*",""),"?",""),"~",""),"_",""),"+",""),"#",""),";",""),"!",""),"%",""),"@",""))</f>
      </c>
      <c r="AA34">
        <f>IF($B34="",0,COUNTIFS('UX + Dev'!$AB$1:$DN$1,"&gt;="&amp;AA$1,'UX + Dev'!$AB$1:$DN$1,"&lt;="&amp;EOMONTH(AA$1,0),'UX + Dev'!$AB34:$DN34,"&lt;&gt;"))</f>
      </c>
      <c r="AB34">
        <f>IF($B34="",0,COUNTIFS('UX + Dev'!$AB$1:$DN$1,"&gt;="&amp;AB$1,'UX + Dev'!$AB$1:$DN$1,"&lt;="&amp;EOMONTH(AB$1,0),'UX + Dev'!$AB34:$DN34,"&lt;&gt;"))</f>
      </c>
      <c r="AC34">
        <f>IF($B34="",0,COUNTIFS('UX + Dev'!$AB$1:$DN$1,"&gt;="&amp;AC$1,'UX + Dev'!$AB$1:$DN$1,"&lt;="&amp;EOMONTH(AC$1,0),'UX + Dev'!$AB34:$DN34,"&lt;&gt;"))</f>
      </c>
      <c r="AD34">
        <f>IF($B34="",0,COUNTIFS('UX + Dev'!$AB$1:$DN$1,"&gt;="&amp;AD$1,'UX + Dev'!$AB$1:$DN$1,"&lt;="&amp;EOMONTH(AD$1,0),'UX + Dev'!$AB34:$DN34,"&lt;&gt;"))</f>
      </c>
      <c r="AE34">
        <f>IF($B34="",0,COUNTIFS('UX + Dev'!$AB$1:$DN$1,"&gt;="&amp;AE$1,'UX + Dev'!$AB$1:$DN$1,"&lt;="&amp;EOMONTH(AE$1,0),'UX + Dev'!$AB34:$DN34,"&lt;&gt;"))</f>
      </c>
      <c r="AF34">
        <f>IF($B34="",0,COUNTIFS('UX + Dev'!$AB$1:$DN$1,"&gt;="&amp;AF$1,'UX + Dev'!$AB$1:$DN$1,"&lt;="&amp;EOMONTH(AF$1,0),'UX + Dev'!$AB34:$DN34,"&lt;&gt;"))</f>
      </c>
      <c r="AG34">
        <f>IF($B34="",0,COUNTIFS('UX + Dev'!$AB$1:$DN$1,"&gt;="&amp;AG$1,'UX + Dev'!$AB$1:$DN$1,"&lt;="&amp;EOMONTH(AG$1,0),'UX + Dev'!$AB34:$DN34,"&lt;&gt;"))</f>
      </c>
      <c r="AH34">
        <f>IF($B34="",0,COUNTIFS('UX + Dev'!$AB$1:$DN$1,"&gt;="&amp;AH$1,'UX + Dev'!$AB$1:$DN$1,"&lt;="&amp;EOMONTH(AH$1,0),'UX + Dev'!$AB34:$DN34,"&lt;&gt;"))</f>
      </c>
      <c r="AI34">
        <f>IF($B34="",0,COUNTIFS('UX + Dev'!$AB$1:$DN$1,"&gt;="&amp;AI$1,'UX + Dev'!$AB$1:$DN$1,"&lt;="&amp;EOMONTH(AI$1,0),'UX + Dev'!$AB34:$DN34,"&lt;&gt;"))</f>
      </c>
      <c r="AJ34">
        <f>IF($B34="",0,COUNTIFS('UX + Dev'!$AB$1:$DN$1,"&gt;="&amp;AJ$1,'UX + Dev'!$AB$1:$DN$1,"&lt;="&amp;EOMONTH(AJ$1,0),'UX + Dev'!$AB34:$DN34,"&lt;&gt;"))</f>
      </c>
      <c r="AK34">
        <f>IF($B34="",0,COUNTIFS('UX + Dev'!$AB$1:$DN$1,"&gt;="&amp;AK$1,'UX + Dev'!$AB$1:$DN$1,"&lt;="&amp;EOMONTH(AK$1,0),'UX + Dev'!$AB34:$DN34,"&lt;&gt;"))</f>
      </c>
      <c r="AL34">
        <f>IF($B34="",0,COUNTIFS('UX + Dev'!$AB$1:$DN$1,"&gt;="&amp;AL$1,'UX + Dev'!$AB$1:$DN$1,"&lt;="&amp;EOMONTH(AL$1,0),'UX + Dev'!$AB34:$DN34,"&lt;&gt;"))</f>
      </c>
      <c r="AM34">
        <f>IF($B34="",0,COUNTIFS('UX + Dev'!$AB$1:$DN$1,"&gt;="&amp;AM$1,'UX + Dev'!$AB$1:$DN$1,"&lt;="&amp;EOMONTH(AM$1,0),'UX + Dev'!$AB34:$DN34,"&lt;&gt;"))</f>
      </c>
      <c r="AN34">
        <f>IF($B34="",0,COUNTIFS('UX + Dev'!$AB$1:$DN$1,"&gt;="&amp;AN$1,'UX + Dev'!$AB$1:$DN$1,"&lt;="&amp;EOMONTH(AN$1,0),'UX + Dev'!$AB34:$DN34,"&lt;&gt;"))</f>
      </c>
      <c r="AO34">
        <f>IF($B34="",0,COUNTIFS('UX + Dev'!$AB$1:$DN$1,"&gt;="&amp;AO$1,'UX + Dev'!$AB$1:$DN$1,"&lt;="&amp;EOMONTH(AO$1,0),'UX + Dev'!$AB34:$DN34,"&lt;&gt;"))</f>
      </c>
      <c r="AP34">
        <f>IF($B34="",0,COUNTIFS('UX + Dev'!$AB$1:$DN$1,"&gt;="&amp;AP$1,'UX + Dev'!$AB$1:$DN$1,"&lt;="&amp;EOMONTH(AP$1,0),'UX + Dev'!$AB34:$DN34,"&lt;&gt;"))</f>
      </c>
      <c r="AQ34">
        <f>IF($B34="",0,COUNTIFS('UX + Dev'!$AB$1:$DN$1,"&gt;="&amp;AQ$1,'UX + Dev'!$AB$1:$DN$1,"&lt;="&amp;EOMONTH(AQ$1,0),'UX + Dev'!$AB34:$DN34,"&lt;&gt;"))</f>
      </c>
      <c r="AR34">
        <f>IF($B34="",0,COUNTIFS('UX + Dev'!$AB$1:$DN$1,"&gt;="&amp;AR$1,'UX + Dev'!$AB$1:$DN$1,"&lt;="&amp;EOMONTH(AR$1,0),'UX + Dev'!$AB34:$DN34,"&lt;&gt;"))</f>
      </c>
      <c r="AS34">
        <f>IF($B34="",0,COUNTIFS('UX + Dev'!$AB$1:$DN$1,"&gt;="&amp;AS$1,'UX + Dev'!$AB$1:$DN$1,"&lt;="&amp;EOMONTH(AS$1,0),'UX + Dev'!$AB34:$DN34,"&lt;&gt;"))</f>
      </c>
      <c r="AT34">
        <f>IF($B34="",0,COUNTIFS('UX + Dev'!$AB$1:$DN$1,"&gt;="&amp;AT$1,'UX + Dev'!$AB$1:$DN$1,"&lt;="&amp;EOMONTH(AT$1,0),'UX + Dev'!$AB34:$DN34,"&lt;&gt;"))</f>
      </c>
      <c r="AU34">
        <f>IF($B34="",0,COUNTIFS('UX + Dev'!$AB$1:$DN$1,"&gt;="&amp;AU$1,'UX + Dev'!$AB$1:$DN$1,"&lt;="&amp;EOMONTH(AU$1,0),'UX + Dev'!$AB34:$DN34,"&lt;&gt;"))</f>
      </c>
      <c r="AV34">
        <f>IF($B34="",0,COUNTIFS('UX + Dev'!$AB$1:$DN$1,"&gt;="&amp;AV$1,'UX + Dev'!$AB$1:$DN$1,"&lt;="&amp;EOMONTH(AV$1,0),'UX + Dev'!$AB34:$DN34,"&lt;&gt;"))</f>
      </c>
      <c r="AW34">
        <f>IF($B34="",0,COUNTIFS('UX + Dev'!$AB$1:$DN$1,"&gt;="&amp;AW$1,'UX + Dev'!$AB$1:$DN$1,"&lt;="&amp;EOMONTH(AW$1,0),'UX + Dev'!$AB34:$DN34,"&lt;&gt;"))</f>
      </c>
      <c r="AX34">
        <f>IF($B34="",0,COUNTIFS('UX + Dev'!$AB$1:$DN$1,"&gt;="&amp;AX$1,'UX + Dev'!$AB$1:$DN$1,"&lt;="&amp;EOMONTH(AX$1,0),'UX + Dev'!$AB34:$DN34,"&lt;&gt;"))</f>
      </c>
      <c r="BB34" s="308">
        <f>IF($B34="","",IF(COUNTA('UX + Dev'!U34)&gt;0,DATE(YEAR('UX + Dev'!U34),MONTH('UX + Dev'!U34),1),IF(COUNTA('UX + Dev'!V34)&gt;0,DATE(YEAR('UX + Dev'!V34),MONTH('UX + Dev'!V34),1),"")))</f>
      </c>
      <c r="BC34" s="308">
        <f>IF($B34="","",IF(COUNTA('UX + Dev'!V34)&gt;0,EOMONTH('UX + Dev'!V34,0),IF(COUNTA('UX + Dev'!U34)&gt;0,EOMONTH('UX + Dev'!U34,0),"")))</f>
      </c>
    </row>
    <row r="35">
      <c r="A35" s="305" t="n">
        <v>35</v>
      </c>
      <c r="B35" s="305">
        <f>IF(TRIM('UX + Dev'!E35)="","",TRIM('UX + Dev'!E35))</f>
      </c>
      <c r="C35" s="305">
        <f>IF($B35="","",'UX + Dev'!B35)</f>
      </c>
      <c r="D35" s="305">
        <f>IF($B35="","",IF(TRIM('UX + Dev'!C35)="","(No theme assigned)",TRIM('UX + Dev'!C35)))</f>
      </c>
      <c r="E35" s="305">
        <f>IF($B35="","",TRIM('UX + Dev'!F35))</f>
      </c>
      <c r="F35" s="305">
        <f>IF($B35="","",'UX + Dev'!G35)</f>
      </c>
      <c r="G35" s="306">
        <f t="array" ref="G35">IF($B35="","",IF($T35=0,"",IFERROR(MIN(IF('UX + Dev'!$AB35:$DN35&lt;&gt;"",'UX + Dev'!$AB$1:$DN$1)),"")))</f>
      </c>
      <c r="H35" s="306">
        <f t="array" ref="H35">IF($B35="","",IF($T35=0,"",IFERROR(MAX(IF('UX + Dev'!$AB35:$DN35&lt;&gt;"",'UX + Dev'!$AB$1:$DN$1)),"")))</f>
      </c>
      <c r="I35" s="307">
        <f>IF($R35&lt;&gt;"",$R35,IF($S35&lt;&gt;"",$S35,""))</f>
      </c>
      <c r="J35" s="307">
        <f>IF($S35&lt;&gt;"",EOMONTH($S35,0),IF($R35&lt;&gt;"",EOMONTH($R35,0),""))</f>
      </c>
      <c r="K35" s="305">
        <f>IF($B35="","",IF(COUNTA('UX + Dev'!AA35)=0,"",TRIM('UX + Dev'!AA35)))</f>
      </c>
      <c r="L35" s="305">
        <f>IF($B35="","",IFERROR(MATCH($D35,Control!$E$4:$E$30,0),99))</f>
      </c>
      <c r="M35" s="305">
        <f>IF($B35="","",IFERROR(MATCH($F35,Control!$B$4:$B$30,0),99))</f>
      </c>
      <c r="N35" s="305">
        <f>IF($V35&lt;&gt;1,"",IF('Roadmap (Auto)'!$D$3="Status, then Theme",$M35*1000000+$L35*10000+ROW(),IF('Roadmap (Auto)'!$D$3="Dev start (earliest)",IF($I35="",99999999,$I35)*10000+ROW(),IF('Roadmap (Auto)'!$D$3="UX start (earliest)",IF($G35="",99999999,$G35)*10000+ROW(),IF('Roadmap (Auto)'!$D$3="Deliverable A-Z",$W35*10000+ROW(),$L35*1000000+$M35*10000+ROW())))))</f>
      </c>
      <c r="O35" s="305">
        <f>IF($N35="","",COUNTIF($N$2:$N$151,"&lt;"&amp;$N35)+1)</f>
      </c>
      <c r="P35" s="305">
        <f>IF($B35="","",IF(COUNTA('UX + Dev'!X35)=0,"",'UX + Dev'!X35))</f>
      </c>
      <c r="Q35" s="305">
        <f>IF($B35="","",IF(COUNTA('UX + Dev'!Y35)=0,"",'UX + Dev'!Y35))</f>
      </c>
      <c r="R35" s="307">
        <f>IF($P35="","",IF(ISNUMBER($P35),DATE(YEAR($P35),MONTH($P35),1),IFERROR(DATE(IFERROR(VALUE(RIGHT(TRIM($P35),4)),YEAR(TODAY())),(SEARCH(LEFT(TRIM($P35),3),"JanFebMarAprMayJunJulAugSepOctNovDec")+2)/3,1),"")))</f>
      </c>
      <c r="S35" s="307">
        <f>IF($Q35="","",IF(ISNUMBER($Q35),DATE(YEAR($Q35),MONTH($Q35),1),IFERROR(DATE(IFERROR(VALUE(RIGHT(TRIM($Q35),4)),YEAR(TODAY())),(SEARCH(LEFT(TRIM($Q35),3),"JanFebMarAprMayJunJulAugSepOctNovDec")+2)/3,1),"")))</f>
      </c>
      <c r="T35" s="305">
        <f>IF($B35="","",COUNTA('UX + Dev'!$AB35:$DN35))</f>
      </c>
      <c r="U35" s="305">
        <f>IF($B35="","",IFERROR(MATCH($D35,Control!$E$4:$E$30,0)+3,0))</f>
      </c>
      <c r="V35" s="305">
        <f>IF($B35="","",IF(AND(OR('Roadmap (Auto)'!$A$3="",'Roadmap (Auto)'!$A$3="(All)",ISNUMBER(SEARCH('Roadmap (Auto)'!$A$3,$C35&amp;""))),OR('Roadmap (Auto)'!$B$3="",'Roadmap (Auto)'!$B$3="(All)",$D35='Roadmap (Auto)'!$B$3,$X35='Roadmap (Auto)'!$B$3),OR('Roadmap (Auto)'!$C$3="",'Roadmap (Auto)'!$C$3="(All)",$F35='Roadmap (Auto)'!$C$3)),1,0))</f>
      </c>
      <c r="W35" s="305">
        <f>IF($B35="","",COUNTIF($Y$2:$Y$151,"&lt;"&amp;$Y35)+1)</f>
      </c>
      <c r="X35" s="305">
        <f>IF($B35="","",IF(TRIM('UX + Dev'!D35)="","",TRIM('UX + Dev'!D35)))</f>
      </c>
      <c r="Y35" s="305">
        <f>IF($B35="","",SUBSTITUTE(SUBSTITUTE(SUBSTITUTE(SUBSTITUTE(SUBSTITUTE(SUBSTITUTE(SUBSTITUTE(SUBSTITUTE(SUBSTITUTE(SUBSTITUTE(SUBSTITUTE(SUBSTITUTE(SUBSTITUTE(SUBSTITUTE(SUBSTITUTE(SUBSTITUTE(SUBSTITUTE(SUBSTITUTE(SUBSTITUTE(SUBSTITUTE(SUBSTITUTE(SUBSTITUTE(SUBSTITUTE(SUBSTITUTE(SUBSTITUTE(UPPER($B35)," ",""),"-",""),":",""),"/",""),"&amp;",""),"|",""),"'",""),"’",""),"&lt;",""),"&gt;",""),",",""),"$",""),".",""),"(",""),")",""),"*",""),"?",""),"~",""),"_",""),"+",""),"#",""),";",""),"!",""),"%",""),"@",""))</f>
      </c>
      <c r="AA35">
        <f>IF($B35="",0,COUNTIFS('UX + Dev'!$AB$1:$DN$1,"&gt;="&amp;AA$1,'UX + Dev'!$AB$1:$DN$1,"&lt;="&amp;EOMONTH(AA$1,0),'UX + Dev'!$AB35:$DN35,"&lt;&gt;"))</f>
      </c>
      <c r="AB35">
        <f>IF($B35="",0,COUNTIFS('UX + Dev'!$AB$1:$DN$1,"&gt;="&amp;AB$1,'UX + Dev'!$AB$1:$DN$1,"&lt;="&amp;EOMONTH(AB$1,0),'UX + Dev'!$AB35:$DN35,"&lt;&gt;"))</f>
      </c>
      <c r="AC35">
        <f>IF($B35="",0,COUNTIFS('UX + Dev'!$AB$1:$DN$1,"&gt;="&amp;AC$1,'UX + Dev'!$AB$1:$DN$1,"&lt;="&amp;EOMONTH(AC$1,0),'UX + Dev'!$AB35:$DN35,"&lt;&gt;"))</f>
      </c>
      <c r="AD35">
        <f>IF($B35="",0,COUNTIFS('UX + Dev'!$AB$1:$DN$1,"&gt;="&amp;AD$1,'UX + Dev'!$AB$1:$DN$1,"&lt;="&amp;EOMONTH(AD$1,0),'UX + Dev'!$AB35:$DN35,"&lt;&gt;"))</f>
      </c>
      <c r="AE35">
        <f>IF($B35="",0,COUNTIFS('UX + Dev'!$AB$1:$DN$1,"&gt;="&amp;AE$1,'UX + Dev'!$AB$1:$DN$1,"&lt;="&amp;EOMONTH(AE$1,0),'UX + Dev'!$AB35:$DN35,"&lt;&gt;"))</f>
      </c>
      <c r="AF35">
        <f>IF($B35="",0,COUNTIFS('UX + Dev'!$AB$1:$DN$1,"&gt;="&amp;AF$1,'UX + Dev'!$AB$1:$DN$1,"&lt;="&amp;EOMONTH(AF$1,0),'UX + Dev'!$AB35:$DN35,"&lt;&gt;"))</f>
      </c>
      <c r="AG35">
        <f>IF($B35="",0,COUNTIFS('UX + Dev'!$AB$1:$DN$1,"&gt;="&amp;AG$1,'UX + Dev'!$AB$1:$DN$1,"&lt;="&amp;EOMONTH(AG$1,0),'UX + Dev'!$AB35:$DN35,"&lt;&gt;"))</f>
      </c>
      <c r="AH35">
        <f>IF($B35="",0,COUNTIFS('UX + Dev'!$AB$1:$DN$1,"&gt;="&amp;AH$1,'UX + Dev'!$AB$1:$DN$1,"&lt;="&amp;EOMONTH(AH$1,0),'UX + Dev'!$AB35:$DN35,"&lt;&gt;"))</f>
      </c>
      <c r="AI35">
        <f>IF($B35="",0,COUNTIFS('UX + Dev'!$AB$1:$DN$1,"&gt;="&amp;AI$1,'UX + Dev'!$AB$1:$DN$1,"&lt;="&amp;EOMONTH(AI$1,0),'UX + Dev'!$AB35:$DN35,"&lt;&gt;"))</f>
      </c>
      <c r="AJ35">
        <f>IF($B35="",0,COUNTIFS('UX + Dev'!$AB$1:$DN$1,"&gt;="&amp;AJ$1,'UX + Dev'!$AB$1:$DN$1,"&lt;="&amp;EOMONTH(AJ$1,0),'UX + Dev'!$AB35:$DN35,"&lt;&gt;"))</f>
      </c>
      <c r="AK35">
        <f>IF($B35="",0,COUNTIFS('UX + Dev'!$AB$1:$DN$1,"&gt;="&amp;AK$1,'UX + Dev'!$AB$1:$DN$1,"&lt;="&amp;EOMONTH(AK$1,0),'UX + Dev'!$AB35:$DN35,"&lt;&gt;"))</f>
      </c>
      <c r="AL35">
        <f>IF($B35="",0,COUNTIFS('UX + Dev'!$AB$1:$DN$1,"&gt;="&amp;AL$1,'UX + Dev'!$AB$1:$DN$1,"&lt;="&amp;EOMONTH(AL$1,0),'UX + Dev'!$AB35:$DN35,"&lt;&gt;"))</f>
      </c>
      <c r="AM35">
        <f>IF($B35="",0,COUNTIFS('UX + Dev'!$AB$1:$DN$1,"&gt;="&amp;AM$1,'UX + Dev'!$AB$1:$DN$1,"&lt;="&amp;EOMONTH(AM$1,0),'UX + Dev'!$AB35:$DN35,"&lt;&gt;"))</f>
      </c>
      <c r="AN35">
        <f>IF($B35="",0,COUNTIFS('UX + Dev'!$AB$1:$DN$1,"&gt;="&amp;AN$1,'UX + Dev'!$AB$1:$DN$1,"&lt;="&amp;EOMONTH(AN$1,0),'UX + Dev'!$AB35:$DN35,"&lt;&gt;"))</f>
      </c>
      <c r="AO35">
        <f>IF($B35="",0,COUNTIFS('UX + Dev'!$AB$1:$DN$1,"&gt;="&amp;AO$1,'UX + Dev'!$AB$1:$DN$1,"&lt;="&amp;EOMONTH(AO$1,0),'UX + Dev'!$AB35:$DN35,"&lt;&gt;"))</f>
      </c>
      <c r="AP35">
        <f>IF($B35="",0,COUNTIFS('UX + Dev'!$AB$1:$DN$1,"&gt;="&amp;AP$1,'UX + Dev'!$AB$1:$DN$1,"&lt;="&amp;EOMONTH(AP$1,0),'UX + Dev'!$AB35:$DN35,"&lt;&gt;"))</f>
      </c>
      <c r="AQ35">
        <f>IF($B35="",0,COUNTIFS('UX + Dev'!$AB$1:$DN$1,"&gt;="&amp;AQ$1,'UX + Dev'!$AB$1:$DN$1,"&lt;="&amp;EOMONTH(AQ$1,0),'UX + Dev'!$AB35:$DN35,"&lt;&gt;"))</f>
      </c>
      <c r="AR35">
        <f>IF($B35="",0,COUNTIFS('UX + Dev'!$AB$1:$DN$1,"&gt;="&amp;AR$1,'UX + Dev'!$AB$1:$DN$1,"&lt;="&amp;EOMONTH(AR$1,0),'UX + Dev'!$AB35:$DN35,"&lt;&gt;"))</f>
      </c>
      <c r="AS35">
        <f>IF($B35="",0,COUNTIFS('UX + Dev'!$AB$1:$DN$1,"&gt;="&amp;AS$1,'UX + Dev'!$AB$1:$DN$1,"&lt;="&amp;EOMONTH(AS$1,0),'UX + Dev'!$AB35:$DN35,"&lt;&gt;"))</f>
      </c>
      <c r="AT35">
        <f>IF($B35="",0,COUNTIFS('UX + Dev'!$AB$1:$DN$1,"&gt;="&amp;AT$1,'UX + Dev'!$AB$1:$DN$1,"&lt;="&amp;EOMONTH(AT$1,0),'UX + Dev'!$AB35:$DN35,"&lt;&gt;"))</f>
      </c>
      <c r="AU35">
        <f>IF($B35="",0,COUNTIFS('UX + Dev'!$AB$1:$DN$1,"&gt;="&amp;AU$1,'UX + Dev'!$AB$1:$DN$1,"&lt;="&amp;EOMONTH(AU$1,0),'UX + Dev'!$AB35:$DN35,"&lt;&gt;"))</f>
      </c>
      <c r="AV35">
        <f>IF($B35="",0,COUNTIFS('UX + Dev'!$AB$1:$DN$1,"&gt;="&amp;AV$1,'UX + Dev'!$AB$1:$DN$1,"&lt;="&amp;EOMONTH(AV$1,0),'UX + Dev'!$AB35:$DN35,"&lt;&gt;"))</f>
      </c>
      <c r="AW35">
        <f>IF($B35="",0,COUNTIFS('UX + Dev'!$AB$1:$DN$1,"&gt;="&amp;AW$1,'UX + Dev'!$AB$1:$DN$1,"&lt;="&amp;EOMONTH(AW$1,0),'UX + Dev'!$AB35:$DN35,"&lt;&gt;"))</f>
      </c>
      <c r="AX35">
        <f>IF($B35="",0,COUNTIFS('UX + Dev'!$AB$1:$DN$1,"&gt;="&amp;AX$1,'UX + Dev'!$AB$1:$DN$1,"&lt;="&amp;EOMONTH(AX$1,0),'UX + Dev'!$AB35:$DN35,"&lt;&gt;"))</f>
      </c>
      <c r="BB35" s="308">
        <f>IF($B35="","",IF(COUNTA('UX + Dev'!U35)&gt;0,DATE(YEAR('UX + Dev'!U35),MONTH('UX + Dev'!U35),1),IF(COUNTA('UX + Dev'!V35)&gt;0,DATE(YEAR('UX + Dev'!V35),MONTH('UX + Dev'!V35),1),"")))</f>
      </c>
      <c r="BC35" s="308">
        <f>IF($B35="","",IF(COUNTA('UX + Dev'!V35)&gt;0,EOMONTH('UX + Dev'!V35,0),IF(COUNTA('UX + Dev'!U35)&gt;0,EOMONTH('UX + Dev'!U35,0),"")))</f>
      </c>
    </row>
    <row r="36">
      <c r="A36" s="305" t="n">
        <v>36</v>
      </c>
      <c r="B36" s="305">
        <f>IF(TRIM('UX + Dev'!E36)="","",TRIM('UX + Dev'!E36))</f>
      </c>
      <c r="C36" s="305">
        <f>IF($B36="","",'UX + Dev'!B36)</f>
      </c>
      <c r="D36" s="305">
        <f>IF($B36="","",IF(TRIM('UX + Dev'!C36)="","(No theme assigned)",TRIM('UX + Dev'!C36)))</f>
      </c>
      <c r="E36" s="305">
        <f>IF($B36="","",TRIM('UX + Dev'!F36))</f>
      </c>
      <c r="F36" s="305">
        <f>IF($B36="","",'UX + Dev'!G36)</f>
      </c>
      <c r="G36" s="306">
        <f t="array" ref="G36">IF($B36="","",IF($T36=0,"",IFERROR(MIN(IF('UX + Dev'!$AB36:$DN36&lt;&gt;"",'UX + Dev'!$AB$1:$DN$1)),"")))</f>
      </c>
      <c r="H36" s="306">
        <f t="array" ref="H36">IF($B36="","",IF($T36=0,"",IFERROR(MAX(IF('UX + Dev'!$AB36:$DN36&lt;&gt;"",'UX + Dev'!$AB$1:$DN$1)),"")))</f>
      </c>
      <c r="I36" s="307">
        <f>IF($R36&lt;&gt;"",$R36,IF($S36&lt;&gt;"",$S36,""))</f>
      </c>
      <c r="J36" s="307">
        <f>IF($S36&lt;&gt;"",EOMONTH($S36,0),IF($R36&lt;&gt;"",EOMONTH($R36,0),""))</f>
      </c>
      <c r="K36" s="305">
        <f>IF($B36="","",IF(COUNTA('UX + Dev'!AA36)=0,"",TRIM('UX + Dev'!AA36)))</f>
      </c>
      <c r="L36" s="305">
        <f>IF($B36="","",IFERROR(MATCH($D36,Control!$E$4:$E$30,0),99))</f>
      </c>
      <c r="M36" s="305">
        <f>IF($B36="","",IFERROR(MATCH($F36,Control!$B$4:$B$30,0),99))</f>
      </c>
      <c r="N36" s="305">
        <f>IF($V36&lt;&gt;1,"",IF('Roadmap (Auto)'!$D$3="Status, then Theme",$M36*1000000+$L36*10000+ROW(),IF('Roadmap (Auto)'!$D$3="Dev start (earliest)",IF($I36="",99999999,$I36)*10000+ROW(),IF('Roadmap (Auto)'!$D$3="UX start (earliest)",IF($G36="",99999999,$G36)*10000+ROW(),IF('Roadmap (Auto)'!$D$3="Deliverable A-Z",$W36*10000+ROW(),$L36*1000000+$M36*10000+ROW())))))</f>
      </c>
      <c r="O36" s="305">
        <f>IF($N36="","",COUNTIF($N$2:$N$151,"&lt;"&amp;$N36)+1)</f>
      </c>
      <c r="P36" s="305">
        <f>IF($B36="","",IF(COUNTA('UX + Dev'!X36)=0,"",'UX + Dev'!X36))</f>
      </c>
      <c r="Q36" s="305">
        <f>IF($B36="","",IF(COUNTA('UX + Dev'!Y36)=0,"",'UX + Dev'!Y36))</f>
      </c>
      <c r="R36" s="307">
        <f>IF($P36="","",IF(ISNUMBER($P36),DATE(YEAR($P36),MONTH($P36),1),IFERROR(DATE(IFERROR(VALUE(RIGHT(TRIM($P36),4)),YEAR(TODAY())),(SEARCH(LEFT(TRIM($P36),3),"JanFebMarAprMayJunJulAugSepOctNovDec")+2)/3,1),"")))</f>
      </c>
      <c r="S36" s="307">
        <f>IF($Q36="","",IF(ISNUMBER($Q36),DATE(YEAR($Q36),MONTH($Q36),1),IFERROR(DATE(IFERROR(VALUE(RIGHT(TRIM($Q36),4)),YEAR(TODAY())),(SEARCH(LEFT(TRIM($Q36),3),"JanFebMarAprMayJunJulAugSepOctNovDec")+2)/3,1),"")))</f>
      </c>
      <c r="T36" s="305">
        <f>IF($B36="","",COUNTA('UX + Dev'!$AB36:$DN36))</f>
      </c>
      <c r="U36" s="305">
        <f>IF($B36="","",IFERROR(MATCH($D36,Control!$E$4:$E$30,0)+3,0))</f>
      </c>
      <c r="V36" s="305">
        <f>IF($B36="","",IF(AND(OR('Roadmap (Auto)'!$A$3="",'Roadmap (Auto)'!$A$3="(All)",ISNUMBER(SEARCH('Roadmap (Auto)'!$A$3,$C36&amp;""))),OR('Roadmap (Auto)'!$B$3="",'Roadmap (Auto)'!$B$3="(All)",$D36='Roadmap (Auto)'!$B$3,$X36='Roadmap (Auto)'!$B$3),OR('Roadmap (Auto)'!$C$3="",'Roadmap (Auto)'!$C$3="(All)",$F36='Roadmap (Auto)'!$C$3)),1,0))</f>
      </c>
      <c r="W36" s="305">
        <f>IF($B36="","",COUNTIF($Y$2:$Y$151,"&lt;"&amp;$Y36)+1)</f>
      </c>
      <c r="X36" s="305">
        <f>IF($B36="","",IF(TRIM('UX + Dev'!D36)="","",TRIM('UX + Dev'!D36)))</f>
      </c>
      <c r="Y36" s="305">
        <f>IF($B36="","",SUBSTITUTE(SUBSTITUTE(SUBSTITUTE(SUBSTITUTE(SUBSTITUTE(SUBSTITUTE(SUBSTITUTE(SUBSTITUTE(SUBSTITUTE(SUBSTITUTE(SUBSTITUTE(SUBSTITUTE(SUBSTITUTE(SUBSTITUTE(SUBSTITUTE(SUBSTITUTE(SUBSTITUTE(SUBSTITUTE(SUBSTITUTE(SUBSTITUTE(SUBSTITUTE(SUBSTITUTE(SUBSTITUTE(SUBSTITUTE(SUBSTITUTE(UPPER($B36)," ",""),"-",""),":",""),"/",""),"&amp;",""),"|",""),"'",""),"’",""),"&lt;",""),"&gt;",""),",",""),"$",""),".",""),"(",""),")",""),"*",""),"?",""),"~",""),"_",""),"+",""),"#",""),";",""),"!",""),"%",""),"@",""))</f>
      </c>
      <c r="AA36">
        <f>IF($B36="",0,COUNTIFS('UX + Dev'!$AB$1:$DN$1,"&gt;="&amp;AA$1,'UX + Dev'!$AB$1:$DN$1,"&lt;="&amp;EOMONTH(AA$1,0),'UX + Dev'!$AB36:$DN36,"&lt;&gt;"))</f>
      </c>
      <c r="AB36">
        <f>IF($B36="",0,COUNTIFS('UX + Dev'!$AB$1:$DN$1,"&gt;="&amp;AB$1,'UX + Dev'!$AB$1:$DN$1,"&lt;="&amp;EOMONTH(AB$1,0),'UX + Dev'!$AB36:$DN36,"&lt;&gt;"))</f>
      </c>
      <c r="AC36">
        <f>IF($B36="",0,COUNTIFS('UX + Dev'!$AB$1:$DN$1,"&gt;="&amp;AC$1,'UX + Dev'!$AB$1:$DN$1,"&lt;="&amp;EOMONTH(AC$1,0),'UX + Dev'!$AB36:$DN36,"&lt;&gt;"))</f>
      </c>
      <c r="AD36">
        <f>IF($B36="",0,COUNTIFS('UX + Dev'!$AB$1:$DN$1,"&gt;="&amp;AD$1,'UX + Dev'!$AB$1:$DN$1,"&lt;="&amp;EOMONTH(AD$1,0),'UX + Dev'!$AB36:$DN36,"&lt;&gt;"))</f>
      </c>
      <c r="AE36">
        <f>IF($B36="",0,COUNTIFS('UX + Dev'!$AB$1:$DN$1,"&gt;="&amp;AE$1,'UX + Dev'!$AB$1:$DN$1,"&lt;="&amp;EOMONTH(AE$1,0),'UX + Dev'!$AB36:$DN36,"&lt;&gt;"))</f>
      </c>
      <c r="AF36">
        <f>IF($B36="",0,COUNTIFS('UX + Dev'!$AB$1:$DN$1,"&gt;="&amp;AF$1,'UX + Dev'!$AB$1:$DN$1,"&lt;="&amp;EOMONTH(AF$1,0),'UX + Dev'!$AB36:$DN36,"&lt;&gt;"))</f>
      </c>
      <c r="AG36">
        <f>IF($B36="",0,COUNTIFS('UX + Dev'!$AB$1:$DN$1,"&gt;="&amp;AG$1,'UX + Dev'!$AB$1:$DN$1,"&lt;="&amp;EOMONTH(AG$1,0),'UX + Dev'!$AB36:$DN36,"&lt;&gt;"))</f>
      </c>
      <c r="AH36">
        <f>IF($B36="",0,COUNTIFS('UX + Dev'!$AB$1:$DN$1,"&gt;="&amp;AH$1,'UX + Dev'!$AB$1:$DN$1,"&lt;="&amp;EOMONTH(AH$1,0),'UX + Dev'!$AB36:$DN36,"&lt;&gt;"))</f>
      </c>
      <c r="AI36">
        <f>IF($B36="",0,COUNTIFS('UX + Dev'!$AB$1:$DN$1,"&gt;="&amp;AI$1,'UX + Dev'!$AB$1:$DN$1,"&lt;="&amp;EOMONTH(AI$1,0),'UX + Dev'!$AB36:$DN36,"&lt;&gt;"))</f>
      </c>
      <c r="AJ36">
        <f>IF($B36="",0,COUNTIFS('UX + Dev'!$AB$1:$DN$1,"&gt;="&amp;AJ$1,'UX + Dev'!$AB$1:$DN$1,"&lt;="&amp;EOMONTH(AJ$1,0),'UX + Dev'!$AB36:$DN36,"&lt;&gt;"))</f>
      </c>
      <c r="AK36">
        <f>IF($B36="",0,COUNTIFS('UX + Dev'!$AB$1:$DN$1,"&gt;="&amp;AK$1,'UX + Dev'!$AB$1:$DN$1,"&lt;="&amp;EOMONTH(AK$1,0),'UX + Dev'!$AB36:$DN36,"&lt;&gt;"))</f>
      </c>
      <c r="AL36">
        <f>IF($B36="",0,COUNTIFS('UX + Dev'!$AB$1:$DN$1,"&gt;="&amp;AL$1,'UX + Dev'!$AB$1:$DN$1,"&lt;="&amp;EOMONTH(AL$1,0),'UX + Dev'!$AB36:$DN36,"&lt;&gt;"))</f>
      </c>
      <c r="AM36">
        <f>IF($B36="",0,COUNTIFS('UX + Dev'!$AB$1:$DN$1,"&gt;="&amp;AM$1,'UX + Dev'!$AB$1:$DN$1,"&lt;="&amp;EOMONTH(AM$1,0),'UX + Dev'!$AB36:$DN36,"&lt;&gt;"))</f>
      </c>
      <c r="AN36">
        <f>IF($B36="",0,COUNTIFS('UX + Dev'!$AB$1:$DN$1,"&gt;="&amp;AN$1,'UX + Dev'!$AB$1:$DN$1,"&lt;="&amp;EOMONTH(AN$1,0),'UX + Dev'!$AB36:$DN36,"&lt;&gt;"))</f>
      </c>
      <c r="AO36">
        <f>IF($B36="",0,COUNTIFS('UX + Dev'!$AB$1:$DN$1,"&gt;="&amp;AO$1,'UX + Dev'!$AB$1:$DN$1,"&lt;="&amp;EOMONTH(AO$1,0),'UX + Dev'!$AB36:$DN36,"&lt;&gt;"))</f>
      </c>
      <c r="AP36">
        <f>IF($B36="",0,COUNTIFS('UX + Dev'!$AB$1:$DN$1,"&gt;="&amp;AP$1,'UX + Dev'!$AB$1:$DN$1,"&lt;="&amp;EOMONTH(AP$1,0),'UX + Dev'!$AB36:$DN36,"&lt;&gt;"))</f>
      </c>
      <c r="AQ36">
        <f>IF($B36="",0,COUNTIFS('UX + Dev'!$AB$1:$DN$1,"&gt;="&amp;AQ$1,'UX + Dev'!$AB$1:$DN$1,"&lt;="&amp;EOMONTH(AQ$1,0),'UX + Dev'!$AB36:$DN36,"&lt;&gt;"))</f>
      </c>
      <c r="AR36">
        <f>IF($B36="",0,COUNTIFS('UX + Dev'!$AB$1:$DN$1,"&gt;="&amp;AR$1,'UX + Dev'!$AB$1:$DN$1,"&lt;="&amp;EOMONTH(AR$1,0),'UX + Dev'!$AB36:$DN36,"&lt;&gt;"))</f>
      </c>
      <c r="AS36">
        <f>IF($B36="",0,COUNTIFS('UX + Dev'!$AB$1:$DN$1,"&gt;="&amp;AS$1,'UX + Dev'!$AB$1:$DN$1,"&lt;="&amp;EOMONTH(AS$1,0),'UX + Dev'!$AB36:$DN36,"&lt;&gt;"))</f>
      </c>
      <c r="AT36">
        <f>IF($B36="",0,COUNTIFS('UX + Dev'!$AB$1:$DN$1,"&gt;="&amp;AT$1,'UX + Dev'!$AB$1:$DN$1,"&lt;="&amp;EOMONTH(AT$1,0),'UX + Dev'!$AB36:$DN36,"&lt;&gt;"))</f>
      </c>
      <c r="AU36">
        <f>IF($B36="",0,COUNTIFS('UX + Dev'!$AB$1:$DN$1,"&gt;="&amp;AU$1,'UX + Dev'!$AB$1:$DN$1,"&lt;="&amp;EOMONTH(AU$1,0),'UX + Dev'!$AB36:$DN36,"&lt;&gt;"))</f>
      </c>
      <c r="AV36">
        <f>IF($B36="",0,COUNTIFS('UX + Dev'!$AB$1:$DN$1,"&gt;="&amp;AV$1,'UX + Dev'!$AB$1:$DN$1,"&lt;="&amp;EOMONTH(AV$1,0),'UX + Dev'!$AB36:$DN36,"&lt;&gt;"))</f>
      </c>
      <c r="AW36">
        <f>IF($B36="",0,COUNTIFS('UX + Dev'!$AB$1:$DN$1,"&gt;="&amp;AW$1,'UX + Dev'!$AB$1:$DN$1,"&lt;="&amp;EOMONTH(AW$1,0),'UX + Dev'!$AB36:$DN36,"&lt;&gt;"))</f>
      </c>
      <c r="AX36">
        <f>IF($B36="",0,COUNTIFS('UX + Dev'!$AB$1:$DN$1,"&gt;="&amp;AX$1,'UX + Dev'!$AB$1:$DN$1,"&lt;="&amp;EOMONTH(AX$1,0),'UX + Dev'!$AB36:$DN36,"&lt;&gt;"))</f>
      </c>
      <c r="BB36" s="308">
        <f>IF($B36="","",IF(COUNTA('UX + Dev'!U36)&gt;0,DATE(YEAR('UX + Dev'!U36),MONTH('UX + Dev'!U36),1),IF(COUNTA('UX + Dev'!V36)&gt;0,DATE(YEAR('UX + Dev'!V36),MONTH('UX + Dev'!V36),1),"")))</f>
      </c>
      <c r="BC36" s="308">
        <f>IF($B36="","",IF(COUNTA('UX + Dev'!V36)&gt;0,EOMONTH('UX + Dev'!V36,0),IF(COUNTA('UX + Dev'!U36)&gt;0,EOMONTH('UX + Dev'!U36,0),"")))</f>
      </c>
    </row>
    <row r="37">
      <c r="A37" s="305" t="n">
        <v>37</v>
      </c>
      <c r="B37" s="305">
        <f>IF(TRIM('UX + Dev'!E37)="","",TRIM('UX + Dev'!E37))</f>
      </c>
      <c r="C37" s="305">
        <f>IF($B37="","",'UX + Dev'!B37)</f>
      </c>
      <c r="D37" s="305">
        <f>IF($B37="","",IF(TRIM('UX + Dev'!C37)="","(No theme assigned)",TRIM('UX + Dev'!C37)))</f>
      </c>
      <c r="E37" s="305">
        <f>IF($B37="","",TRIM('UX + Dev'!F37))</f>
      </c>
      <c r="F37" s="305">
        <f>IF($B37="","",'UX + Dev'!G37)</f>
      </c>
      <c r="G37" s="306">
        <f t="array" ref="G37">IF($B37="","",IF($T37=0,"",IFERROR(MIN(IF('UX + Dev'!$AB37:$DN37&lt;&gt;"",'UX + Dev'!$AB$1:$DN$1)),"")))</f>
      </c>
      <c r="H37" s="306">
        <f t="array" ref="H37">IF($B37="","",IF($T37=0,"",IFERROR(MAX(IF('UX + Dev'!$AB37:$DN37&lt;&gt;"",'UX + Dev'!$AB$1:$DN$1)),"")))</f>
      </c>
      <c r="I37" s="307">
        <f>IF($R37&lt;&gt;"",$R37,IF($S37&lt;&gt;"",$S37,""))</f>
      </c>
      <c r="J37" s="307">
        <f>IF($S37&lt;&gt;"",EOMONTH($S37,0),IF($R37&lt;&gt;"",EOMONTH($R37,0),""))</f>
      </c>
      <c r="K37" s="305">
        <f>IF($B37="","",IF(COUNTA('UX + Dev'!AA37)=0,"",TRIM('UX + Dev'!AA37)))</f>
      </c>
      <c r="L37" s="305">
        <f>IF($B37="","",IFERROR(MATCH($D37,Control!$E$4:$E$30,0),99))</f>
      </c>
      <c r="M37" s="305">
        <f>IF($B37="","",IFERROR(MATCH($F37,Control!$B$4:$B$30,0),99))</f>
      </c>
      <c r="N37" s="305">
        <f>IF($V37&lt;&gt;1,"",IF('Roadmap (Auto)'!$D$3="Status, then Theme",$M37*1000000+$L37*10000+ROW(),IF('Roadmap (Auto)'!$D$3="Dev start (earliest)",IF($I37="",99999999,$I37)*10000+ROW(),IF('Roadmap (Auto)'!$D$3="UX start (earliest)",IF($G37="",99999999,$G37)*10000+ROW(),IF('Roadmap (Auto)'!$D$3="Deliverable A-Z",$W37*10000+ROW(),$L37*1000000+$M37*10000+ROW())))))</f>
      </c>
      <c r="O37" s="305">
        <f>IF($N37="","",COUNTIF($N$2:$N$151,"&lt;"&amp;$N37)+1)</f>
      </c>
      <c r="P37" s="305">
        <f>IF($B37="","",IF(COUNTA('UX + Dev'!X37)=0,"",'UX + Dev'!X37))</f>
      </c>
      <c r="Q37" s="305">
        <f>IF($B37="","",IF(COUNTA('UX + Dev'!Y37)=0,"",'UX + Dev'!Y37))</f>
      </c>
      <c r="R37" s="307">
        <f>IF($P37="","",IF(ISNUMBER($P37),DATE(YEAR($P37),MONTH($P37),1),IFERROR(DATE(IFERROR(VALUE(RIGHT(TRIM($P37),4)),YEAR(TODAY())),(SEARCH(LEFT(TRIM($P37),3),"JanFebMarAprMayJunJulAugSepOctNovDec")+2)/3,1),"")))</f>
      </c>
      <c r="S37" s="307">
        <f>IF($Q37="","",IF(ISNUMBER($Q37),DATE(YEAR($Q37),MONTH($Q37),1),IFERROR(DATE(IFERROR(VALUE(RIGHT(TRIM($Q37),4)),YEAR(TODAY())),(SEARCH(LEFT(TRIM($Q37),3),"JanFebMarAprMayJunJulAugSepOctNovDec")+2)/3,1),"")))</f>
      </c>
      <c r="T37" s="305">
        <f>IF($B37="","",COUNTA('UX + Dev'!$AB37:$DN37))</f>
      </c>
      <c r="U37" s="305">
        <f>IF($B37="","",IFERROR(MATCH($D37,Control!$E$4:$E$30,0)+3,0))</f>
      </c>
      <c r="V37" s="305">
        <f>IF($B37="","",IF(AND(OR('Roadmap (Auto)'!$A$3="",'Roadmap (Auto)'!$A$3="(All)",ISNUMBER(SEARCH('Roadmap (Auto)'!$A$3,$C37&amp;""))),OR('Roadmap (Auto)'!$B$3="",'Roadmap (Auto)'!$B$3="(All)",$D37='Roadmap (Auto)'!$B$3,$X37='Roadmap (Auto)'!$B$3),OR('Roadmap (Auto)'!$C$3="",'Roadmap (Auto)'!$C$3="(All)",$F37='Roadmap (Auto)'!$C$3)),1,0))</f>
      </c>
      <c r="W37" s="305">
        <f>IF($B37="","",COUNTIF($Y$2:$Y$151,"&lt;"&amp;$Y37)+1)</f>
      </c>
      <c r="X37" s="305">
        <f>IF($B37="","",IF(TRIM('UX + Dev'!D37)="","",TRIM('UX + Dev'!D37)))</f>
      </c>
      <c r="Y37" s="305">
        <f>IF($B37="","",SUBSTITUTE(SUBSTITUTE(SUBSTITUTE(SUBSTITUTE(SUBSTITUTE(SUBSTITUTE(SUBSTITUTE(SUBSTITUTE(SUBSTITUTE(SUBSTITUTE(SUBSTITUTE(SUBSTITUTE(SUBSTITUTE(SUBSTITUTE(SUBSTITUTE(SUBSTITUTE(SUBSTITUTE(SUBSTITUTE(SUBSTITUTE(SUBSTITUTE(SUBSTITUTE(SUBSTITUTE(SUBSTITUTE(SUBSTITUTE(SUBSTITUTE(UPPER($B37)," ",""),"-",""),":",""),"/",""),"&amp;",""),"|",""),"'",""),"’",""),"&lt;",""),"&gt;",""),",",""),"$",""),".",""),"(",""),")",""),"*",""),"?",""),"~",""),"_",""),"+",""),"#",""),";",""),"!",""),"%",""),"@",""))</f>
      </c>
      <c r="AA37">
        <f>IF($B37="",0,COUNTIFS('UX + Dev'!$AB$1:$DN$1,"&gt;="&amp;AA$1,'UX + Dev'!$AB$1:$DN$1,"&lt;="&amp;EOMONTH(AA$1,0),'UX + Dev'!$AB37:$DN37,"&lt;&gt;"))</f>
      </c>
      <c r="AB37">
        <f>IF($B37="",0,COUNTIFS('UX + Dev'!$AB$1:$DN$1,"&gt;="&amp;AB$1,'UX + Dev'!$AB$1:$DN$1,"&lt;="&amp;EOMONTH(AB$1,0),'UX + Dev'!$AB37:$DN37,"&lt;&gt;"))</f>
      </c>
      <c r="AC37">
        <f>IF($B37="",0,COUNTIFS('UX + Dev'!$AB$1:$DN$1,"&gt;="&amp;AC$1,'UX + Dev'!$AB$1:$DN$1,"&lt;="&amp;EOMONTH(AC$1,0),'UX + Dev'!$AB37:$DN37,"&lt;&gt;"))</f>
      </c>
      <c r="AD37">
        <f>IF($B37="",0,COUNTIFS('UX + Dev'!$AB$1:$DN$1,"&gt;="&amp;AD$1,'UX + Dev'!$AB$1:$DN$1,"&lt;="&amp;EOMONTH(AD$1,0),'UX + Dev'!$AB37:$DN37,"&lt;&gt;"))</f>
      </c>
      <c r="AE37">
        <f>IF($B37="",0,COUNTIFS('UX + Dev'!$AB$1:$DN$1,"&gt;="&amp;AE$1,'UX + Dev'!$AB$1:$DN$1,"&lt;="&amp;EOMONTH(AE$1,0),'UX + Dev'!$AB37:$DN37,"&lt;&gt;"))</f>
      </c>
      <c r="AF37">
        <f>IF($B37="",0,COUNTIFS('UX + Dev'!$AB$1:$DN$1,"&gt;="&amp;AF$1,'UX + Dev'!$AB$1:$DN$1,"&lt;="&amp;EOMONTH(AF$1,0),'UX + Dev'!$AB37:$DN37,"&lt;&gt;"))</f>
      </c>
      <c r="AG37">
        <f>IF($B37="",0,COUNTIFS('UX + Dev'!$AB$1:$DN$1,"&gt;="&amp;AG$1,'UX + Dev'!$AB$1:$DN$1,"&lt;="&amp;EOMONTH(AG$1,0),'UX + Dev'!$AB37:$DN37,"&lt;&gt;"))</f>
      </c>
      <c r="AH37">
        <f>IF($B37="",0,COUNTIFS('UX + Dev'!$AB$1:$DN$1,"&gt;="&amp;AH$1,'UX + Dev'!$AB$1:$DN$1,"&lt;="&amp;EOMONTH(AH$1,0),'UX + Dev'!$AB37:$DN37,"&lt;&gt;"))</f>
      </c>
      <c r="AI37">
        <f>IF($B37="",0,COUNTIFS('UX + Dev'!$AB$1:$DN$1,"&gt;="&amp;AI$1,'UX + Dev'!$AB$1:$DN$1,"&lt;="&amp;EOMONTH(AI$1,0),'UX + Dev'!$AB37:$DN37,"&lt;&gt;"))</f>
      </c>
      <c r="AJ37">
        <f>IF($B37="",0,COUNTIFS('UX + Dev'!$AB$1:$DN$1,"&gt;="&amp;AJ$1,'UX + Dev'!$AB$1:$DN$1,"&lt;="&amp;EOMONTH(AJ$1,0),'UX + Dev'!$AB37:$DN37,"&lt;&gt;"))</f>
      </c>
      <c r="AK37">
        <f>IF($B37="",0,COUNTIFS('UX + Dev'!$AB$1:$DN$1,"&gt;="&amp;AK$1,'UX + Dev'!$AB$1:$DN$1,"&lt;="&amp;EOMONTH(AK$1,0),'UX + Dev'!$AB37:$DN37,"&lt;&gt;"))</f>
      </c>
      <c r="AL37">
        <f>IF($B37="",0,COUNTIFS('UX + Dev'!$AB$1:$DN$1,"&gt;="&amp;AL$1,'UX + Dev'!$AB$1:$DN$1,"&lt;="&amp;EOMONTH(AL$1,0),'UX + Dev'!$AB37:$DN37,"&lt;&gt;"))</f>
      </c>
      <c r="AM37">
        <f>IF($B37="",0,COUNTIFS('UX + Dev'!$AB$1:$DN$1,"&gt;="&amp;AM$1,'UX + Dev'!$AB$1:$DN$1,"&lt;="&amp;EOMONTH(AM$1,0),'UX + Dev'!$AB37:$DN37,"&lt;&gt;"))</f>
      </c>
      <c r="AN37">
        <f>IF($B37="",0,COUNTIFS('UX + Dev'!$AB$1:$DN$1,"&gt;="&amp;AN$1,'UX + Dev'!$AB$1:$DN$1,"&lt;="&amp;EOMONTH(AN$1,0),'UX + Dev'!$AB37:$DN37,"&lt;&gt;"))</f>
      </c>
      <c r="AO37">
        <f>IF($B37="",0,COUNTIFS('UX + Dev'!$AB$1:$DN$1,"&gt;="&amp;AO$1,'UX + Dev'!$AB$1:$DN$1,"&lt;="&amp;EOMONTH(AO$1,0),'UX + Dev'!$AB37:$DN37,"&lt;&gt;"))</f>
      </c>
      <c r="AP37">
        <f>IF($B37="",0,COUNTIFS('UX + Dev'!$AB$1:$DN$1,"&gt;="&amp;AP$1,'UX + Dev'!$AB$1:$DN$1,"&lt;="&amp;EOMONTH(AP$1,0),'UX + Dev'!$AB37:$DN37,"&lt;&gt;"))</f>
      </c>
      <c r="AQ37">
        <f>IF($B37="",0,COUNTIFS('UX + Dev'!$AB$1:$DN$1,"&gt;="&amp;AQ$1,'UX + Dev'!$AB$1:$DN$1,"&lt;="&amp;EOMONTH(AQ$1,0),'UX + Dev'!$AB37:$DN37,"&lt;&gt;"))</f>
      </c>
      <c r="AR37">
        <f>IF($B37="",0,COUNTIFS('UX + Dev'!$AB$1:$DN$1,"&gt;="&amp;AR$1,'UX + Dev'!$AB$1:$DN$1,"&lt;="&amp;EOMONTH(AR$1,0),'UX + Dev'!$AB37:$DN37,"&lt;&gt;"))</f>
      </c>
      <c r="AS37">
        <f>IF($B37="",0,COUNTIFS('UX + Dev'!$AB$1:$DN$1,"&gt;="&amp;AS$1,'UX + Dev'!$AB$1:$DN$1,"&lt;="&amp;EOMONTH(AS$1,0),'UX + Dev'!$AB37:$DN37,"&lt;&gt;"))</f>
      </c>
      <c r="AT37">
        <f>IF($B37="",0,COUNTIFS('UX + Dev'!$AB$1:$DN$1,"&gt;="&amp;AT$1,'UX + Dev'!$AB$1:$DN$1,"&lt;="&amp;EOMONTH(AT$1,0),'UX + Dev'!$AB37:$DN37,"&lt;&gt;"))</f>
      </c>
      <c r="AU37">
        <f>IF($B37="",0,COUNTIFS('UX + Dev'!$AB$1:$DN$1,"&gt;="&amp;AU$1,'UX + Dev'!$AB$1:$DN$1,"&lt;="&amp;EOMONTH(AU$1,0),'UX + Dev'!$AB37:$DN37,"&lt;&gt;"))</f>
      </c>
      <c r="AV37">
        <f>IF($B37="",0,COUNTIFS('UX + Dev'!$AB$1:$DN$1,"&gt;="&amp;AV$1,'UX + Dev'!$AB$1:$DN$1,"&lt;="&amp;EOMONTH(AV$1,0),'UX + Dev'!$AB37:$DN37,"&lt;&gt;"))</f>
      </c>
      <c r="AW37">
        <f>IF($B37="",0,COUNTIFS('UX + Dev'!$AB$1:$DN$1,"&gt;="&amp;AW$1,'UX + Dev'!$AB$1:$DN$1,"&lt;="&amp;EOMONTH(AW$1,0),'UX + Dev'!$AB37:$DN37,"&lt;&gt;"))</f>
      </c>
      <c r="AX37">
        <f>IF($B37="",0,COUNTIFS('UX + Dev'!$AB$1:$DN$1,"&gt;="&amp;AX$1,'UX + Dev'!$AB$1:$DN$1,"&lt;="&amp;EOMONTH(AX$1,0),'UX + Dev'!$AB37:$DN37,"&lt;&gt;"))</f>
      </c>
      <c r="BB37" s="308">
        <f>IF($B37="","",IF(COUNTA('UX + Dev'!U37)&gt;0,DATE(YEAR('UX + Dev'!U37),MONTH('UX + Dev'!U37),1),IF(COUNTA('UX + Dev'!V37)&gt;0,DATE(YEAR('UX + Dev'!V37),MONTH('UX + Dev'!V37),1),"")))</f>
      </c>
      <c r="BC37" s="308">
        <f>IF($B37="","",IF(COUNTA('UX + Dev'!V37)&gt;0,EOMONTH('UX + Dev'!V37,0),IF(COUNTA('UX + Dev'!U37)&gt;0,EOMONTH('UX + Dev'!U37,0),"")))</f>
      </c>
    </row>
    <row r="38">
      <c r="A38" s="305" t="n">
        <v>38</v>
      </c>
      <c r="B38" s="305">
        <f>IF(TRIM('UX + Dev'!E38)="","",TRIM('UX + Dev'!E38))</f>
      </c>
      <c r="C38" s="305">
        <f>IF($B38="","",'UX + Dev'!B38)</f>
      </c>
      <c r="D38" s="305">
        <f>IF($B38="","",IF(TRIM('UX + Dev'!C38)="","(No theme assigned)",TRIM('UX + Dev'!C38)))</f>
      </c>
      <c r="E38" s="305">
        <f>IF($B38="","",TRIM('UX + Dev'!F38))</f>
      </c>
      <c r="F38" s="305">
        <f>IF($B38="","",'UX + Dev'!G38)</f>
      </c>
      <c r="G38" s="306">
        <f t="array" ref="G38">IF($B38="","",IF($T38=0,"",IFERROR(MIN(IF('UX + Dev'!$AB38:$DN38&lt;&gt;"",'UX + Dev'!$AB$1:$DN$1)),"")))</f>
      </c>
      <c r="H38" s="306">
        <f t="array" ref="H38">IF($B38="","",IF($T38=0,"",IFERROR(MAX(IF('UX + Dev'!$AB38:$DN38&lt;&gt;"",'UX + Dev'!$AB$1:$DN$1)),"")))</f>
      </c>
      <c r="I38" s="307">
        <f>IF($R38&lt;&gt;"",$R38,IF($S38&lt;&gt;"",$S38,""))</f>
      </c>
      <c r="J38" s="307">
        <f>IF($S38&lt;&gt;"",EOMONTH($S38,0),IF($R38&lt;&gt;"",EOMONTH($R38,0),""))</f>
      </c>
      <c r="K38" s="305">
        <f>IF($B38="","",IF(COUNTA('UX + Dev'!AA38)=0,"",TRIM('UX + Dev'!AA38)))</f>
      </c>
      <c r="L38" s="305">
        <f>IF($B38="","",IFERROR(MATCH($D38,Control!$E$4:$E$30,0),99))</f>
      </c>
      <c r="M38" s="305">
        <f>IF($B38="","",IFERROR(MATCH($F38,Control!$B$4:$B$30,0),99))</f>
      </c>
      <c r="N38" s="305">
        <f>IF($V38&lt;&gt;1,"",IF('Roadmap (Auto)'!$D$3="Status, then Theme",$M38*1000000+$L38*10000+ROW(),IF('Roadmap (Auto)'!$D$3="Dev start (earliest)",IF($I38="",99999999,$I38)*10000+ROW(),IF('Roadmap (Auto)'!$D$3="UX start (earliest)",IF($G38="",99999999,$G38)*10000+ROW(),IF('Roadmap (Auto)'!$D$3="Deliverable A-Z",$W38*10000+ROW(),$L38*1000000+$M38*10000+ROW())))))</f>
      </c>
      <c r="O38" s="305">
        <f>IF($N38="","",COUNTIF($N$2:$N$151,"&lt;"&amp;$N38)+1)</f>
      </c>
      <c r="P38" s="305">
        <f>IF($B38="","",IF(COUNTA('UX + Dev'!X38)=0,"",'UX + Dev'!X38))</f>
      </c>
      <c r="Q38" s="305">
        <f>IF($B38="","",IF(COUNTA('UX + Dev'!Y38)=0,"",'UX + Dev'!Y38))</f>
      </c>
      <c r="R38" s="307">
        <f>IF($P38="","",IF(ISNUMBER($P38),DATE(YEAR($P38),MONTH($P38),1),IFERROR(DATE(IFERROR(VALUE(RIGHT(TRIM($P38),4)),YEAR(TODAY())),(SEARCH(LEFT(TRIM($P38),3),"JanFebMarAprMayJunJulAugSepOctNovDec")+2)/3,1),"")))</f>
      </c>
      <c r="S38" s="307">
        <f>IF($Q38="","",IF(ISNUMBER($Q38),DATE(YEAR($Q38),MONTH($Q38),1),IFERROR(DATE(IFERROR(VALUE(RIGHT(TRIM($Q38),4)),YEAR(TODAY())),(SEARCH(LEFT(TRIM($Q38),3),"JanFebMarAprMayJunJulAugSepOctNovDec")+2)/3,1),"")))</f>
      </c>
      <c r="T38" s="305">
        <f>IF($B38="","",COUNTA('UX + Dev'!$AB38:$DN38))</f>
      </c>
      <c r="U38" s="305">
        <f>IF($B38="","",IFERROR(MATCH($D38,Control!$E$4:$E$30,0)+3,0))</f>
      </c>
      <c r="V38" s="305">
        <f>IF($B38="","",IF(AND(OR('Roadmap (Auto)'!$A$3="",'Roadmap (Auto)'!$A$3="(All)",ISNUMBER(SEARCH('Roadmap (Auto)'!$A$3,$C38&amp;""))),OR('Roadmap (Auto)'!$B$3="",'Roadmap (Auto)'!$B$3="(All)",$D38='Roadmap (Auto)'!$B$3,$X38='Roadmap (Auto)'!$B$3),OR('Roadmap (Auto)'!$C$3="",'Roadmap (Auto)'!$C$3="(All)",$F38='Roadmap (Auto)'!$C$3)),1,0))</f>
      </c>
      <c r="W38" s="305">
        <f>IF($B38="","",COUNTIF($Y$2:$Y$151,"&lt;"&amp;$Y38)+1)</f>
      </c>
      <c r="X38" s="305">
        <f>IF($B38="","",IF(TRIM('UX + Dev'!D38)="","",TRIM('UX + Dev'!D38)))</f>
      </c>
      <c r="Y38" s="305">
        <f>IF($B38="","",SUBSTITUTE(SUBSTITUTE(SUBSTITUTE(SUBSTITUTE(SUBSTITUTE(SUBSTITUTE(SUBSTITUTE(SUBSTITUTE(SUBSTITUTE(SUBSTITUTE(SUBSTITUTE(SUBSTITUTE(SUBSTITUTE(SUBSTITUTE(SUBSTITUTE(SUBSTITUTE(SUBSTITUTE(SUBSTITUTE(SUBSTITUTE(SUBSTITUTE(SUBSTITUTE(SUBSTITUTE(SUBSTITUTE(SUBSTITUTE(SUBSTITUTE(UPPER($B38)," ",""),"-",""),":",""),"/",""),"&amp;",""),"|",""),"'",""),"’",""),"&lt;",""),"&gt;",""),",",""),"$",""),".",""),"(",""),")",""),"*",""),"?",""),"~",""),"_",""),"+",""),"#",""),";",""),"!",""),"%",""),"@",""))</f>
      </c>
      <c r="AA38">
        <f>IF($B38="",0,COUNTIFS('UX + Dev'!$AB$1:$DN$1,"&gt;="&amp;AA$1,'UX + Dev'!$AB$1:$DN$1,"&lt;="&amp;EOMONTH(AA$1,0),'UX + Dev'!$AB38:$DN38,"&lt;&gt;"))</f>
      </c>
      <c r="AB38">
        <f>IF($B38="",0,COUNTIFS('UX + Dev'!$AB$1:$DN$1,"&gt;="&amp;AB$1,'UX + Dev'!$AB$1:$DN$1,"&lt;="&amp;EOMONTH(AB$1,0),'UX + Dev'!$AB38:$DN38,"&lt;&gt;"))</f>
      </c>
      <c r="AC38">
        <f>IF($B38="",0,COUNTIFS('UX + Dev'!$AB$1:$DN$1,"&gt;="&amp;AC$1,'UX + Dev'!$AB$1:$DN$1,"&lt;="&amp;EOMONTH(AC$1,0),'UX + Dev'!$AB38:$DN38,"&lt;&gt;"))</f>
      </c>
      <c r="AD38">
        <f>IF($B38="",0,COUNTIFS('UX + Dev'!$AB$1:$DN$1,"&gt;="&amp;AD$1,'UX + Dev'!$AB$1:$DN$1,"&lt;="&amp;EOMONTH(AD$1,0),'UX + Dev'!$AB38:$DN38,"&lt;&gt;"))</f>
      </c>
      <c r="AE38">
        <f>IF($B38="",0,COUNTIFS('UX + Dev'!$AB$1:$DN$1,"&gt;="&amp;AE$1,'UX + Dev'!$AB$1:$DN$1,"&lt;="&amp;EOMONTH(AE$1,0),'UX + Dev'!$AB38:$DN38,"&lt;&gt;"))</f>
      </c>
      <c r="AF38">
        <f>IF($B38="",0,COUNTIFS('UX + Dev'!$AB$1:$DN$1,"&gt;="&amp;AF$1,'UX + Dev'!$AB$1:$DN$1,"&lt;="&amp;EOMONTH(AF$1,0),'UX + Dev'!$AB38:$DN38,"&lt;&gt;"))</f>
      </c>
      <c r="AG38">
        <f>IF($B38="",0,COUNTIFS('UX + Dev'!$AB$1:$DN$1,"&gt;="&amp;AG$1,'UX + Dev'!$AB$1:$DN$1,"&lt;="&amp;EOMONTH(AG$1,0),'UX + Dev'!$AB38:$DN38,"&lt;&gt;"))</f>
      </c>
      <c r="AH38">
        <f>IF($B38="",0,COUNTIFS('UX + Dev'!$AB$1:$DN$1,"&gt;="&amp;AH$1,'UX + Dev'!$AB$1:$DN$1,"&lt;="&amp;EOMONTH(AH$1,0),'UX + Dev'!$AB38:$DN38,"&lt;&gt;"))</f>
      </c>
      <c r="AI38">
        <f>IF($B38="",0,COUNTIFS('UX + Dev'!$AB$1:$DN$1,"&gt;="&amp;AI$1,'UX + Dev'!$AB$1:$DN$1,"&lt;="&amp;EOMONTH(AI$1,0),'UX + Dev'!$AB38:$DN38,"&lt;&gt;"))</f>
      </c>
      <c r="AJ38">
        <f>IF($B38="",0,COUNTIFS('UX + Dev'!$AB$1:$DN$1,"&gt;="&amp;AJ$1,'UX + Dev'!$AB$1:$DN$1,"&lt;="&amp;EOMONTH(AJ$1,0),'UX + Dev'!$AB38:$DN38,"&lt;&gt;"))</f>
      </c>
      <c r="AK38">
        <f>IF($B38="",0,COUNTIFS('UX + Dev'!$AB$1:$DN$1,"&gt;="&amp;AK$1,'UX + Dev'!$AB$1:$DN$1,"&lt;="&amp;EOMONTH(AK$1,0),'UX + Dev'!$AB38:$DN38,"&lt;&gt;"))</f>
      </c>
      <c r="AL38">
        <f>IF($B38="",0,COUNTIFS('UX + Dev'!$AB$1:$DN$1,"&gt;="&amp;AL$1,'UX + Dev'!$AB$1:$DN$1,"&lt;="&amp;EOMONTH(AL$1,0),'UX + Dev'!$AB38:$DN38,"&lt;&gt;"))</f>
      </c>
      <c r="AM38">
        <f>IF($B38="",0,COUNTIFS('UX + Dev'!$AB$1:$DN$1,"&gt;="&amp;AM$1,'UX + Dev'!$AB$1:$DN$1,"&lt;="&amp;EOMONTH(AM$1,0),'UX + Dev'!$AB38:$DN38,"&lt;&gt;"))</f>
      </c>
      <c r="AN38">
        <f>IF($B38="",0,COUNTIFS('UX + Dev'!$AB$1:$DN$1,"&gt;="&amp;AN$1,'UX + Dev'!$AB$1:$DN$1,"&lt;="&amp;EOMONTH(AN$1,0),'UX + Dev'!$AB38:$DN38,"&lt;&gt;"))</f>
      </c>
      <c r="AO38">
        <f>IF($B38="",0,COUNTIFS('UX + Dev'!$AB$1:$DN$1,"&gt;="&amp;AO$1,'UX + Dev'!$AB$1:$DN$1,"&lt;="&amp;EOMONTH(AO$1,0),'UX + Dev'!$AB38:$DN38,"&lt;&gt;"))</f>
      </c>
      <c r="AP38">
        <f>IF($B38="",0,COUNTIFS('UX + Dev'!$AB$1:$DN$1,"&gt;="&amp;AP$1,'UX + Dev'!$AB$1:$DN$1,"&lt;="&amp;EOMONTH(AP$1,0),'UX + Dev'!$AB38:$DN38,"&lt;&gt;"))</f>
      </c>
      <c r="AQ38">
        <f>IF($B38="",0,COUNTIFS('UX + Dev'!$AB$1:$DN$1,"&gt;="&amp;AQ$1,'UX + Dev'!$AB$1:$DN$1,"&lt;="&amp;EOMONTH(AQ$1,0),'UX + Dev'!$AB38:$DN38,"&lt;&gt;"))</f>
      </c>
      <c r="AR38">
        <f>IF($B38="",0,COUNTIFS('UX + Dev'!$AB$1:$DN$1,"&gt;="&amp;AR$1,'UX + Dev'!$AB$1:$DN$1,"&lt;="&amp;EOMONTH(AR$1,0),'UX + Dev'!$AB38:$DN38,"&lt;&gt;"))</f>
      </c>
      <c r="AS38">
        <f>IF($B38="",0,COUNTIFS('UX + Dev'!$AB$1:$DN$1,"&gt;="&amp;AS$1,'UX + Dev'!$AB$1:$DN$1,"&lt;="&amp;EOMONTH(AS$1,0),'UX + Dev'!$AB38:$DN38,"&lt;&gt;"))</f>
      </c>
      <c r="AT38">
        <f>IF($B38="",0,COUNTIFS('UX + Dev'!$AB$1:$DN$1,"&gt;="&amp;AT$1,'UX + Dev'!$AB$1:$DN$1,"&lt;="&amp;EOMONTH(AT$1,0),'UX + Dev'!$AB38:$DN38,"&lt;&gt;"))</f>
      </c>
      <c r="AU38">
        <f>IF($B38="",0,COUNTIFS('UX + Dev'!$AB$1:$DN$1,"&gt;="&amp;AU$1,'UX + Dev'!$AB$1:$DN$1,"&lt;="&amp;EOMONTH(AU$1,0),'UX + Dev'!$AB38:$DN38,"&lt;&gt;"))</f>
      </c>
      <c r="AV38">
        <f>IF($B38="",0,COUNTIFS('UX + Dev'!$AB$1:$DN$1,"&gt;="&amp;AV$1,'UX + Dev'!$AB$1:$DN$1,"&lt;="&amp;EOMONTH(AV$1,0),'UX + Dev'!$AB38:$DN38,"&lt;&gt;"))</f>
      </c>
      <c r="AW38">
        <f>IF($B38="",0,COUNTIFS('UX + Dev'!$AB$1:$DN$1,"&gt;="&amp;AW$1,'UX + Dev'!$AB$1:$DN$1,"&lt;="&amp;EOMONTH(AW$1,0),'UX + Dev'!$AB38:$DN38,"&lt;&gt;"))</f>
      </c>
      <c r="AX38">
        <f>IF($B38="",0,COUNTIFS('UX + Dev'!$AB$1:$DN$1,"&gt;="&amp;AX$1,'UX + Dev'!$AB$1:$DN$1,"&lt;="&amp;EOMONTH(AX$1,0),'UX + Dev'!$AB38:$DN38,"&lt;&gt;"))</f>
      </c>
      <c r="BB38" s="308">
        <f>IF($B38="","",IF(COUNTA('UX + Dev'!U38)&gt;0,DATE(YEAR('UX + Dev'!U38),MONTH('UX + Dev'!U38),1),IF(COUNTA('UX + Dev'!V38)&gt;0,DATE(YEAR('UX + Dev'!V38),MONTH('UX + Dev'!V38),1),"")))</f>
      </c>
      <c r="BC38" s="308">
        <f>IF($B38="","",IF(COUNTA('UX + Dev'!V38)&gt;0,EOMONTH('UX + Dev'!V38,0),IF(COUNTA('UX + Dev'!U38)&gt;0,EOMONTH('UX + Dev'!U38,0),"")))</f>
      </c>
    </row>
    <row r="39">
      <c r="A39" s="305" t="n">
        <v>39</v>
      </c>
      <c r="B39" s="305">
        <f>IF(TRIM('UX + Dev'!E39)="","",TRIM('UX + Dev'!E39))</f>
      </c>
      <c r="C39" s="305">
        <f>IF($B39="","",'UX + Dev'!B39)</f>
      </c>
      <c r="D39" s="305">
        <f>IF($B39="","",IF(TRIM('UX + Dev'!C39)="","(No theme assigned)",TRIM('UX + Dev'!C39)))</f>
      </c>
      <c r="E39" s="305">
        <f>IF($B39="","",TRIM('UX + Dev'!F39))</f>
      </c>
      <c r="F39" s="305">
        <f>IF($B39="","",'UX + Dev'!G39)</f>
      </c>
      <c r="G39" s="306">
        <f t="array" ref="G39">IF($B39="","",IF($T39=0,"",IFERROR(MIN(IF('UX + Dev'!$AB39:$DN39&lt;&gt;"",'UX + Dev'!$AB$1:$DN$1)),"")))</f>
      </c>
      <c r="H39" s="306">
        <f t="array" ref="H39">IF($B39="","",IF($T39=0,"",IFERROR(MAX(IF('UX + Dev'!$AB39:$DN39&lt;&gt;"",'UX + Dev'!$AB$1:$DN$1)),"")))</f>
      </c>
      <c r="I39" s="307">
        <f>IF($R39&lt;&gt;"",$R39,IF($S39&lt;&gt;"",$S39,""))</f>
      </c>
      <c r="J39" s="307">
        <f>IF($S39&lt;&gt;"",EOMONTH($S39,0),IF($R39&lt;&gt;"",EOMONTH($R39,0),""))</f>
      </c>
      <c r="K39" s="305">
        <f>IF($B39="","",IF(COUNTA('UX + Dev'!AA39)=0,"",TRIM('UX + Dev'!AA39)))</f>
      </c>
      <c r="L39" s="305">
        <f>IF($B39="","",IFERROR(MATCH($D39,Control!$E$4:$E$30,0),99))</f>
      </c>
      <c r="M39" s="305">
        <f>IF($B39="","",IFERROR(MATCH($F39,Control!$B$4:$B$30,0),99))</f>
      </c>
      <c r="N39" s="305">
        <f>IF($V39&lt;&gt;1,"",IF('Roadmap (Auto)'!$D$3="Status, then Theme",$M39*1000000+$L39*10000+ROW(),IF('Roadmap (Auto)'!$D$3="Dev start (earliest)",IF($I39="",99999999,$I39)*10000+ROW(),IF('Roadmap (Auto)'!$D$3="UX start (earliest)",IF($G39="",99999999,$G39)*10000+ROW(),IF('Roadmap (Auto)'!$D$3="Deliverable A-Z",$W39*10000+ROW(),$L39*1000000+$M39*10000+ROW())))))</f>
      </c>
      <c r="O39" s="305">
        <f>IF($N39="","",COUNTIF($N$2:$N$151,"&lt;"&amp;$N39)+1)</f>
      </c>
      <c r="P39" s="305">
        <f>IF($B39="","",IF(COUNTA('UX + Dev'!X39)=0,"",'UX + Dev'!X39))</f>
      </c>
      <c r="Q39" s="305">
        <f>IF($B39="","",IF(COUNTA('UX + Dev'!Y39)=0,"",'UX + Dev'!Y39))</f>
      </c>
      <c r="R39" s="307">
        <f>IF($P39="","",IF(ISNUMBER($P39),DATE(YEAR($P39),MONTH($P39),1),IFERROR(DATE(IFERROR(VALUE(RIGHT(TRIM($P39),4)),YEAR(TODAY())),(SEARCH(LEFT(TRIM($P39),3),"JanFebMarAprMayJunJulAugSepOctNovDec")+2)/3,1),"")))</f>
      </c>
      <c r="S39" s="307">
        <f>IF($Q39="","",IF(ISNUMBER($Q39),DATE(YEAR($Q39),MONTH($Q39),1),IFERROR(DATE(IFERROR(VALUE(RIGHT(TRIM($Q39),4)),YEAR(TODAY())),(SEARCH(LEFT(TRIM($Q39),3),"JanFebMarAprMayJunJulAugSepOctNovDec")+2)/3,1),"")))</f>
      </c>
      <c r="T39" s="305">
        <f>IF($B39="","",COUNTA('UX + Dev'!$AB39:$DN39))</f>
      </c>
      <c r="U39" s="305">
        <f>IF($B39="","",IFERROR(MATCH($D39,Control!$E$4:$E$30,0)+3,0))</f>
      </c>
      <c r="V39" s="305">
        <f>IF($B39="","",IF(AND(OR('Roadmap (Auto)'!$A$3="",'Roadmap (Auto)'!$A$3="(All)",ISNUMBER(SEARCH('Roadmap (Auto)'!$A$3,$C39&amp;""))),OR('Roadmap (Auto)'!$B$3="",'Roadmap (Auto)'!$B$3="(All)",$D39='Roadmap (Auto)'!$B$3,$X39='Roadmap (Auto)'!$B$3),OR('Roadmap (Auto)'!$C$3="",'Roadmap (Auto)'!$C$3="(All)",$F39='Roadmap (Auto)'!$C$3)),1,0))</f>
      </c>
      <c r="W39" s="305">
        <f>IF($B39="","",COUNTIF($Y$2:$Y$151,"&lt;"&amp;$Y39)+1)</f>
      </c>
      <c r="X39" s="305">
        <f>IF($B39="","",IF(TRIM('UX + Dev'!D39)="","",TRIM('UX + Dev'!D39)))</f>
      </c>
      <c r="Y39" s="305">
        <f>IF($B39="","",SUBSTITUTE(SUBSTITUTE(SUBSTITUTE(SUBSTITUTE(SUBSTITUTE(SUBSTITUTE(SUBSTITUTE(SUBSTITUTE(SUBSTITUTE(SUBSTITUTE(SUBSTITUTE(SUBSTITUTE(SUBSTITUTE(SUBSTITUTE(SUBSTITUTE(SUBSTITUTE(SUBSTITUTE(SUBSTITUTE(SUBSTITUTE(SUBSTITUTE(SUBSTITUTE(SUBSTITUTE(SUBSTITUTE(SUBSTITUTE(SUBSTITUTE(UPPER($B39)," ",""),"-",""),":",""),"/",""),"&amp;",""),"|",""),"'",""),"’",""),"&lt;",""),"&gt;",""),",",""),"$",""),".",""),"(",""),")",""),"*",""),"?",""),"~",""),"_",""),"+",""),"#",""),";",""),"!",""),"%",""),"@",""))</f>
      </c>
      <c r="AA39">
        <f>IF($B39="",0,COUNTIFS('UX + Dev'!$AB$1:$DN$1,"&gt;="&amp;AA$1,'UX + Dev'!$AB$1:$DN$1,"&lt;="&amp;EOMONTH(AA$1,0),'UX + Dev'!$AB39:$DN39,"&lt;&gt;"))</f>
      </c>
      <c r="AB39">
        <f>IF($B39="",0,COUNTIFS('UX + Dev'!$AB$1:$DN$1,"&gt;="&amp;AB$1,'UX + Dev'!$AB$1:$DN$1,"&lt;="&amp;EOMONTH(AB$1,0),'UX + Dev'!$AB39:$DN39,"&lt;&gt;"))</f>
      </c>
      <c r="AC39">
        <f>IF($B39="",0,COUNTIFS('UX + Dev'!$AB$1:$DN$1,"&gt;="&amp;AC$1,'UX + Dev'!$AB$1:$DN$1,"&lt;="&amp;EOMONTH(AC$1,0),'UX + Dev'!$AB39:$DN39,"&lt;&gt;"))</f>
      </c>
      <c r="AD39">
        <f>IF($B39="",0,COUNTIFS('UX + Dev'!$AB$1:$DN$1,"&gt;="&amp;AD$1,'UX + Dev'!$AB$1:$DN$1,"&lt;="&amp;EOMONTH(AD$1,0),'UX + Dev'!$AB39:$DN39,"&lt;&gt;"))</f>
      </c>
      <c r="AE39">
        <f>IF($B39="",0,COUNTIFS('UX + Dev'!$AB$1:$DN$1,"&gt;="&amp;AE$1,'UX + Dev'!$AB$1:$DN$1,"&lt;="&amp;EOMONTH(AE$1,0),'UX + Dev'!$AB39:$DN39,"&lt;&gt;"))</f>
      </c>
      <c r="AF39">
        <f>IF($B39="",0,COUNTIFS('UX + Dev'!$AB$1:$DN$1,"&gt;="&amp;AF$1,'UX + Dev'!$AB$1:$DN$1,"&lt;="&amp;EOMONTH(AF$1,0),'UX + Dev'!$AB39:$DN39,"&lt;&gt;"))</f>
      </c>
      <c r="AG39">
        <f>IF($B39="",0,COUNTIFS('UX + Dev'!$AB$1:$DN$1,"&gt;="&amp;AG$1,'UX + Dev'!$AB$1:$DN$1,"&lt;="&amp;EOMONTH(AG$1,0),'UX + Dev'!$AB39:$DN39,"&lt;&gt;"))</f>
      </c>
      <c r="AH39">
        <f>IF($B39="",0,COUNTIFS('UX + Dev'!$AB$1:$DN$1,"&gt;="&amp;AH$1,'UX + Dev'!$AB$1:$DN$1,"&lt;="&amp;EOMONTH(AH$1,0),'UX + Dev'!$AB39:$DN39,"&lt;&gt;"))</f>
      </c>
      <c r="AI39">
        <f>IF($B39="",0,COUNTIFS('UX + Dev'!$AB$1:$DN$1,"&gt;="&amp;AI$1,'UX + Dev'!$AB$1:$DN$1,"&lt;="&amp;EOMONTH(AI$1,0),'UX + Dev'!$AB39:$DN39,"&lt;&gt;"))</f>
      </c>
      <c r="AJ39">
        <f>IF($B39="",0,COUNTIFS('UX + Dev'!$AB$1:$DN$1,"&gt;="&amp;AJ$1,'UX + Dev'!$AB$1:$DN$1,"&lt;="&amp;EOMONTH(AJ$1,0),'UX + Dev'!$AB39:$DN39,"&lt;&gt;"))</f>
      </c>
      <c r="AK39">
        <f>IF($B39="",0,COUNTIFS('UX + Dev'!$AB$1:$DN$1,"&gt;="&amp;AK$1,'UX + Dev'!$AB$1:$DN$1,"&lt;="&amp;EOMONTH(AK$1,0),'UX + Dev'!$AB39:$DN39,"&lt;&gt;"))</f>
      </c>
      <c r="AL39">
        <f>IF($B39="",0,COUNTIFS('UX + Dev'!$AB$1:$DN$1,"&gt;="&amp;AL$1,'UX + Dev'!$AB$1:$DN$1,"&lt;="&amp;EOMONTH(AL$1,0),'UX + Dev'!$AB39:$DN39,"&lt;&gt;"))</f>
      </c>
      <c r="AM39">
        <f>IF($B39="",0,COUNTIFS('UX + Dev'!$AB$1:$DN$1,"&gt;="&amp;AM$1,'UX + Dev'!$AB$1:$DN$1,"&lt;="&amp;EOMONTH(AM$1,0),'UX + Dev'!$AB39:$DN39,"&lt;&gt;"))</f>
      </c>
      <c r="AN39">
        <f>IF($B39="",0,COUNTIFS('UX + Dev'!$AB$1:$DN$1,"&gt;="&amp;AN$1,'UX + Dev'!$AB$1:$DN$1,"&lt;="&amp;EOMONTH(AN$1,0),'UX + Dev'!$AB39:$DN39,"&lt;&gt;"))</f>
      </c>
      <c r="AO39">
        <f>IF($B39="",0,COUNTIFS('UX + Dev'!$AB$1:$DN$1,"&gt;="&amp;AO$1,'UX + Dev'!$AB$1:$DN$1,"&lt;="&amp;EOMONTH(AO$1,0),'UX + Dev'!$AB39:$DN39,"&lt;&gt;"))</f>
      </c>
      <c r="AP39">
        <f>IF($B39="",0,COUNTIFS('UX + Dev'!$AB$1:$DN$1,"&gt;="&amp;AP$1,'UX + Dev'!$AB$1:$DN$1,"&lt;="&amp;EOMONTH(AP$1,0),'UX + Dev'!$AB39:$DN39,"&lt;&gt;"))</f>
      </c>
      <c r="AQ39">
        <f>IF($B39="",0,COUNTIFS('UX + Dev'!$AB$1:$DN$1,"&gt;="&amp;AQ$1,'UX + Dev'!$AB$1:$DN$1,"&lt;="&amp;EOMONTH(AQ$1,0),'UX + Dev'!$AB39:$DN39,"&lt;&gt;"))</f>
      </c>
      <c r="AR39">
        <f>IF($B39="",0,COUNTIFS('UX + Dev'!$AB$1:$DN$1,"&gt;="&amp;AR$1,'UX + Dev'!$AB$1:$DN$1,"&lt;="&amp;EOMONTH(AR$1,0),'UX + Dev'!$AB39:$DN39,"&lt;&gt;"))</f>
      </c>
      <c r="AS39">
        <f>IF($B39="",0,COUNTIFS('UX + Dev'!$AB$1:$DN$1,"&gt;="&amp;AS$1,'UX + Dev'!$AB$1:$DN$1,"&lt;="&amp;EOMONTH(AS$1,0),'UX + Dev'!$AB39:$DN39,"&lt;&gt;"))</f>
      </c>
      <c r="AT39">
        <f>IF($B39="",0,COUNTIFS('UX + Dev'!$AB$1:$DN$1,"&gt;="&amp;AT$1,'UX + Dev'!$AB$1:$DN$1,"&lt;="&amp;EOMONTH(AT$1,0),'UX + Dev'!$AB39:$DN39,"&lt;&gt;"))</f>
      </c>
      <c r="AU39">
        <f>IF($B39="",0,COUNTIFS('UX + Dev'!$AB$1:$DN$1,"&gt;="&amp;AU$1,'UX + Dev'!$AB$1:$DN$1,"&lt;="&amp;EOMONTH(AU$1,0),'UX + Dev'!$AB39:$DN39,"&lt;&gt;"))</f>
      </c>
      <c r="AV39">
        <f>IF($B39="",0,COUNTIFS('UX + Dev'!$AB$1:$DN$1,"&gt;="&amp;AV$1,'UX + Dev'!$AB$1:$DN$1,"&lt;="&amp;EOMONTH(AV$1,0),'UX + Dev'!$AB39:$DN39,"&lt;&gt;"))</f>
      </c>
      <c r="AW39">
        <f>IF($B39="",0,COUNTIFS('UX + Dev'!$AB$1:$DN$1,"&gt;="&amp;AW$1,'UX + Dev'!$AB$1:$DN$1,"&lt;="&amp;EOMONTH(AW$1,0),'UX + Dev'!$AB39:$DN39,"&lt;&gt;"))</f>
      </c>
      <c r="AX39">
        <f>IF($B39="",0,COUNTIFS('UX + Dev'!$AB$1:$DN$1,"&gt;="&amp;AX$1,'UX + Dev'!$AB$1:$DN$1,"&lt;="&amp;EOMONTH(AX$1,0),'UX + Dev'!$AB39:$DN39,"&lt;&gt;"))</f>
      </c>
      <c r="BB39" s="308">
        <f>IF($B39="","",IF(COUNTA('UX + Dev'!U39)&gt;0,DATE(YEAR('UX + Dev'!U39),MONTH('UX + Dev'!U39),1),IF(COUNTA('UX + Dev'!V39)&gt;0,DATE(YEAR('UX + Dev'!V39),MONTH('UX + Dev'!V39),1),"")))</f>
      </c>
      <c r="BC39" s="308">
        <f>IF($B39="","",IF(COUNTA('UX + Dev'!V39)&gt;0,EOMONTH('UX + Dev'!V39,0),IF(COUNTA('UX + Dev'!U39)&gt;0,EOMONTH('UX + Dev'!U39,0),"")))</f>
      </c>
    </row>
    <row r="40">
      <c r="A40" s="305" t="n">
        <v>40</v>
      </c>
      <c r="B40" s="305">
        <f>IF(TRIM('UX + Dev'!E40)="","",TRIM('UX + Dev'!E40))</f>
      </c>
      <c r="C40" s="305">
        <f>IF($B40="","",'UX + Dev'!B40)</f>
      </c>
      <c r="D40" s="305">
        <f>IF($B40="","",IF(TRIM('UX + Dev'!C40)="","(No theme assigned)",TRIM('UX + Dev'!C40)))</f>
      </c>
      <c r="E40" s="305">
        <f>IF($B40="","",TRIM('UX + Dev'!F40))</f>
      </c>
      <c r="F40" s="305">
        <f>IF($B40="","",'UX + Dev'!G40)</f>
      </c>
      <c r="G40" s="306">
        <f t="array" ref="G40">IF($B40="","",IF($T40=0,"",IFERROR(MIN(IF('UX + Dev'!$AB40:$DN40&lt;&gt;"",'UX + Dev'!$AB$1:$DN$1)),"")))</f>
      </c>
      <c r="H40" s="306">
        <f t="array" ref="H40">IF($B40="","",IF($T40=0,"",IFERROR(MAX(IF('UX + Dev'!$AB40:$DN40&lt;&gt;"",'UX + Dev'!$AB$1:$DN$1)),"")))</f>
      </c>
      <c r="I40" s="307">
        <f>IF($R40&lt;&gt;"",$R40,IF($S40&lt;&gt;"",$S40,""))</f>
      </c>
      <c r="J40" s="307">
        <f>IF($S40&lt;&gt;"",EOMONTH($S40,0),IF($R40&lt;&gt;"",EOMONTH($R40,0),""))</f>
      </c>
      <c r="K40" s="305">
        <f>IF($B40="","",IF(COUNTA('UX + Dev'!AA40)=0,"",TRIM('UX + Dev'!AA40)))</f>
      </c>
      <c r="L40" s="305">
        <f>IF($B40="","",IFERROR(MATCH($D40,Control!$E$4:$E$30,0),99))</f>
      </c>
      <c r="M40" s="305">
        <f>IF($B40="","",IFERROR(MATCH($F40,Control!$B$4:$B$30,0),99))</f>
      </c>
      <c r="N40" s="305">
        <f>IF($V40&lt;&gt;1,"",IF('Roadmap (Auto)'!$D$3="Status, then Theme",$M40*1000000+$L40*10000+ROW(),IF('Roadmap (Auto)'!$D$3="Dev start (earliest)",IF($I40="",99999999,$I40)*10000+ROW(),IF('Roadmap (Auto)'!$D$3="UX start (earliest)",IF($G40="",99999999,$G40)*10000+ROW(),IF('Roadmap (Auto)'!$D$3="Deliverable A-Z",$W40*10000+ROW(),$L40*1000000+$M40*10000+ROW())))))</f>
      </c>
      <c r="O40" s="305">
        <f>IF($N40="","",COUNTIF($N$2:$N$151,"&lt;"&amp;$N40)+1)</f>
      </c>
      <c r="P40" s="305">
        <f>IF($B40="","",IF(COUNTA('UX + Dev'!X40)=0,"",'UX + Dev'!X40))</f>
      </c>
      <c r="Q40" s="305">
        <f>IF($B40="","",IF(COUNTA('UX + Dev'!Y40)=0,"",'UX + Dev'!Y40))</f>
      </c>
      <c r="R40" s="307">
        <f>IF($P40="","",IF(ISNUMBER($P40),DATE(YEAR($P40),MONTH($P40),1),IFERROR(DATE(IFERROR(VALUE(RIGHT(TRIM($P40),4)),YEAR(TODAY())),(SEARCH(LEFT(TRIM($P40),3),"JanFebMarAprMayJunJulAugSepOctNovDec")+2)/3,1),"")))</f>
      </c>
      <c r="S40" s="307">
        <f>IF($Q40="","",IF(ISNUMBER($Q40),DATE(YEAR($Q40),MONTH($Q40),1),IFERROR(DATE(IFERROR(VALUE(RIGHT(TRIM($Q40),4)),YEAR(TODAY())),(SEARCH(LEFT(TRIM($Q40),3),"JanFebMarAprMayJunJulAugSepOctNovDec")+2)/3,1),"")))</f>
      </c>
      <c r="T40" s="305">
        <f>IF($B40="","",COUNTA('UX + Dev'!$AB40:$DN40))</f>
      </c>
      <c r="U40" s="305">
        <f>IF($B40="","",IFERROR(MATCH($D40,Control!$E$4:$E$30,0)+3,0))</f>
      </c>
      <c r="V40" s="305">
        <f>IF($B40="","",IF(AND(OR('Roadmap (Auto)'!$A$3="",'Roadmap (Auto)'!$A$3="(All)",ISNUMBER(SEARCH('Roadmap (Auto)'!$A$3,$C40&amp;""))),OR('Roadmap (Auto)'!$B$3="",'Roadmap (Auto)'!$B$3="(All)",$D40='Roadmap (Auto)'!$B$3,$X40='Roadmap (Auto)'!$B$3),OR('Roadmap (Auto)'!$C$3="",'Roadmap (Auto)'!$C$3="(All)",$F40='Roadmap (Auto)'!$C$3)),1,0))</f>
      </c>
      <c r="W40" s="305">
        <f>IF($B40="","",COUNTIF($Y$2:$Y$151,"&lt;"&amp;$Y40)+1)</f>
      </c>
      <c r="X40" s="305">
        <f>IF($B40="","",IF(TRIM('UX + Dev'!D40)="","",TRIM('UX + Dev'!D40)))</f>
      </c>
      <c r="Y40" s="305">
        <f>IF($B40="","",SUBSTITUTE(SUBSTITUTE(SUBSTITUTE(SUBSTITUTE(SUBSTITUTE(SUBSTITUTE(SUBSTITUTE(SUBSTITUTE(SUBSTITUTE(SUBSTITUTE(SUBSTITUTE(SUBSTITUTE(SUBSTITUTE(SUBSTITUTE(SUBSTITUTE(SUBSTITUTE(SUBSTITUTE(SUBSTITUTE(SUBSTITUTE(SUBSTITUTE(SUBSTITUTE(SUBSTITUTE(SUBSTITUTE(SUBSTITUTE(SUBSTITUTE(UPPER($B40)," ",""),"-",""),":",""),"/",""),"&amp;",""),"|",""),"'",""),"’",""),"&lt;",""),"&gt;",""),",",""),"$",""),".",""),"(",""),")",""),"*",""),"?",""),"~",""),"_",""),"+",""),"#",""),";",""),"!",""),"%",""),"@",""))</f>
      </c>
      <c r="AA40">
        <f>IF($B40="",0,COUNTIFS('UX + Dev'!$AB$1:$DN$1,"&gt;="&amp;AA$1,'UX + Dev'!$AB$1:$DN$1,"&lt;="&amp;EOMONTH(AA$1,0),'UX + Dev'!$AB40:$DN40,"&lt;&gt;"))</f>
      </c>
      <c r="AB40">
        <f>IF($B40="",0,COUNTIFS('UX + Dev'!$AB$1:$DN$1,"&gt;="&amp;AB$1,'UX + Dev'!$AB$1:$DN$1,"&lt;="&amp;EOMONTH(AB$1,0),'UX + Dev'!$AB40:$DN40,"&lt;&gt;"))</f>
      </c>
      <c r="AC40">
        <f>IF($B40="",0,COUNTIFS('UX + Dev'!$AB$1:$DN$1,"&gt;="&amp;AC$1,'UX + Dev'!$AB$1:$DN$1,"&lt;="&amp;EOMONTH(AC$1,0),'UX + Dev'!$AB40:$DN40,"&lt;&gt;"))</f>
      </c>
      <c r="AD40">
        <f>IF($B40="",0,COUNTIFS('UX + Dev'!$AB$1:$DN$1,"&gt;="&amp;AD$1,'UX + Dev'!$AB$1:$DN$1,"&lt;="&amp;EOMONTH(AD$1,0),'UX + Dev'!$AB40:$DN40,"&lt;&gt;"))</f>
      </c>
      <c r="AE40">
        <f>IF($B40="",0,COUNTIFS('UX + Dev'!$AB$1:$DN$1,"&gt;="&amp;AE$1,'UX + Dev'!$AB$1:$DN$1,"&lt;="&amp;EOMONTH(AE$1,0),'UX + Dev'!$AB40:$DN40,"&lt;&gt;"))</f>
      </c>
      <c r="AF40">
        <f>IF($B40="",0,COUNTIFS('UX + Dev'!$AB$1:$DN$1,"&gt;="&amp;AF$1,'UX + Dev'!$AB$1:$DN$1,"&lt;="&amp;EOMONTH(AF$1,0),'UX + Dev'!$AB40:$DN40,"&lt;&gt;"))</f>
      </c>
      <c r="AG40">
        <f>IF($B40="",0,COUNTIFS('UX + Dev'!$AB$1:$DN$1,"&gt;="&amp;AG$1,'UX + Dev'!$AB$1:$DN$1,"&lt;="&amp;EOMONTH(AG$1,0),'UX + Dev'!$AB40:$DN40,"&lt;&gt;"))</f>
      </c>
      <c r="AH40">
        <f>IF($B40="",0,COUNTIFS('UX + Dev'!$AB$1:$DN$1,"&gt;="&amp;AH$1,'UX + Dev'!$AB$1:$DN$1,"&lt;="&amp;EOMONTH(AH$1,0),'UX + Dev'!$AB40:$DN40,"&lt;&gt;"))</f>
      </c>
      <c r="AI40">
        <f>IF($B40="",0,COUNTIFS('UX + Dev'!$AB$1:$DN$1,"&gt;="&amp;AI$1,'UX + Dev'!$AB$1:$DN$1,"&lt;="&amp;EOMONTH(AI$1,0),'UX + Dev'!$AB40:$DN40,"&lt;&gt;"))</f>
      </c>
      <c r="AJ40">
        <f>IF($B40="",0,COUNTIFS('UX + Dev'!$AB$1:$DN$1,"&gt;="&amp;AJ$1,'UX + Dev'!$AB$1:$DN$1,"&lt;="&amp;EOMONTH(AJ$1,0),'UX + Dev'!$AB40:$DN40,"&lt;&gt;"))</f>
      </c>
      <c r="AK40">
        <f>IF($B40="",0,COUNTIFS('UX + Dev'!$AB$1:$DN$1,"&gt;="&amp;AK$1,'UX + Dev'!$AB$1:$DN$1,"&lt;="&amp;EOMONTH(AK$1,0),'UX + Dev'!$AB40:$DN40,"&lt;&gt;"))</f>
      </c>
      <c r="AL40">
        <f>IF($B40="",0,COUNTIFS('UX + Dev'!$AB$1:$DN$1,"&gt;="&amp;AL$1,'UX + Dev'!$AB$1:$DN$1,"&lt;="&amp;EOMONTH(AL$1,0),'UX + Dev'!$AB40:$DN40,"&lt;&gt;"))</f>
      </c>
      <c r="AM40">
        <f>IF($B40="",0,COUNTIFS('UX + Dev'!$AB$1:$DN$1,"&gt;="&amp;AM$1,'UX + Dev'!$AB$1:$DN$1,"&lt;="&amp;EOMONTH(AM$1,0),'UX + Dev'!$AB40:$DN40,"&lt;&gt;"))</f>
      </c>
      <c r="AN40">
        <f>IF($B40="",0,COUNTIFS('UX + Dev'!$AB$1:$DN$1,"&gt;="&amp;AN$1,'UX + Dev'!$AB$1:$DN$1,"&lt;="&amp;EOMONTH(AN$1,0),'UX + Dev'!$AB40:$DN40,"&lt;&gt;"))</f>
      </c>
      <c r="AO40">
        <f>IF($B40="",0,COUNTIFS('UX + Dev'!$AB$1:$DN$1,"&gt;="&amp;AO$1,'UX + Dev'!$AB$1:$DN$1,"&lt;="&amp;EOMONTH(AO$1,0),'UX + Dev'!$AB40:$DN40,"&lt;&gt;"))</f>
      </c>
      <c r="AP40">
        <f>IF($B40="",0,COUNTIFS('UX + Dev'!$AB$1:$DN$1,"&gt;="&amp;AP$1,'UX + Dev'!$AB$1:$DN$1,"&lt;="&amp;EOMONTH(AP$1,0),'UX + Dev'!$AB40:$DN40,"&lt;&gt;"))</f>
      </c>
      <c r="AQ40">
        <f>IF($B40="",0,COUNTIFS('UX + Dev'!$AB$1:$DN$1,"&gt;="&amp;AQ$1,'UX + Dev'!$AB$1:$DN$1,"&lt;="&amp;EOMONTH(AQ$1,0),'UX + Dev'!$AB40:$DN40,"&lt;&gt;"))</f>
      </c>
      <c r="AR40">
        <f>IF($B40="",0,COUNTIFS('UX + Dev'!$AB$1:$DN$1,"&gt;="&amp;AR$1,'UX + Dev'!$AB$1:$DN$1,"&lt;="&amp;EOMONTH(AR$1,0),'UX + Dev'!$AB40:$DN40,"&lt;&gt;"))</f>
      </c>
      <c r="AS40">
        <f>IF($B40="",0,COUNTIFS('UX + Dev'!$AB$1:$DN$1,"&gt;="&amp;AS$1,'UX + Dev'!$AB$1:$DN$1,"&lt;="&amp;EOMONTH(AS$1,0),'UX + Dev'!$AB40:$DN40,"&lt;&gt;"))</f>
      </c>
      <c r="AT40">
        <f>IF($B40="",0,COUNTIFS('UX + Dev'!$AB$1:$DN$1,"&gt;="&amp;AT$1,'UX + Dev'!$AB$1:$DN$1,"&lt;="&amp;EOMONTH(AT$1,0),'UX + Dev'!$AB40:$DN40,"&lt;&gt;"))</f>
      </c>
      <c r="AU40">
        <f>IF($B40="",0,COUNTIFS('UX + Dev'!$AB$1:$DN$1,"&gt;="&amp;AU$1,'UX + Dev'!$AB$1:$DN$1,"&lt;="&amp;EOMONTH(AU$1,0),'UX + Dev'!$AB40:$DN40,"&lt;&gt;"))</f>
      </c>
      <c r="AV40">
        <f>IF($B40="",0,COUNTIFS('UX + Dev'!$AB$1:$DN$1,"&gt;="&amp;AV$1,'UX + Dev'!$AB$1:$DN$1,"&lt;="&amp;EOMONTH(AV$1,0),'UX + Dev'!$AB40:$DN40,"&lt;&gt;"))</f>
      </c>
      <c r="AW40">
        <f>IF($B40="",0,COUNTIFS('UX + Dev'!$AB$1:$DN$1,"&gt;="&amp;AW$1,'UX + Dev'!$AB$1:$DN$1,"&lt;="&amp;EOMONTH(AW$1,0),'UX + Dev'!$AB40:$DN40,"&lt;&gt;"))</f>
      </c>
      <c r="AX40">
        <f>IF($B40="",0,COUNTIFS('UX + Dev'!$AB$1:$DN$1,"&gt;="&amp;AX$1,'UX + Dev'!$AB$1:$DN$1,"&lt;="&amp;EOMONTH(AX$1,0),'UX + Dev'!$AB40:$DN40,"&lt;&gt;"))</f>
      </c>
      <c r="BB40" s="308">
        <f>IF($B40="","",IF(COUNTA('UX + Dev'!U40)&gt;0,DATE(YEAR('UX + Dev'!U40),MONTH('UX + Dev'!U40),1),IF(COUNTA('UX + Dev'!V40)&gt;0,DATE(YEAR('UX + Dev'!V40),MONTH('UX + Dev'!V40),1),"")))</f>
      </c>
      <c r="BC40" s="308">
        <f>IF($B40="","",IF(COUNTA('UX + Dev'!V40)&gt;0,EOMONTH('UX + Dev'!V40,0),IF(COUNTA('UX + Dev'!U40)&gt;0,EOMONTH('UX + Dev'!U40,0),"")))</f>
      </c>
    </row>
    <row r="41">
      <c r="A41" s="305" t="n">
        <v>41</v>
      </c>
      <c r="B41" s="305">
        <f>IF(TRIM('UX + Dev'!E41)="","",TRIM('UX + Dev'!E41))</f>
      </c>
      <c r="C41" s="305">
        <f>IF($B41="","",'UX + Dev'!B41)</f>
      </c>
      <c r="D41" s="305">
        <f>IF($B41="","",IF(TRIM('UX + Dev'!C41)="","(No theme assigned)",TRIM('UX + Dev'!C41)))</f>
      </c>
      <c r="E41" s="305">
        <f>IF($B41="","",TRIM('UX + Dev'!F41))</f>
      </c>
      <c r="F41" s="305">
        <f>IF($B41="","",'UX + Dev'!G41)</f>
      </c>
      <c r="G41" s="306">
        <f t="array" ref="G41">IF($B41="","",IF($T41=0,"",IFERROR(MIN(IF('UX + Dev'!$AB41:$DN41&lt;&gt;"",'UX + Dev'!$AB$1:$DN$1)),"")))</f>
      </c>
      <c r="H41" s="306">
        <f t="array" ref="H41">IF($B41="","",IF($T41=0,"",IFERROR(MAX(IF('UX + Dev'!$AB41:$DN41&lt;&gt;"",'UX + Dev'!$AB$1:$DN$1)),"")))</f>
      </c>
      <c r="I41" s="307">
        <f>IF($R41&lt;&gt;"",$R41,IF($S41&lt;&gt;"",$S41,""))</f>
      </c>
      <c r="J41" s="307">
        <f>IF($S41&lt;&gt;"",EOMONTH($S41,0),IF($R41&lt;&gt;"",EOMONTH($R41,0),""))</f>
      </c>
      <c r="K41" s="305">
        <f>IF($B41="","",IF(COUNTA('UX + Dev'!AA41)=0,"",TRIM('UX + Dev'!AA41)))</f>
      </c>
      <c r="L41" s="305">
        <f>IF($B41="","",IFERROR(MATCH($D41,Control!$E$4:$E$30,0),99))</f>
      </c>
      <c r="M41" s="305">
        <f>IF($B41="","",IFERROR(MATCH($F41,Control!$B$4:$B$30,0),99))</f>
      </c>
      <c r="N41" s="305">
        <f>IF($V41&lt;&gt;1,"",IF('Roadmap (Auto)'!$D$3="Status, then Theme",$M41*1000000+$L41*10000+ROW(),IF('Roadmap (Auto)'!$D$3="Dev start (earliest)",IF($I41="",99999999,$I41)*10000+ROW(),IF('Roadmap (Auto)'!$D$3="UX start (earliest)",IF($G41="",99999999,$G41)*10000+ROW(),IF('Roadmap (Auto)'!$D$3="Deliverable A-Z",$W41*10000+ROW(),$L41*1000000+$M41*10000+ROW())))))</f>
      </c>
      <c r="O41" s="305">
        <f>IF($N41="","",COUNTIF($N$2:$N$151,"&lt;"&amp;$N41)+1)</f>
      </c>
      <c r="P41" s="305">
        <f>IF($B41="","",IF(COUNTA('UX + Dev'!X41)=0,"",'UX + Dev'!X41))</f>
      </c>
      <c r="Q41" s="305">
        <f>IF($B41="","",IF(COUNTA('UX + Dev'!Y41)=0,"",'UX + Dev'!Y41))</f>
      </c>
      <c r="R41" s="307">
        <f>IF($P41="","",IF(ISNUMBER($P41),DATE(YEAR($P41),MONTH($P41),1),IFERROR(DATE(IFERROR(VALUE(RIGHT(TRIM($P41),4)),YEAR(TODAY())),(SEARCH(LEFT(TRIM($P41),3),"JanFebMarAprMayJunJulAugSepOctNovDec")+2)/3,1),"")))</f>
      </c>
      <c r="S41" s="307">
        <f>IF($Q41="","",IF(ISNUMBER($Q41),DATE(YEAR($Q41),MONTH($Q41),1),IFERROR(DATE(IFERROR(VALUE(RIGHT(TRIM($Q41),4)),YEAR(TODAY())),(SEARCH(LEFT(TRIM($Q41),3),"JanFebMarAprMayJunJulAugSepOctNovDec")+2)/3,1),"")))</f>
      </c>
      <c r="T41" s="305">
        <f>IF($B41="","",COUNTA('UX + Dev'!$AB41:$DN41))</f>
      </c>
      <c r="U41" s="305">
        <f>IF($B41="","",IFERROR(MATCH($D41,Control!$E$4:$E$30,0)+3,0))</f>
      </c>
      <c r="V41" s="305">
        <f>IF($B41="","",IF(AND(OR('Roadmap (Auto)'!$A$3="",'Roadmap (Auto)'!$A$3="(All)",ISNUMBER(SEARCH('Roadmap (Auto)'!$A$3,$C41&amp;""))),OR('Roadmap (Auto)'!$B$3="",'Roadmap (Auto)'!$B$3="(All)",$D41='Roadmap (Auto)'!$B$3,$X41='Roadmap (Auto)'!$B$3),OR('Roadmap (Auto)'!$C$3="",'Roadmap (Auto)'!$C$3="(All)",$F41='Roadmap (Auto)'!$C$3)),1,0))</f>
      </c>
      <c r="W41" s="305">
        <f>IF($B41="","",COUNTIF($Y$2:$Y$151,"&lt;"&amp;$Y41)+1)</f>
      </c>
      <c r="X41" s="305">
        <f>IF($B41="","",IF(TRIM('UX + Dev'!D41)="","",TRIM('UX + Dev'!D41)))</f>
      </c>
      <c r="Y41" s="305">
        <f>IF($B41="","",SUBSTITUTE(SUBSTITUTE(SUBSTITUTE(SUBSTITUTE(SUBSTITUTE(SUBSTITUTE(SUBSTITUTE(SUBSTITUTE(SUBSTITUTE(SUBSTITUTE(SUBSTITUTE(SUBSTITUTE(SUBSTITUTE(SUBSTITUTE(SUBSTITUTE(SUBSTITUTE(SUBSTITUTE(SUBSTITUTE(SUBSTITUTE(SUBSTITUTE(SUBSTITUTE(SUBSTITUTE(SUBSTITUTE(SUBSTITUTE(SUBSTITUTE(UPPER($B41)," ",""),"-",""),":",""),"/",""),"&amp;",""),"|",""),"'",""),"’",""),"&lt;",""),"&gt;",""),",",""),"$",""),".",""),"(",""),")",""),"*",""),"?",""),"~",""),"_",""),"+",""),"#",""),";",""),"!",""),"%",""),"@",""))</f>
      </c>
      <c r="AA41">
        <f>IF($B41="",0,COUNTIFS('UX + Dev'!$AB$1:$DN$1,"&gt;="&amp;AA$1,'UX + Dev'!$AB$1:$DN$1,"&lt;="&amp;EOMONTH(AA$1,0),'UX + Dev'!$AB41:$DN41,"&lt;&gt;"))</f>
      </c>
      <c r="AB41">
        <f>IF($B41="",0,COUNTIFS('UX + Dev'!$AB$1:$DN$1,"&gt;="&amp;AB$1,'UX + Dev'!$AB$1:$DN$1,"&lt;="&amp;EOMONTH(AB$1,0),'UX + Dev'!$AB41:$DN41,"&lt;&gt;"))</f>
      </c>
      <c r="AC41">
        <f>IF($B41="",0,COUNTIFS('UX + Dev'!$AB$1:$DN$1,"&gt;="&amp;AC$1,'UX + Dev'!$AB$1:$DN$1,"&lt;="&amp;EOMONTH(AC$1,0),'UX + Dev'!$AB41:$DN41,"&lt;&gt;"))</f>
      </c>
      <c r="AD41">
        <f>IF($B41="",0,COUNTIFS('UX + Dev'!$AB$1:$DN$1,"&gt;="&amp;AD$1,'UX + Dev'!$AB$1:$DN$1,"&lt;="&amp;EOMONTH(AD$1,0),'UX + Dev'!$AB41:$DN41,"&lt;&gt;"))</f>
      </c>
      <c r="AE41">
        <f>IF($B41="",0,COUNTIFS('UX + Dev'!$AB$1:$DN$1,"&gt;="&amp;AE$1,'UX + Dev'!$AB$1:$DN$1,"&lt;="&amp;EOMONTH(AE$1,0),'UX + Dev'!$AB41:$DN41,"&lt;&gt;"))</f>
      </c>
      <c r="AF41">
        <f>IF($B41="",0,COUNTIFS('UX + Dev'!$AB$1:$DN$1,"&gt;="&amp;AF$1,'UX + Dev'!$AB$1:$DN$1,"&lt;="&amp;EOMONTH(AF$1,0),'UX + Dev'!$AB41:$DN41,"&lt;&gt;"))</f>
      </c>
      <c r="AG41">
        <f>IF($B41="",0,COUNTIFS('UX + Dev'!$AB$1:$DN$1,"&gt;="&amp;AG$1,'UX + Dev'!$AB$1:$DN$1,"&lt;="&amp;EOMONTH(AG$1,0),'UX + Dev'!$AB41:$DN41,"&lt;&gt;"))</f>
      </c>
      <c r="AH41">
        <f>IF($B41="",0,COUNTIFS('UX + Dev'!$AB$1:$DN$1,"&gt;="&amp;AH$1,'UX + Dev'!$AB$1:$DN$1,"&lt;="&amp;EOMONTH(AH$1,0),'UX + Dev'!$AB41:$DN41,"&lt;&gt;"))</f>
      </c>
      <c r="AI41">
        <f>IF($B41="",0,COUNTIFS('UX + Dev'!$AB$1:$DN$1,"&gt;="&amp;AI$1,'UX + Dev'!$AB$1:$DN$1,"&lt;="&amp;EOMONTH(AI$1,0),'UX + Dev'!$AB41:$DN41,"&lt;&gt;"))</f>
      </c>
      <c r="AJ41">
        <f>IF($B41="",0,COUNTIFS('UX + Dev'!$AB$1:$DN$1,"&gt;="&amp;AJ$1,'UX + Dev'!$AB$1:$DN$1,"&lt;="&amp;EOMONTH(AJ$1,0),'UX + Dev'!$AB41:$DN41,"&lt;&gt;"))</f>
      </c>
      <c r="AK41">
        <f>IF($B41="",0,COUNTIFS('UX + Dev'!$AB$1:$DN$1,"&gt;="&amp;AK$1,'UX + Dev'!$AB$1:$DN$1,"&lt;="&amp;EOMONTH(AK$1,0),'UX + Dev'!$AB41:$DN41,"&lt;&gt;"))</f>
      </c>
      <c r="AL41">
        <f>IF($B41="",0,COUNTIFS('UX + Dev'!$AB$1:$DN$1,"&gt;="&amp;AL$1,'UX + Dev'!$AB$1:$DN$1,"&lt;="&amp;EOMONTH(AL$1,0),'UX + Dev'!$AB41:$DN41,"&lt;&gt;"))</f>
      </c>
      <c r="AM41">
        <f>IF($B41="",0,COUNTIFS('UX + Dev'!$AB$1:$DN$1,"&gt;="&amp;AM$1,'UX + Dev'!$AB$1:$DN$1,"&lt;="&amp;EOMONTH(AM$1,0),'UX + Dev'!$AB41:$DN41,"&lt;&gt;"))</f>
      </c>
      <c r="AN41">
        <f>IF($B41="",0,COUNTIFS('UX + Dev'!$AB$1:$DN$1,"&gt;="&amp;AN$1,'UX + Dev'!$AB$1:$DN$1,"&lt;="&amp;EOMONTH(AN$1,0),'UX + Dev'!$AB41:$DN41,"&lt;&gt;"))</f>
      </c>
      <c r="AO41">
        <f>IF($B41="",0,COUNTIFS('UX + Dev'!$AB$1:$DN$1,"&gt;="&amp;AO$1,'UX + Dev'!$AB$1:$DN$1,"&lt;="&amp;EOMONTH(AO$1,0),'UX + Dev'!$AB41:$DN41,"&lt;&gt;"))</f>
      </c>
      <c r="AP41">
        <f>IF($B41="",0,COUNTIFS('UX + Dev'!$AB$1:$DN$1,"&gt;="&amp;AP$1,'UX + Dev'!$AB$1:$DN$1,"&lt;="&amp;EOMONTH(AP$1,0),'UX + Dev'!$AB41:$DN41,"&lt;&gt;"))</f>
      </c>
      <c r="AQ41">
        <f>IF($B41="",0,COUNTIFS('UX + Dev'!$AB$1:$DN$1,"&gt;="&amp;AQ$1,'UX + Dev'!$AB$1:$DN$1,"&lt;="&amp;EOMONTH(AQ$1,0),'UX + Dev'!$AB41:$DN41,"&lt;&gt;"))</f>
      </c>
      <c r="AR41">
        <f>IF($B41="",0,COUNTIFS('UX + Dev'!$AB$1:$DN$1,"&gt;="&amp;AR$1,'UX + Dev'!$AB$1:$DN$1,"&lt;="&amp;EOMONTH(AR$1,0),'UX + Dev'!$AB41:$DN41,"&lt;&gt;"))</f>
      </c>
      <c r="AS41">
        <f>IF($B41="",0,COUNTIFS('UX + Dev'!$AB$1:$DN$1,"&gt;="&amp;AS$1,'UX + Dev'!$AB$1:$DN$1,"&lt;="&amp;EOMONTH(AS$1,0),'UX + Dev'!$AB41:$DN41,"&lt;&gt;"))</f>
      </c>
      <c r="AT41">
        <f>IF($B41="",0,COUNTIFS('UX + Dev'!$AB$1:$DN$1,"&gt;="&amp;AT$1,'UX + Dev'!$AB$1:$DN$1,"&lt;="&amp;EOMONTH(AT$1,0),'UX + Dev'!$AB41:$DN41,"&lt;&gt;"))</f>
      </c>
      <c r="AU41">
        <f>IF($B41="",0,COUNTIFS('UX + Dev'!$AB$1:$DN$1,"&gt;="&amp;AU$1,'UX + Dev'!$AB$1:$DN$1,"&lt;="&amp;EOMONTH(AU$1,0),'UX + Dev'!$AB41:$DN41,"&lt;&gt;"))</f>
      </c>
      <c r="AV41">
        <f>IF($B41="",0,COUNTIFS('UX + Dev'!$AB$1:$DN$1,"&gt;="&amp;AV$1,'UX + Dev'!$AB$1:$DN$1,"&lt;="&amp;EOMONTH(AV$1,0),'UX + Dev'!$AB41:$DN41,"&lt;&gt;"))</f>
      </c>
      <c r="AW41">
        <f>IF($B41="",0,COUNTIFS('UX + Dev'!$AB$1:$DN$1,"&gt;="&amp;AW$1,'UX + Dev'!$AB$1:$DN$1,"&lt;="&amp;EOMONTH(AW$1,0),'UX + Dev'!$AB41:$DN41,"&lt;&gt;"))</f>
      </c>
      <c r="AX41">
        <f>IF($B41="",0,COUNTIFS('UX + Dev'!$AB$1:$DN$1,"&gt;="&amp;AX$1,'UX + Dev'!$AB$1:$DN$1,"&lt;="&amp;EOMONTH(AX$1,0),'UX + Dev'!$AB41:$DN41,"&lt;&gt;"))</f>
      </c>
      <c r="BB41" s="308">
        <f>IF($B41="","",IF(COUNTA('UX + Dev'!U41)&gt;0,DATE(YEAR('UX + Dev'!U41),MONTH('UX + Dev'!U41),1),IF(COUNTA('UX + Dev'!V41)&gt;0,DATE(YEAR('UX + Dev'!V41),MONTH('UX + Dev'!V41),1),"")))</f>
      </c>
      <c r="BC41" s="308">
        <f>IF($B41="","",IF(COUNTA('UX + Dev'!V41)&gt;0,EOMONTH('UX + Dev'!V41,0),IF(COUNTA('UX + Dev'!U41)&gt;0,EOMONTH('UX + Dev'!U41,0),"")))</f>
      </c>
    </row>
    <row r="42">
      <c r="A42" s="305" t="n">
        <v>42</v>
      </c>
      <c r="B42" s="305">
        <f>IF(TRIM('UX + Dev'!E42)="","",TRIM('UX + Dev'!E42))</f>
      </c>
      <c r="C42" s="305">
        <f>IF($B42="","",'UX + Dev'!B42)</f>
      </c>
      <c r="D42" s="305">
        <f>IF($B42="","",IF(TRIM('UX + Dev'!C42)="","(No theme assigned)",TRIM('UX + Dev'!C42)))</f>
      </c>
      <c r="E42" s="305">
        <f>IF($B42="","",TRIM('UX + Dev'!F42))</f>
      </c>
      <c r="F42" s="305">
        <f>IF($B42="","",'UX + Dev'!G42)</f>
      </c>
      <c r="G42" s="306">
        <f t="array" ref="G42">IF($B42="","",IF($T42=0,"",IFERROR(MIN(IF('UX + Dev'!$AB42:$DN42&lt;&gt;"",'UX + Dev'!$AB$1:$DN$1)),"")))</f>
      </c>
      <c r="H42" s="306">
        <f t="array" ref="H42">IF($B42="","",IF($T42=0,"",IFERROR(MAX(IF('UX + Dev'!$AB42:$DN42&lt;&gt;"",'UX + Dev'!$AB$1:$DN$1)),"")))</f>
      </c>
      <c r="I42" s="307">
        <f>IF($R42&lt;&gt;"",$R42,IF($S42&lt;&gt;"",$S42,""))</f>
      </c>
      <c r="J42" s="307">
        <f>IF($S42&lt;&gt;"",EOMONTH($S42,0),IF($R42&lt;&gt;"",EOMONTH($R42,0),""))</f>
      </c>
      <c r="K42" s="305">
        <f>IF($B42="","",IF(COUNTA('UX + Dev'!AA42)=0,"",TRIM('UX + Dev'!AA42)))</f>
      </c>
      <c r="L42" s="305">
        <f>IF($B42="","",IFERROR(MATCH($D42,Control!$E$4:$E$30,0),99))</f>
      </c>
      <c r="M42" s="305">
        <f>IF($B42="","",IFERROR(MATCH($F42,Control!$B$4:$B$30,0),99))</f>
      </c>
      <c r="N42" s="305">
        <f>IF($V42&lt;&gt;1,"",IF('Roadmap (Auto)'!$D$3="Status, then Theme",$M42*1000000+$L42*10000+ROW(),IF('Roadmap (Auto)'!$D$3="Dev start (earliest)",IF($I42="",99999999,$I42)*10000+ROW(),IF('Roadmap (Auto)'!$D$3="UX start (earliest)",IF($G42="",99999999,$G42)*10000+ROW(),IF('Roadmap (Auto)'!$D$3="Deliverable A-Z",$W42*10000+ROW(),$L42*1000000+$M42*10000+ROW())))))</f>
      </c>
      <c r="O42" s="305">
        <f>IF($N42="","",COUNTIF($N$2:$N$151,"&lt;"&amp;$N42)+1)</f>
      </c>
      <c r="P42" s="305">
        <f>IF($B42="","",IF(COUNTA('UX + Dev'!X42)=0,"",'UX + Dev'!X42))</f>
      </c>
      <c r="Q42" s="305">
        <f>IF($B42="","",IF(COUNTA('UX + Dev'!Y42)=0,"",'UX + Dev'!Y42))</f>
      </c>
      <c r="R42" s="307">
        <f>IF($P42="","",IF(ISNUMBER($P42),DATE(YEAR($P42),MONTH($P42),1),IFERROR(DATE(IFERROR(VALUE(RIGHT(TRIM($P42),4)),YEAR(TODAY())),(SEARCH(LEFT(TRIM($P42),3),"JanFebMarAprMayJunJulAugSepOctNovDec")+2)/3,1),"")))</f>
      </c>
      <c r="S42" s="307">
        <f>IF($Q42="","",IF(ISNUMBER($Q42),DATE(YEAR($Q42),MONTH($Q42),1),IFERROR(DATE(IFERROR(VALUE(RIGHT(TRIM($Q42),4)),YEAR(TODAY())),(SEARCH(LEFT(TRIM($Q42),3),"JanFebMarAprMayJunJulAugSepOctNovDec")+2)/3,1),"")))</f>
      </c>
      <c r="T42" s="305">
        <f>IF($B42="","",COUNTA('UX + Dev'!$AB42:$DN42))</f>
      </c>
      <c r="U42" s="305">
        <f>IF($B42="","",IFERROR(MATCH($D42,Control!$E$4:$E$30,0)+3,0))</f>
      </c>
      <c r="V42" s="305">
        <f>IF($B42="","",IF(AND(OR('Roadmap (Auto)'!$A$3="",'Roadmap (Auto)'!$A$3="(All)",ISNUMBER(SEARCH('Roadmap (Auto)'!$A$3,$C42&amp;""))),OR('Roadmap (Auto)'!$B$3="",'Roadmap (Auto)'!$B$3="(All)",$D42='Roadmap (Auto)'!$B$3,$X42='Roadmap (Auto)'!$B$3),OR('Roadmap (Auto)'!$C$3="",'Roadmap (Auto)'!$C$3="(All)",$F42='Roadmap (Auto)'!$C$3)),1,0))</f>
      </c>
      <c r="W42" s="305">
        <f>IF($B42="","",COUNTIF($Y$2:$Y$151,"&lt;"&amp;$Y42)+1)</f>
      </c>
      <c r="X42" s="305">
        <f>IF($B42="","",IF(TRIM('UX + Dev'!D42)="","",TRIM('UX + Dev'!D42)))</f>
      </c>
      <c r="Y42" s="305">
        <f>IF($B42="","",SUBSTITUTE(SUBSTITUTE(SUBSTITUTE(SUBSTITUTE(SUBSTITUTE(SUBSTITUTE(SUBSTITUTE(SUBSTITUTE(SUBSTITUTE(SUBSTITUTE(SUBSTITUTE(SUBSTITUTE(SUBSTITUTE(SUBSTITUTE(SUBSTITUTE(SUBSTITUTE(SUBSTITUTE(SUBSTITUTE(SUBSTITUTE(SUBSTITUTE(SUBSTITUTE(SUBSTITUTE(SUBSTITUTE(SUBSTITUTE(SUBSTITUTE(UPPER($B42)," ",""),"-",""),":",""),"/",""),"&amp;",""),"|",""),"'",""),"’",""),"&lt;",""),"&gt;",""),",",""),"$",""),".",""),"(",""),")",""),"*",""),"?",""),"~",""),"_",""),"+",""),"#",""),";",""),"!",""),"%",""),"@",""))</f>
      </c>
      <c r="AA42">
        <f>IF($B42="",0,COUNTIFS('UX + Dev'!$AB$1:$DN$1,"&gt;="&amp;AA$1,'UX + Dev'!$AB$1:$DN$1,"&lt;="&amp;EOMONTH(AA$1,0),'UX + Dev'!$AB42:$DN42,"&lt;&gt;"))</f>
      </c>
      <c r="AB42">
        <f>IF($B42="",0,COUNTIFS('UX + Dev'!$AB$1:$DN$1,"&gt;="&amp;AB$1,'UX + Dev'!$AB$1:$DN$1,"&lt;="&amp;EOMONTH(AB$1,0),'UX + Dev'!$AB42:$DN42,"&lt;&gt;"))</f>
      </c>
      <c r="AC42">
        <f>IF($B42="",0,COUNTIFS('UX + Dev'!$AB$1:$DN$1,"&gt;="&amp;AC$1,'UX + Dev'!$AB$1:$DN$1,"&lt;="&amp;EOMONTH(AC$1,0),'UX + Dev'!$AB42:$DN42,"&lt;&gt;"))</f>
      </c>
      <c r="AD42">
        <f>IF($B42="",0,COUNTIFS('UX + Dev'!$AB$1:$DN$1,"&gt;="&amp;AD$1,'UX + Dev'!$AB$1:$DN$1,"&lt;="&amp;EOMONTH(AD$1,0),'UX + Dev'!$AB42:$DN42,"&lt;&gt;"))</f>
      </c>
      <c r="AE42">
        <f>IF($B42="",0,COUNTIFS('UX + Dev'!$AB$1:$DN$1,"&gt;="&amp;AE$1,'UX + Dev'!$AB$1:$DN$1,"&lt;="&amp;EOMONTH(AE$1,0),'UX + Dev'!$AB42:$DN42,"&lt;&gt;"))</f>
      </c>
      <c r="AF42">
        <f>IF($B42="",0,COUNTIFS('UX + Dev'!$AB$1:$DN$1,"&gt;="&amp;AF$1,'UX + Dev'!$AB$1:$DN$1,"&lt;="&amp;EOMONTH(AF$1,0),'UX + Dev'!$AB42:$DN42,"&lt;&gt;"))</f>
      </c>
      <c r="AG42">
        <f>IF($B42="",0,COUNTIFS('UX + Dev'!$AB$1:$DN$1,"&gt;="&amp;AG$1,'UX + Dev'!$AB$1:$DN$1,"&lt;="&amp;EOMONTH(AG$1,0),'UX + Dev'!$AB42:$DN42,"&lt;&gt;"))</f>
      </c>
      <c r="AH42">
        <f>IF($B42="",0,COUNTIFS('UX + Dev'!$AB$1:$DN$1,"&gt;="&amp;AH$1,'UX + Dev'!$AB$1:$DN$1,"&lt;="&amp;EOMONTH(AH$1,0),'UX + Dev'!$AB42:$DN42,"&lt;&gt;"))</f>
      </c>
      <c r="AI42">
        <f>IF($B42="",0,COUNTIFS('UX + Dev'!$AB$1:$DN$1,"&gt;="&amp;AI$1,'UX + Dev'!$AB$1:$DN$1,"&lt;="&amp;EOMONTH(AI$1,0),'UX + Dev'!$AB42:$DN42,"&lt;&gt;"))</f>
      </c>
      <c r="AJ42">
        <f>IF($B42="",0,COUNTIFS('UX + Dev'!$AB$1:$DN$1,"&gt;="&amp;AJ$1,'UX + Dev'!$AB$1:$DN$1,"&lt;="&amp;EOMONTH(AJ$1,0),'UX + Dev'!$AB42:$DN42,"&lt;&gt;"))</f>
      </c>
      <c r="AK42">
        <f>IF($B42="",0,COUNTIFS('UX + Dev'!$AB$1:$DN$1,"&gt;="&amp;AK$1,'UX + Dev'!$AB$1:$DN$1,"&lt;="&amp;EOMONTH(AK$1,0),'UX + Dev'!$AB42:$DN42,"&lt;&gt;"))</f>
      </c>
      <c r="AL42">
        <f>IF($B42="",0,COUNTIFS('UX + Dev'!$AB$1:$DN$1,"&gt;="&amp;AL$1,'UX + Dev'!$AB$1:$DN$1,"&lt;="&amp;EOMONTH(AL$1,0),'UX + Dev'!$AB42:$DN42,"&lt;&gt;"))</f>
      </c>
      <c r="AM42">
        <f>IF($B42="",0,COUNTIFS('UX + Dev'!$AB$1:$DN$1,"&gt;="&amp;AM$1,'UX + Dev'!$AB$1:$DN$1,"&lt;="&amp;EOMONTH(AM$1,0),'UX + Dev'!$AB42:$DN42,"&lt;&gt;"))</f>
      </c>
      <c r="AN42">
        <f>IF($B42="",0,COUNTIFS('UX + Dev'!$AB$1:$DN$1,"&gt;="&amp;AN$1,'UX + Dev'!$AB$1:$DN$1,"&lt;="&amp;EOMONTH(AN$1,0),'UX + Dev'!$AB42:$DN42,"&lt;&gt;"))</f>
      </c>
      <c r="AO42">
        <f>IF($B42="",0,COUNTIFS('UX + Dev'!$AB$1:$DN$1,"&gt;="&amp;AO$1,'UX + Dev'!$AB$1:$DN$1,"&lt;="&amp;EOMONTH(AO$1,0),'UX + Dev'!$AB42:$DN42,"&lt;&gt;"))</f>
      </c>
      <c r="AP42">
        <f>IF($B42="",0,COUNTIFS('UX + Dev'!$AB$1:$DN$1,"&gt;="&amp;AP$1,'UX + Dev'!$AB$1:$DN$1,"&lt;="&amp;EOMONTH(AP$1,0),'UX + Dev'!$AB42:$DN42,"&lt;&gt;"))</f>
      </c>
      <c r="AQ42">
        <f>IF($B42="",0,COUNTIFS('UX + Dev'!$AB$1:$DN$1,"&gt;="&amp;AQ$1,'UX + Dev'!$AB$1:$DN$1,"&lt;="&amp;EOMONTH(AQ$1,0),'UX + Dev'!$AB42:$DN42,"&lt;&gt;"))</f>
      </c>
      <c r="AR42">
        <f>IF($B42="",0,COUNTIFS('UX + Dev'!$AB$1:$DN$1,"&gt;="&amp;AR$1,'UX + Dev'!$AB$1:$DN$1,"&lt;="&amp;EOMONTH(AR$1,0),'UX + Dev'!$AB42:$DN42,"&lt;&gt;"))</f>
      </c>
      <c r="AS42">
        <f>IF($B42="",0,COUNTIFS('UX + Dev'!$AB$1:$DN$1,"&gt;="&amp;AS$1,'UX + Dev'!$AB$1:$DN$1,"&lt;="&amp;EOMONTH(AS$1,0),'UX + Dev'!$AB42:$DN42,"&lt;&gt;"))</f>
      </c>
      <c r="AT42">
        <f>IF($B42="",0,COUNTIFS('UX + Dev'!$AB$1:$DN$1,"&gt;="&amp;AT$1,'UX + Dev'!$AB$1:$DN$1,"&lt;="&amp;EOMONTH(AT$1,0),'UX + Dev'!$AB42:$DN42,"&lt;&gt;"))</f>
      </c>
      <c r="AU42">
        <f>IF($B42="",0,COUNTIFS('UX + Dev'!$AB$1:$DN$1,"&gt;="&amp;AU$1,'UX + Dev'!$AB$1:$DN$1,"&lt;="&amp;EOMONTH(AU$1,0),'UX + Dev'!$AB42:$DN42,"&lt;&gt;"))</f>
      </c>
      <c r="AV42">
        <f>IF($B42="",0,COUNTIFS('UX + Dev'!$AB$1:$DN$1,"&gt;="&amp;AV$1,'UX + Dev'!$AB$1:$DN$1,"&lt;="&amp;EOMONTH(AV$1,0),'UX + Dev'!$AB42:$DN42,"&lt;&gt;"))</f>
      </c>
      <c r="AW42">
        <f>IF($B42="",0,COUNTIFS('UX + Dev'!$AB$1:$DN$1,"&gt;="&amp;AW$1,'UX + Dev'!$AB$1:$DN$1,"&lt;="&amp;EOMONTH(AW$1,0),'UX + Dev'!$AB42:$DN42,"&lt;&gt;"))</f>
      </c>
      <c r="AX42">
        <f>IF($B42="",0,COUNTIFS('UX + Dev'!$AB$1:$DN$1,"&gt;="&amp;AX$1,'UX + Dev'!$AB$1:$DN$1,"&lt;="&amp;EOMONTH(AX$1,0),'UX + Dev'!$AB42:$DN42,"&lt;&gt;"))</f>
      </c>
      <c r="BB42" s="308">
        <f>IF($B42="","",IF(COUNTA('UX + Dev'!U42)&gt;0,DATE(YEAR('UX + Dev'!U42),MONTH('UX + Dev'!U42),1),IF(COUNTA('UX + Dev'!V42)&gt;0,DATE(YEAR('UX + Dev'!V42),MONTH('UX + Dev'!V42),1),"")))</f>
      </c>
      <c r="BC42" s="308">
        <f>IF($B42="","",IF(COUNTA('UX + Dev'!V42)&gt;0,EOMONTH('UX + Dev'!V42,0),IF(COUNTA('UX + Dev'!U42)&gt;0,EOMONTH('UX + Dev'!U42,0),"")))</f>
      </c>
    </row>
    <row r="43">
      <c r="A43" s="305" t="n">
        <v>43</v>
      </c>
      <c r="B43" s="305">
        <f>IF(TRIM('UX + Dev'!E43)="","",TRIM('UX + Dev'!E43))</f>
      </c>
      <c r="C43" s="305">
        <f>IF($B43="","",'UX + Dev'!B43)</f>
      </c>
      <c r="D43" s="305">
        <f>IF($B43="","",IF(TRIM('UX + Dev'!C43)="","(No theme assigned)",TRIM('UX + Dev'!C43)))</f>
      </c>
      <c r="E43" s="305">
        <f>IF($B43="","",TRIM('UX + Dev'!F43))</f>
      </c>
      <c r="F43" s="305">
        <f>IF($B43="","",'UX + Dev'!G43)</f>
      </c>
      <c r="G43" s="306">
        <f t="array" ref="G43">IF($B43="","",IF($T43=0,"",IFERROR(MIN(IF('UX + Dev'!$AB43:$DN43&lt;&gt;"",'UX + Dev'!$AB$1:$DN$1)),"")))</f>
      </c>
      <c r="H43" s="306">
        <f t="array" ref="H43">IF($B43="","",IF($T43=0,"",IFERROR(MAX(IF('UX + Dev'!$AB43:$DN43&lt;&gt;"",'UX + Dev'!$AB$1:$DN$1)),"")))</f>
      </c>
      <c r="I43" s="307">
        <f>IF($R43&lt;&gt;"",$R43,IF($S43&lt;&gt;"",$S43,""))</f>
      </c>
      <c r="J43" s="307">
        <f>IF($S43&lt;&gt;"",EOMONTH($S43,0),IF($R43&lt;&gt;"",EOMONTH($R43,0),""))</f>
      </c>
      <c r="K43" s="305">
        <f>IF($B43="","",IF(COUNTA('UX + Dev'!AA43)=0,"",TRIM('UX + Dev'!AA43)))</f>
      </c>
      <c r="L43" s="305">
        <f>IF($B43="","",IFERROR(MATCH($D43,Control!$E$4:$E$30,0),99))</f>
      </c>
      <c r="M43" s="305">
        <f>IF($B43="","",IFERROR(MATCH($F43,Control!$B$4:$B$30,0),99))</f>
      </c>
      <c r="N43" s="305">
        <f>IF($V43&lt;&gt;1,"",IF('Roadmap (Auto)'!$D$3="Status, then Theme",$M43*1000000+$L43*10000+ROW(),IF('Roadmap (Auto)'!$D$3="Dev start (earliest)",IF($I43="",99999999,$I43)*10000+ROW(),IF('Roadmap (Auto)'!$D$3="UX start (earliest)",IF($G43="",99999999,$G43)*10000+ROW(),IF('Roadmap (Auto)'!$D$3="Deliverable A-Z",$W43*10000+ROW(),$L43*1000000+$M43*10000+ROW())))))</f>
      </c>
      <c r="O43" s="305">
        <f>IF($N43="","",COUNTIF($N$2:$N$151,"&lt;"&amp;$N43)+1)</f>
      </c>
      <c r="P43" s="305">
        <f>IF($B43="","",IF(COUNTA('UX + Dev'!X43)=0,"",'UX + Dev'!X43))</f>
      </c>
      <c r="Q43" s="305">
        <f>IF($B43="","",IF(COUNTA('UX + Dev'!Y43)=0,"",'UX + Dev'!Y43))</f>
      </c>
      <c r="R43" s="307">
        <f>IF($P43="","",IF(ISNUMBER($P43),DATE(YEAR($P43),MONTH($P43),1),IFERROR(DATE(IFERROR(VALUE(RIGHT(TRIM($P43),4)),YEAR(TODAY())),(SEARCH(LEFT(TRIM($P43),3),"JanFebMarAprMayJunJulAugSepOctNovDec")+2)/3,1),"")))</f>
      </c>
      <c r="S43" s="307">
        <f>IF($Q43="","",IF(ISNUMBER($Q43),DATE(YEAR($Q43),MONTH($Q43),1),IFERROR(DATE(IFERROR(VALUE(RIGHT(TRIM($Q43),4)),YEAR(TODAY())),(SEARCH(LEFT(TRIM($Q43),3),"JanFebMarAprMayJunJulAugSepOctNovDec")+2)/3,1),"")))</f>
      </c>
      <c r="T43" s="305">
        <f>IF($B43="","",COUNTA('UX + Dev'!$AB43:$DN43))</f>
      </c>
      <c r="U43" s="305">
        <f>IF($B43="","",IFERROR(MATCH($D43,Control!$E$4:$E$30,0)+3,0))</f>
      </c>
      <c r="V43" s="305">
        <f>IF($B43="","",IF(AND(OR('Roadmap (Auto)'!$A$3="",'Roadmap (Auto)'!$A$3="(All)",ISNUMBER(SEARCH('Roadmap (Auto)'!$A$3,$C43&amp;""))),OR('Roadmap (Auto)'!$B$3="",'Roadmap (Auto)'!$B$3="(All)",$D43='Roadmap (Auto)'!$B$3,$X43='Roadmap (Auto)'!$B$3),OR('Roadmap (Auto)'!$C$3="",'Roadmap (Auto)'!$C$3="(All)",$F43='Roadmap (Auto)'!$C$3)),1,0))</f>
      </c>
      <c r="W43" s="305">
        <f>IF($B43="","",COUNTIF($Y$2:$Y$151,"&lt;"&amp;$Y43)+1)</f>
      </c>
      <c r="X43" s="305">
        <f>IF($B43="","",IF(TRIM('UX + Dev'!D43)="","",TRIM('UX + Dev'!D43)))</f>
      </c>
      <c r="Y43" s="305">
        <f>IF($B43="","",SUBSTITUTE(SUBSTITUTE(SUBSTITUTE(SUBSTITUTE(SUBSTITUTE(SUBSTITUTE(SUBSTITUTE(SUBSTITUTE(SUBSTITUTE(SUBSTITUTE(SUBSTITUTE(SUBSTITUTE(SUBSTITUTE(SUBSTITUTE(SUBSTITUTE(SUBSTITUTE(SUBSTITUTE(SUBSTITUTE(SUBSTITUTE(SUBSTITUTE(SUBSTITUTE(SUBSTITUTE(SUBSTITUTE(SUBSTITUTE(SUBSTITUTE(UPPER($B43)," ",""),"-",""),":",""),"/",""),"&amp;",""),"|",""),"'",""),"’",""),"&lt;",""),"&gt;",""),",",""),"$",""),".",""),"(",""),")",""),"*",""),"?",""),"~",""),"_",""),"+",""),"#",""),";",""),"!",""),"%",""),"@",""))</f>
      </c>
      <c r="AA43">
        <f>IF($B43="",0,COUNTIFS('UX + Dev'!$AB$1:$DN$1,"&gt;="&amp;AA$1,'UX + Dev'!$AB$1:$DN$1,"&lt;="&amp;EOMONTH(AA$1,0),'UX + Dev'!$AB43:$DN43,"&lt;&gt;"))</f>
      </c>
      <c r="AB43">
        <f>IF($B43="",0,COUNTIFS('UX + Dev'!$AB$1:$DN$1,"&gt;="&amp;AB$1,'UX + Dev'!$AB$1:$DN$1,"&lt;="&amp;EOMONTH(AB$1,0),'UX + Dev'!$AB43:$DN43,"&lt;&gt;"))</f>
      </c>
      <c r="AC43">
        <f>IF($B43="",0,COUNTIFS('UX + Dev'!$AB$1:$DN$1,"&gt;="&amp;AC$1,'UX + Dev'!$AB$1:$DN$1,"&lt;="&amp;EOMONTH(AC$1,0),'UX + Dev'!$AB43:$DN43,"&lt;&gt;"))</f>
      </c>
      <c r="AD43">
        <f>IF($B43="",0,COUNTIFS('UX + Dev'!$AB$1:$DN$1,"&gt;="&amp;AD$1,'UX + Dev'!$AB$1:$DN$1,"&lt;="&amp;EOMONTH(AD$1,0),'UX + Dev'!$AB43:$DN43,"&lt;&gt;"))</f>
      </c>
      <c r="AE43">
        <f>IF($B43="",0,COUNTIFS('UX + Dev'!$AB$1:$DN$1,"&gt;="&amp;AE$1,'UX + Dev'!$AB$1:$DN$1,"&lt;="&amp;EOMONTH(AE$1,0),'UX + Dev'!$AB43:$DN43,"&lt;&gt;"))</f>
      </c>
      <c r="AF43">
        <f>IF($B43="",0,COUNTIFS('UX + Dev'!$AB$1:$DN$1,"&gt;="&amp;AF$1,'UX + Dev'!$AB$1:$DN$1,"&lt;="&amp;EOMONTH(AF$1,0),'UX + Dev'!$AB43:$DN43,"&lt;&gt;"))</f>
      </c>
      <c r="AG43">
        <f>IF($B43="",0,COUNTIFS('UX + Dev'!$AB$1:$DN$1,"&gt;="&amp;AG$1,'UX + Dev'!$AB$1:$DN$1,"&lt;="&amp;EOMONTH(AG$1,0),'UX + Dev'!$AB43:$DN43,"&lt;&gt;"))</f>
      </c>
      <c r="AH43">
        <f>IF($B43="",0,COUNTIFS('UX + Dev'!$AB$1:$DN$1,"&gt;="&amp;AH$1,'UX + Dev'!$AB$1:$DN$1,"&lt;="&amp;EOMONTH(AH$1,0),'UX + Dev'!$AB43:$DN43,"&lt;&gt;"))</f>
      </c>
      <c r="AI43">
        <f>IF($B43="",0,COUNTIFS('UX + Dev'!$AB$1:$DN$1,"&gt;="&amp;AI$1,'UX + Dev'!$AB$1:$DN$1,"&lt;="&amp;EOMONTH(AI$1,0),'UX + Dev'!$AB43:$DN43,"&lt;&gt;"))</f>
      </c>
      <c r="AJ43">
        <f>IF($B43="",0,COUNTIFS('UX + Dev'!$AB$1:$DN$1,"&gt;="&amp;AJ$1,'UX + Dev'!$AB$1:$DN$1,"&lt;="&amp;EOMONTH(AJ$1,0),'UX + Dev'!$AB43:$DN43,"&lt;&gt;"))</f>
      </c>
      <c r="AK43">
        <f>IF($B43="",0,COUNTIFS('UX + Dev'!$AB$1:$DN$1,"&gt;="&amp;AK$1,'UX + Dev'!$AB$1:$DN$1,"&lt;="&amp;EOMONTH(AK$1,0),'UX + Dev'!$AB43:$DN43,"&lt;&gt;"))</f>
      </c>
      <c r="AL43">
        <f>IF($B43="",0,COUNTIFS('UX + Dev'!$AB$1:$DN$1,"&gt;="&amp;AL$1,'UX + Dev'!$AB$1:$DN$1,"&lt;="&amp;EOMONTH(AL$1,0),'UX + Dev'!$AB43:$DN43,"&lt;&gt;"))</f>
      </c>
      <c r="AM43">
        <f>IF($B43="",0,COUNTIFS('UX + Dev'!$AB$1:$DN$1,"&gt;="&amp;AM$1,'UX + Dev'!$AB$1:$DN$1,"&lt;="&amp;EOMONTH(AM$1,0),'UX + Dev'!$AB43:$DN43,"&lt;&gt;"))</f>
      </c>
      <c r="AN43">
        <f>IF($B43="",0,COUNTIFS('UX + Dev'!$AB$1:$DN$1,"&gt;="&amp;AN$1,'UX + Dev'!$AB$1:$DN$1,"&lt;="&amp;EOMONTH(AN$1,0),'UX + Dev'!$AB43:$DN43,"&lt;&gt;"))</f>
      </c>
      <c r="AO43">
        <f>IF($B43="",0,COUNTIFS('UX + Dev'!$AB$1:$DN$1,"&gt;="&amp;AO$1,'UX + Dev'!$AB$1:$DN$1,"&lt;="&amp;EOMONTH(AO$1,0),'UX + Dev'!$AB43:$DN43,"&lt;&gt;"))</f>
      </c>
      <c r="AP43">
        <f>IF($B43="",0,COUNTIFS('UX + Dev'!$AB$1:$DN$1,"&gt;="&amp;AP$1,'UX + Dev'!$AB$1:$DN$1,"&lt;="&amp;EOMONTH(AP$1,0),'UX + Dev'!$AB43:$DN43,"&lt;&gt;"))</f>
      </c>
      <c r="AQ43">
        <f>IF($B43="",0,COUNTIFS('UX + Dev'!$AB$1:$DN$1,"&gt;="&amp;AQ$1,'UX + Dev'!$AB$1:$DN$1,"&lt;="&amp;EOMONTH(AQ$1,0),'UX + Dev'!$AB43:$DN43,"&lt;&gt;"))</f>
      </c>
      <c r="AR43">
        <f>IF($B43="",0,COUNTIFS('UX + Dev'!$AB$1:$DN$1,"&gt;="&amp;AR$1,'UX + Dev'!$AB$1:$DN$1,"&lt;="&amp;EOMONTH(AR$1,0),'UX + Dev'!$AB43:$DN43,"&lt;&gt;"))</f>
      </c>
      <c r="AS43">
        <f>IF($B43="",0,COUNTIFS('UX + Dev'!$AB$1:$DN$1,"&gt;="&amp;AS$1,'UX + Dev'!$AB$1:$DN$1,"&lt;="&amp;EOMONTH(AS$1,0),'UX + Dev'!$AB43:$DN43,"&lt;&gt;"))</f>
      </c>
      <c r="AT43">
        <f>IF($B43="",0,COUNTIFS('UX + Dev'!$AB$1:$DN$1,"&gt;="&amp;AT$1,'UX + Dev'!$AB$1:$DN$1,"&lt;="&amp;EOMONTH(AT$1,0),'UX + Dev'!$AB43:$DN43,"&lt;&gt;"))</f>
      </c>
      <c r="AU43">
        <f>IF($B43="",0,COUNTIFS('UX + Dev'!$AB$1:$DN$1,"&gt;="&amp;AU$1,'UX + Dev'!$AB$1:$DN$1,"&lt;="&amp;EOMONTH(AU$1,0),'UX + Dev'!$AB43:$DN43,"&lt;&gt;"))</f>
      </c>
      <c r="AV43">
        <f>IF($B43="",0,COUNTIFS('UX + Dev'!$AB$1:$DN$1,"&gt;="&amp;AV$1,'UX + Dev'!$AB$1:$DN$1,"&lt;="&amp;EOMONTH(AV$1,0),'UX + Dev'!$AB43:$DN43,"&lt;&gt;"))</f>
      </c>
      <c r="AW43">
        <f>IF($B43="",0,COUNTIFS('UX + Dev'!$AB$1:$DN$1,"&gt;="&amp;AW$1,'UX + Dev'!$AB$1:$DN$1,"&lt;="&amp;EOMONTH(AW$1,0),'UX + Dev'!$AB43:$DN43,"&lt;&gt;"))</f>
      </c>
      <c r="AX43">
        <f>IF($B43="",0,COUNTIFS('UX + Dev'!$AB$1:$DN$1,"&gt;="&amp;AX$1,'UX + Dev'!$AB$1:$DN$1,"&lt;="&amp;EOMONTH(AX$1,0),'UX + Dev'!$AB43:$DN43,"&lt;&gt;"))</f>
      </c>
      <c r="BB43" s="308">
        <f>IF($B43="","",IF(COUNTA('UX + Dev'!U43)&gt;0,DATE(YEAR('UX + Dev'!U43),MONTH('UX + Dev'!U43),1),IF(COUNTA('UX + Dev'!V43)&gt;0,DATE(YEAR('UX + Dev'!V43),MONTH('UX + Dev'!V43),1),"")))</f>
      </c>
      <c r="BC43" s="308">
        <f>IF($B43="","",IF(COUNTA('UX + Dev'!V43)&gt;0,EOMONTH('UX + Dev'!V43,0),IF(COUNTA('UX + Dev'!U43)&gt;0,EOMONTH('UX + Dev'!U43,0),"")))</f>
      </c>
    </row>
    <row r="44">
      <c r="A44" s="305" t="n">
        <v>44</v>
      </c>
      <c r="B44" s="305">
        <f>IF(TRIM('UX + Dev'!E44)="","",TRIM('UX + Dev'!E44))</f>
      </c>
      <c r="C44" s="305">
        <f>IF($B44="","",'UX + Dev'!B44)</f>
      </c>
      <c r="D44" s="305">
        <f>IF($B44="","",IF(TRIM('UX + Dev'!C44)="","(No theme assigned)",TRIM('UX + Dev'!C44)))</f>
      </c>
      <c r="E44" s="305">
        <f>IF($B44="","",TRIM('UX + Dev'!F44))</f>
      </c>
      <c r="F44" s="305">
        <f>IF($B44="","",'UX + Dev'!G44)</f>
      </c>
      <c r="G44" s="306">
        <f t="array" ref="G44">IF($B44="","",IF($T44=0,"",IFERROR(MIN(IF('UX + Dev'!$AB44:$DN44&lt;&gt;"",'UX + Dev'!$AB$1:$DN$1)),"")))</f>
      </c>
      <c r="H44" s="306">
        <f t="array" ref="H44">IF($B44="","",IF($T44=0,"",IFERROR(MAX(IF('UX + Dev'!$AB44:$DN44&lt;&gt;"",'UX + Dev'!$AB$1:$DN$1)),"")))</f>
      </c>
      <c r="I44" s="307">
        <f>IF($R44&lt;&gt;"",$R44,IF($S44&lt;&gt;"",$S44,""))</f>
      </c>
      <c r="J44" s="307">
        <f>IF($S44&lt;&gt;"",EOMONTH($S44,0),IF($R44&lt;&gt;"",EOMONTH($R44,0),""))</f>
      </c>
      <c r="K44" s="305">
        <f>IF($B44="","",IF(COUNTA('UX + Dev'!AA44)=0,"",TRIM('UX + Dev'!AA44)))</f>
      </c>
      <c r="L44" s="305">
        <f>IF($B44="","",IFERROR(MATCH($D44,Control!$E$4:$E$30,0),99))</f>
      </c>
      <c r="M44" s="305">
        <f>IF($B44="","",IFERROR(MATCH($F44,Control!$B$4:$B$30,0),99))</f>
      </c>
      <c r="N44" s="305">
        <f>IF($V44&lt;&gt;1,"",IF('Roadmap (Auto)'!$D$3="Status, then Theme",$M44*1000000+$L44*10000+ROW(),IF('Roadmap (Auto)'!$D$3="Dev start (earliest)",IF($I44="",99999999,$I44)*10000+ROW(),IF('Roadmap (Auto)'!$D$3="UX start (earliest)",IF($G44="",99999999,$G44)*10000+ROW(),IF('Roadmap (Auto)'!$D$3="Deliverable A-Z",$W44*10000+ROW(),$L44*1000000+$M44*10000+ROW())))))</f>
      </c>
      <c r="O44" s="305">
        <f>IF($N44="","",COUNTIF($N$2:$N$151,"&lt;"&amp;$N44)+1)</f>
      </c>
      <c r="P44" s="305">
        <f>IF($B44="","",IF(COUNTA('UX + Dev'!X44)=0,"",'UX + Dev'!X44))</f>
      </c>
      <c r="Q44" s="305">
        <f>IF($B44="","",IF(COUNTA('UX + Dev'!Y44)=0,"",'UX + Dev'!Y44))</f>
      </c>
      <c r="R44" s="307">
        <f>IF($P44="","",IF(ISNUMBER($P44),DATE(YEAR($P44),MONTH($P44),1),IFERROR(DATE(IFERROR(VALUE(RIGHT(TRIM($P44),4)),YEAR(TODAY())),(SEARCH(LEFT(TRIM($P44),3),"JanFebMarAprMayJunJulAugSepOctNovDec")+2)/3,1),"")))</f>
      </c>
      <c r="S44" s="307">
        <f>IF($Q44="","",IF(ISNUMBER($Q44),DATE(YEAR($Q44),MONTH($Q44),1),IFERROR(DATE(IFERROR(VALUE(RIGHT(TRIM($Q44),4)),YEAR(TODAY())),(SEARCH(LEFT(TRIM($Q44),3),"JanFebMarAprMayJunJulAugSepOctNovDec")+2)/3,1),"")))</f>
      </c>
      <c r="T44" s="305">
        <f>IF($B44="","",COUNTA('UX + Dev'!$AB44:$DN44))</f>
      </c>
      <c r="U44" s="305">
        <f>IF($B44="","",IFERROR(MATCH($D44,Control!$E$4:$E$30,0)+3,0))</f>
      </c>
      <c r="V44" s="305">
        <f>IF($B44="","",IF(AND(OR('Roadmap (Auto)'!$A$3="",'Roadmap (Auto)'!$A$3="(All)",ISNUMBER(SEARCH('Roadmap (Auto)'!$A$3,$C44&amp;""))),OR('Roadmap (Auto)'!$B$3="",'Roadmap (Auto)'!$B$3="(All)",$D44='Roadmap (Auto)'!$B$3,$X44='Roadmap (Auto)'!$B$3),OR('Roadmap (Auto)'!$C$3="",'Roadmap (Auto)'!$C$3="(All)",$F44='Roadmap (Auto)'!$C$3)),1,0))</f>
      </c>
      <c r="W44" s="305">
        <f>IF($B44="","",COUNTIF($Y$2:$Y$151,"&lt;"&amp;$Y44)+1)</f>
      </c>
      <c r="X44" s="305">
        <f>IF($B44="","",IF(TRIM('UX + Dev'!D44)="","",TRIM('UX + Dev'!D44)))</f>
      </c>
      <c r="Y44" s="305">
        <f>IF($B44="","",SUBSTITUTE(SUBSTITUTE(SUBSTITUTE(SUBSTITUTE(SUBSTITUTE(SUBSTITUTE(SUBSTITUTE(SUBSTITUTE(SUBSTITUTE(SUBSTITUTE(SUBSTITUTE(SUBSTITUTE(SUBSTITUTE(SUBSTITUTE(SUBSTITUTE(SUBSTITUTE(SUBSTITUTE(SUBSTITUTE(SUBSTITUTE(SUBSTITUTE(SUBSTITUTE(SUBSTITUTE(SUBSTITUTE(SUBSTITUTE(SUBSTITUTE(UPPER($B44)," ",""),"-",""),":",""),"/",""),"&amp;",""),"|",""),"'",""),"’",""),"&lt;",""),"&gt;",""),",",""),"$",""),".",""),"(",""),")",""),"*",""),"?",""),"~",""),"_",""),"+",""),"#",""),";",""),"!",""),"%",""),"@",""))</f>
      </c>
      <c r="AA44">
        <f>IF($B44="",0,COUNTIFS('UX + Dev'!$AB$1:$DN$1,"&gt;="&amp;AA$1,'UX + Dev'!$AB$1:$DN$1,"&lt;="&amp;EOMONTH(AA$1,0),'UX + Dev'!$AB44:$DN44,"&lt;&gt;"))</f>
      </c>
      <c r="AB44">
        <f>IF($B44="",0,COUNTIFS('UX + Dev'!$AB$1:$DN$1,"&gt;="&amp;AB$1,'UX + Dev'!$AB$1:$DN$1,"&lt;="&amp;EOMONTH(AB$1,0),'UX + Dev'!$AB44:$DN44,"&lt;&gt;"))</f>
      </c>
      <c r="AC44">
        <f>IF($B44="",0,COUNTIFS('UX + Dev'!$AB$1:$DN$1,"&gt;="&amp;AC$1,'UX + Dev'!$AB$1:$DN$1,"&lt;="&amp;EOMONTH(AC$1,0),'UX + Dev'!$AB44:$DN44,"&lt;&gt;"))</f>
      </c>
      <c r="AD44">
        <f>IF($B44="",0,COUNTIFS('UX + Dev'!$AB$1:$DN$1,"&gt;="&amp;AD$1,'UX + Dev'!$AB$1:$DN$1,"&lt;="&amp;EOMONTH(AD$1,0),'UX + Dev'!$AB44:$DN44,"&lt;&gt;"))</f>
      </c>
      <c r="AE44">
        <f>IF($B44="",0,COUNTIFS('UX + Dev'!$AB$1:$DN$1,"&gt;="&amp;AE$1,'UX + Dev'!$AB$1:$DN$1,"&lt;="&amp;EOMONTH(AE$1,0),'UX + Dev'!$AB44:$DN44,"&lt;&gt;"))</f>
      </c>
      <c r="AF44">
        <f>IF($B44="",0,COUNTIFS('UX + Dev'!$AB$1:$DN$1,"&gt;="&amp;AF$1,'UX + Dev'!$AB$1:$DN$1,"&lt;="&amp;EOMONTH(AF$1,0),'UX + Dev'!$AB44:$DN44,"&lt;&gt;"))</f>
      </c>
      <c r="AG44">
        <f>IF($B44="",0,COUNTIFS('UX + Dev'!$AB$1:$DN$1,"&gt;="&amp;AG$1,'UX + Dev'!$AB$1:$DN$1,"&lt;="&amp;EOMONTH(AG$1,0),'UX + Dev'!$AB44:$DN44,"&lt;&gt;"))</f>
      </c>
      <c r="AH44">
        <f>IF($B44="",0,COUNTIFS('UX + Dev'!$AB$1:$DN$1,"&gt;="&amp;AH$1,'UX + Dev'!$AB$1:$DN$1,"&lt;="&amp;EOMONTH(AH$1,0),'UX + Dev'!$AB44:$DN44,"&lt;&gt;"))</f>
      </c>
      <c r="AI44">
        <f>IF($B44="",0,COUNTIFS('UX + Dev'!$AB$1:$DN$1,"&gt;="&amp;AI$1,'UX + Dev'!$AB$1:$DN$1,"&lt;="&amp;EOMONTH(AI$1,0),'UX + Dev'!$AB44:$DN44,"&lt;&gt;"))</f>
      </c>
      <c r="AJ44">
        <f>IF($B44="",0,COUNTIFS('UX + Dev'!$AB$1:$DN$1,"&gt;="&amp;AJ$1,'UX + Dev'!$AB$1:$DN$1,"&lt;="&amp;EOMONTH(AJ$1,0),'UX + Dev'!$AB44:$DN44,"&lt;&gt;"))</f>
      </c>
      <c r="AK44">
        <f>IF($B44="",0,COUNTIFS('UX + Dev'!$AB$1:$DN$1,"&gt;="&amp;AK$1,'UX + Dev'!$AB$1:$DN$1,"&lt;="&amp;EOMONTH(AK$1,0),'UX + Dev'!$AB44:$DN44,"&lt;&gt;"))</f>
      </c>
      <c r="AL44">
        <f>IF($B44="",0,COUNTIFS('UX + Dev'!$AB$1:$DN$1,"&gt;="&amp;AL$1,'UX + Dev'!$AB$1:$DN$1,"&lt;="&amp;EOMONTH(AL$1,0),'UX + Dev'!$AB44:$DN44,"&lt;&gt;"))</f>
      </c>
      <c r="AM44">
        <f>IF($B44="",0,COUNTIFS('UX + Dev'!$AB$1:$DN$1,"&gt;="&amp;AM$1,'UX + Dev'!$AB$1:$DN$1,"&lt;="&amp;EOMONTH(AM$1,0),'UX + Dev'!$AB44:$DN44,"&lt;&gt;"))</f>
      </c>
      <c r="AN44">
        <f>IF($B44="",0,COUNTIFS('UX + Dev'!$AB$1:$DN$1,"&gt;="&amp;AN$1,'UX + Dev'!$AB$1:$DN$1,"&lt;="&amp;EOMONTH(AN$1,0),'UX + Dev'!$AB44:$DN44,"&lt;&gt;"))</f>
      </c>
      <c r="AO44">
        <f>IF($B44="",0,COUNTIFS('UX + Dev'!$AB$1:$DN$1,"&gt;="&amp;AO$1,'UX + Dev'!$AB$1:$DN$1,"&lt;="&amp;EOMONTH(AO$1,0),'UX + Dev'!$AB44:$DN44,"&lt;&gt;"))</f>
      </c>
      <c r="AP44">
        <f>IF($B44="",0,COUNTIFS('UX + Dev'!$AB$1:$DN$1,"&gt;="&amp;AP$1,'UX + Dev'!$AB$1:$DN$1,"&lt;="&amp;EOMONTH(AP$1,0),'UX + Dev'!$AB44:$DN44,"&lt;&gt;"))</f>
      </c>
      <c r="AQ44">
        <f>IF($B44="",0,COUNTIFS('UX + Dev'!$AB$1:$DN$1,"&gt;="&amp;AQ$1,'UX + Dev'!$AB$1:$DN$1,"&lt;="&amp;EOMONTH(AQ$1,0),'UX + Dev'!$AB44:$DN44,"&lt;&gt;"))</f>
      </c>
      <c r="AR44">
        <f>IF($B44="",0,COUNTIFS('UX + Dev'!$AB$1:$DN$1,"&gt;="&amp;AR$1,'UX + Dev'!$AB$1:$DN$1,"&lt;="&amp;EOMONTH(AR$1,0),'UX + Dev'!$AB44:$DN44,"&lt;&gt;"))</f>
      </c>
      <c r="AS44">
        <f>IF($B44="",0,COUNTIFS('UX + Dev'!$AB$1:$DN$1,"&gt;="&amp;AS$1,'UX + Dev'!$AB$1:$DN$1,"&lt;="&amp;EOMONTH(AS$1,0),'UX + Dev'!$AB44:$DN44,"&lt;&gt;"))</f>
      </c>
      <c r="AT44">
        <f>IF($B44="",0,COUNTIFS('UX + Dev'!$AB$1:$DN$1,"&gt;="&amp;AT$1,'UX + Dev'!$AB$1:$DN$1,"&lt;="&amp;EOMONTH(AT$1,0),'UX + Dev'!$AB44:$DN44,"&lt;&gt;"))</f>
      </c>
      <c r="AU44">
        <f>IF($B44="",0,COUNTIFS('UX + Dev'!$AB$1:$DN$1,"&gt;="&amp;AU$1,'UX + Dev'!$AB$1:$DN$1,"&lt;="&amp;EOMONTH(AU$1,0),'UX + Dev'!$AB44:$DN44,"&lt;&gt;"))</f>
      </c>
      <c r="AV44">
        <f>IF($B44="",0,COUNTIFS('UX + Dev'!$AB$1:$DN$1,"&gt;="&amp;AV$1,'UX + Dev'!$AB$1:$DN$1,"&lt;="&amp;EOMONTH(AV$1,0),'UX + Dev'!$AB44:$DN44,"&lt;&gt;"))</f>
      </c>
      <c r="AW44">
        <f>IF($B44="",0,COUNTIFS('UX + Dev'!$AB$1:$DN$1,"&gt;="&amp;AW$1,'UX + Dev'!$AB$1:$DN$1,"&lt;="&amp;EOMONTH(AW$1,0),'UX + Dev'!$AB44:$DN44,"&lt;&gt;"))</f>
      </c>
      <c r="AX44">
        <f>IF($B44="",0,COUNTIFS('UX + Dev'!$AB$1:$DN$1,"&gt;="&amp;AX$1,'UX + Dev'!$AB$1:$DN$1,"&lt;="&amp;EOMONTH(AX$1,0),'UX + Dev'!$AB44:$DN44,"&lt;&gt;"))</f>
      </c>
      <c r="BB44" s="308">
        <f>IF($B44="","",IF(COUNTA('UX + Dev'!U44)&gt;0,DATE(YEAR('UX + Dev'!U44),MONTH('UX + Dev'!U44),1),IF(COUNTA('UX + Dev'!V44)&gt;0,DATE(YEAR('UX + Dev'!V44),MONTH('UX + Dev'!V44),1),"")))</f>
      </c>
      <c r="BC44" s="308">
        <f>IF($B44="","",IF(COUNTA('UX + Dev'!V44)&gt;0,EOMONTH('UX + Dev'!V44,0),IF(COUNTA('UX + Dev'!U44)&gt;0,EOMONTH('UX + Dev'!U44,0),"")))</f>
      </c>
    </row>
    <row r="45">
      <c r="A45" s="305" t="n">
        <v>45</v>
      </c>
      <c r="B45" s="305">
        <f>IF(TRIM('UX + Dev'!E45)="","",TRIM('UX + Dev'!E45))</f>
      </c>
      <c r="C45" s="305">
        <f>IF($B45="","",'UX + Dev'!B45)</f>
      </c>
      <c r="D45" s="305">
        <f>IF($B45="","",IF(TRIM('UX + Dev'!C45)="","(No theme assigned)",TRIM('UX + Dev'!C45)))</f>
      </c>
      <c r="E45" s="305">
        <f>IF($B45="","",TRIM('UX + Dev'!F45))</f>
      </c>
      <c r="F45" s="305">
        <f>IF($B45="","",'UX + Dev'!G45)</f>
      </c>
      <c r="G45" s="306">
        <f t="array" ref="G45">IF($B45="","",IF($T45=0,"",IFERROR(MIN(IF('UX + Dev'!$AB45:$DN45&lt;&gt;"",'UX + Dev'!$AB$1:$DN$1)),"")))</f>
      </c>
      <c r="H45" s="306">
        <f t="array" ref="H45">IF($B45="","",IF($T45=0,"",IFERROR(MAX(IF('UX + Dev'!$AB45:$DN45&lt;&gt;"",'UX + Dev'!$AB$1:$DN$1)),"")))</f>
      </c>
      <c r="I45" s="307">
        <f>IF($R45&lt;&gt;"",$R45,IF($S45&lt;&gt;"",$S45,""))</f>
      </c>
      <c r="J45" s="307">
        <f>IF($S45&lt;&gt;"",EOMONTH($S45,0),IF($R45&lt;&gt;"",EOMONTH($R45,0),""))</f>
      </c>
      <c r="K45" s="305">
        <f>IF($B45="","",IF(COUNTA('UX + Dev'!AA45)=0,"",TRIM('UX + Dev'!AA45)))</f>
      </c>
      <c r="L45" s="305">
        <f>IF($B45="","",IFERROR(MATCH($D45,Control!$E$4:$E$30,0),99))</f>
      </c>
      <c r="M45" s="305">
        <f>IF($B45="","",IFERROR(MATCH($F45,Control!$B$4:$B$30,0),99))</f>
      </c>
      <c r="N45" s="305">
        <f>IF($V45&lt;&gt;1,"",IF('Roadmap (Auto)'!$D$3="Status, then Theme",$M45*1000000+$L45*10000+ROW(),IF('Roadmap (Auto)'!$D$3="Dev start (earliest)",IF($I45="",99999999,$I45)*10000+ROW(),IF('Roadmap (Auto)'!$D$3="UX start (earliest)",IF($G45="",99999999,$G45)*10000+ROW(),IF('Roadmap (Auto)'!$D$3="Deliverable A-Z",$W45*10000+ROW(),$L45*1000000+$M45*10000+ROW())))))</f>
      </c>
      <c r="O45" s="305">
        <f>IF($N45="","",COUNTIF($N$2:$N$151,"&lt;"&amp;$N45)+1)</f>
      </c>
      <c r="P45" s="305">
        <f>IF($B45="","",IF(COUNTA('UX + Dev'!X45)=0,"",'UX + Dev'!X45))</f>
      </c>
      <c r="Q45" s="305">
        <f>IF($B45="","",IF(COUNTA('UX + Dev'!Y45)=0,"",'UX + Dev'!Y45))</f>
      </c>
      <c r="R45" s="307">
        <f>IF($P45="","",IF(ISNUMBER($P45),DATE(YEAR($P45),MONTH($P45),1),IFERROR(DATE(IFERROR(VALUE(RIGHT(TRIM($P45),4)),YEAR(TODAY())),(SEARCH(LEFT(TRIM($P45),3),"JanFebMarAprMayJunJulAugSepOctNovDec")+2)/3,1),"")))</f>
      </c>
      <c r="S45" s="307">
        <f>IF($Q45="","",IF(ISNUMBER($Q45),DATE(YEAR($Q45),MONTH($Q45),1),IFERROR(DATE(IFERROR(VALUE(RIGHT(TRIM($Q45),4)),YEAR(TODAY())),(SEARCH(LEFT(TRIM($Q45),3),"JanFebMarAprMayJunJulAugSepOctNovDec")+2)/3,1),"")))</f>
      </c>
      <c r="T45" s="305">
        <f>IF($B45="","",COUNTA('UX + Dev'!$AB45:$DN45))</f>
      </c>
      <c r="U45" s="305">
        <f>IF($B45="","",IFERROR(MATCH($D45,Control!$E$4:$E$30,0)+3,0))</f>
      </c>
      <c r="V45" s="305">
        <f>IF($B45="","",IF(AND(OR('Roadmap (Auto)'!$A$3="",'Roadmap (Auto)'!$A$3="(All)",ISNUMBER(SEARCH('Roadmap (Auto)'!$A$3,$C45&amp;""))),OR('Roadmap (Auto)'!$B$3="",'Roadmap (Auto)'!$B$3="(All)",$D45='Roadmap (Auto)'!$B$3,$X45='Roadmap (Auto)'!$B$3),OR('Roadmap (Auto)'!$C$3="",'Roadmap (Auto)'!$C$3="(All)",$F45='Roadmap (Auto)'!$C$3)),1,0))</f>
      </c>
      <c r="W45" s="305">
        <f>IF($B45="","",COUNTIF($Y$2:$Y$151,"&lt;"&amp;$Y45)+1)</f>
      </c>
      <c r="X45" s="305">
        <f>IF($B45="","",IF(TRIM('UX + Dev'!D45)="","",TRIM('UX + Dev'!D45)))</f>
      </c>
      <c r="Y45" s="305">
        <f>IF($B45="","",SUBSTITUTE(SUBSTITUTE(SUBSTITUTE(SUBSTITUTE(SUBSTITUTE(SUBSTITUTE(SUBSTITUTE(SUBSTITUTE(SUBSTITUTE(SUBSTITUTE(SUBSTITUTE(SUBSTITUTE(SUBSTITUTE(SUBSTITUTE(SUBSTITUTE(SUBSTITUTE(SUBSTITUTE(SUBSTITUTE(SUBSTITUTE(SUBSTITUTE(SUBSTITUTE(SUBSTITUTE(SUBSTITUTE(SUBSTITUTE(SUBSTITUTE(UPPER($B45)," ",""),"-",""),":",""),"/",""),"&amp;",""),"|",""),"'",""),"’",""),"&lt;",""),"&gt;",""),",",""),"$",""),".",""),"(",""),")",""),"*",""),"?",""),"~",""),"_",""),"+",""),"#",""),";",""),"!",""),"%",""),"@",""))</f>
      </c>
      <c r="AA45">
        <f>IF($B45="",0,COUNTIFS('UX + Dev'!$AB$1:$DN$1,"&gt;="&amp;AA$1,'UX + Dev'!$AB$1:$DN$1,"&lt;="&amp;EOMONTH(AA$1,0),'UX + Dev'!$AB45:$DN45,"&lt;&gt;"))</f>
      </c>
      <c r="AB45">
        <f>IF($B45="",0,COUNTIFS('UX + Dev'!$AB$1:$DN$1,"&gt;="&amp;AB$1,'UX + Dev'!$AB$1:$DN$1,"&lt;="&amp;EOMONTH(AB$1,0),'UX + Dev'!$AB45:$DN45,"&lt;&gt;"))</f>
      </c>
      <c r="AC45">
        <f>IF($B45="",0,COUNTIFS('UX + Dev'!$AB$1:$DN$1,"&gt;="&amp;AC$1,'UX + Dev'!$AB$1:$DN$1,"&lt;="&amp;EOMONTH(AC$1,0),'UX + Dev'!$AB45:$DN45,"&lt;&gt;"))</f>
      </c>
      <c r="AD45">
        <f>IF($B45="",0,COUNTIFS('UX + Dev'!$AB$1:$DN$1,"&gt;="&amp;AD$1,'UX + Dev'!$AB$1:$DN$1,"&lt;="&amp;EOMONTH(AD$1,0),'UX + Dev'!$AB45:$DN45,"&lt;&gt;"))</f>
      </c>
      <c r="AE45">
        <f>IF($B45="",0,COUNTIFS('UX + Dev'!$AB$1:$DN$1,"&gt;="&amp;AE$1,'UX + Dev'!$AB$1:$DN$1,"&lt;="&amp;EOMONTH(AE$1,0),'UX + Dev'!$AB45:$DN45,"&lt;&gt;"))</f>
      </c>
      <c r="AF45">
        <f>IF($B45="",0,COUNTIFS('UX + Dev'!$AB$1:$DN$1,"&gt;="&amp;AF$1,'UX + Dev'!$AB$1:$DN$1,"&lt;="&amp;EOMONTH(AF$1,0),'UX + Dev'!$AB45:$DN45,"&lt;&gt;"))</f>
      </c>
      <c r="AG45">
        <f>IF($B45="",0,COUNTIFS('UX + Dev'!$AB$1:$DN$1,"&gt;="&amp;AG$1,'UX + Dev'!$AB$1:$DN$1,"&lt;="&amp;EOMONTH(AG$1,0),'UX + Dev'!$AB45:$DN45,"&lt;&gt;"))</f>
      </c>
      <c r="AH45">
        <f>IF($B45="",0,COUNTIFS('UX + Dev'!$AB$1:$DN$1,"&gt;="&amp;AH$1,'UX + Dev'!$AB$1:$DN$1,"&lt;="&amp;EOMONTH(AH$1,0),'UX + Dev'!$AB45:$DN45,"&lt;&gt;"))</f>
      </c>
      <c r="AI45">
        <f>IF($B45="",0,COUNTIFS('UX + Dev'!$AB$1:$DN$1,"&gt;="&amp;AI$1,'UX + Dev'!$AB$1:$DN$1,"&lt;="&amp;EOMONTH(AI$1,0),'UX + Dev'!$AB45:$DN45,"&lt;&gt;"))</f>
      </c>
      <c r="AJ45">
        <f>IF($B45="",0,COUNTIFS('UX + Dev'!$AB$1:$DN$1,"&gt;="&amp;AJ$1,'UX + Dev'!$AB$1:$DN$1,"&lt;="&amp;EOMONTH(AJ$1,0),'UX + Dev'!$AB45:$DN45,"&lt;&gt;"))</f>
      </c>
      <c r="AK45">
        <f>IF($B45="",0,COUNTIFS('UX + Dev'!$AB$1:$DN$1,"&gt;="&amp;AK$1,'UX + Dev'!$AB$1:$DN$1,"&lt;="&amp;EOMONTH(AK$1,0),'UX + Dev'!$AB45:$DN45,"&lt;&gt;"))</f>
      </c>
      <c r="AL45">
        <f>IF($B45="",0,COUNTIFS('UX + Dev'!$AB$1:$DN$1,"&gt;="&amp;AL$1,'UX + Dev'!$AB$1:$DN$1,"&lt;="&amp;EOMONTH(AL$1,0),'UX + Dev'!$AB45:$DN45,"&lt;&gt;"))</f>
      </c>
      <c r="AM45">
        <f>IF($B45="",0,COUNTIFS('UX + Dev'!$AB$1:$DN$1,"&gt;="&amp;AM$1,'UX + Dev'!$AB$1:$DN$1,"&lt;="&amp;EOMONTH(AM$1,0),'UX + Dev'!$AB45:$DN45,"&lt;&gt;"))</f>
      </c>
      <c r="AN45">
        <f>IF($B45="",0,COUNTIFS('UX + Dev'!$AB$1:$DN$1,"&gt;="&amp;AN$1,'UX + Dev'!$AB$1:$DN$1,"&lt;="&amp;EOMONTH(AN$1,0),'UX + Dev'!$AB45:$DN45,"&lt;&gt;"))</f>
      </c>
      <c r="AO45">
        <f>IF($B45="",0,COUNTIFS('UX + Dev'!$AB$1:$DN$1,"&gt;="&amp;AO$1,'UX + Dev'!$AB$1:$DN$1,"&lt;="&amp;EOMONTH(AO$1,0),'UX + Dev'!$AB45:$DN45,"&lt;&gt;"))</f>
      </c>
      <c r="AP45">
        <f>IF($B45="",0,COUNTIFS('UX + Dev'!$AB$1:$DN$1,"&gt;="&amp;AP$1,'UX + Dev'!$AB$1:$DN$1,"&lt;="&amp;EOMONTH(AP$1,0),'UX + Dev'!$AB45:$DN45,"&lt;&gt;"))</f>
      </c>
      <c r="AQ45">
        <f>IF($B45="",0,COUNTIFS('UX + Dev'!$AB$1:$DN$1,"&gt;="&amp;AQ$1,'UX + Dev'!$AB$1:$DN$1,"&lt;="&amp;EOMONTH(AQ$1,0),'UX + Dev'!$AB45:$DN45,"&lt;&gt;"))</f>
      </c>
      <c r="AR45">
        <f>IF($B45="",0,COUNTIFS('UX + Dev'!$AB$1:$DN$1,"&gt;="&amp;AR$1,'UX + Dev'!$AB$1:$DN$1,"&lt;="&amp;EOMONTH(AR$1,0),'UX + Dev'!$AB45:$DN45,"&lt;&gt;"))</f>
      </c>
      <c r="AS45">
        <f>IF($B45="",0,COUNTIFS('UX + Dev'!$AB$1:$DN$1,"&gt;="&amp;AS$1,'UX + Dev'!$AB$1:$DN$1,"&lt;="&amp;EOMONTH(AS$1,0),'UX + Dev'!$AB45:$DN45,"&lt;&gt;"))</f>
      </c>
      <c r="AT45">
        <f>IF($B45="",0,COUNTIFS('UX + Dev'!$AB$1:$DN$1,"&gt;="&amp;AT$1,'UX + Dev'!$AB$1:$DN$1,"&lt;="&amp;EOMONTH(AT$1,0),'UX + Dev'!$AB45:$DN45,"&lt;&gt;"))</f>
      </c>
      <c r="AU45">
        <f>IF($B45="",0,COUNTIFS('UX + Dev'!$AB$1:$DN$1,"&gt;="&amp;AU$1,'UX + Dev'!$AB$1:$DN$1,"&lt;="&amp;EOMONTH(AU$1,0),'UX + Dev'!$AB45:$DN45,"&lt;&gt;"))</f>
      </c>
      <c r="AV45">
        <f>IF($B45="",0,COUNTIFS('UX + Dev'!$AB$1:$DN$1,"&gt;="&amp;AV$1,'UX + Dev'!$AB$1:$DN$1,"&lt;="&amp;EOMONTH(AV$1,0),'UX + Dev'!$AB45:$DN45,"&lt;&gt;"))</f>
      </c>
      <c r="AW45">
        <f>IF($B45="",0,COUNTIFS('UX + Dev'!$AB$1:$DN$1,"&gt;="&amp;AW$1,'UX + Dev'!$AB$1:$DN$1,"&lt;="&amp;EOMONTH(AW$1,0),'UX + Dev'!$AB45:$DN45,"&lt;&gt;"))</f>
      </c>
      <c r="AX45">
        <f>IF($B45="",0,COUNTIFS('UX + Dev'!$AB$1:$DN$1,"&gt;="&amp;AX$1,'UX + Dev'!$AB$1:$DN$1,"&lt;="&amp;EOMONTH(AX$1,0),'UX + Dev'!$AB45:$DN45,"&lt;&gt;"))</f>
      </c>
      <c r="BB45" s="308">
        <f>IF($B45="","",IF(COUNTA('UX + Dev'!U45)&gt;0,DATE(YEAR('UX + Dev'!U45),MONTH('UX + Dev'!U45),1),IF(COUNTA('UX + Dev'!V45)&gt;0,DATE(YEAR('UX + Dev'!V45),MONTH('UX + Dev'!V45),1),"")))</f>
      </c>
      <c r="BC45" s="308">
        <f>IF($B45="","",IF(COUNTA('UX + Dev'!V45)&gt;0,EOMONTH('UX + Dev'!V45,0),IF(COUNTA('UX + Dev'!U45)&gt;0,EOMONTH('UX + Dev'!U45,0),"")))</f>
      </c>
    </row>
    <row r="46">
      <c r="A46" s="305" t="n">
        <v>46</v>
      </c>
      <c r="B46" s="305">
        <f>IF(TRIM('UX + Dev'!E46)="","",TRIM('UX + Dev'!E46))</f>
      </c>
      <c r="C46" s="305">
        <f>IF($B46="","",'UX + Dev'!B46)</f>
      </c>
      <c r="D46" s="305">
        <f>IF($B46="","",IF(TRIM('UX + Dev'!C46)="","(No theme assigned)",TRIM('UX + Dev'!C46)))</f>
      </c>
      <c r="E46" s="305">
        <f>IF($B46="","",TRIM('UX + Dev'!F46))</f>
      </c>
      <c r="F46" s="305">
        <f>IF($B46="","",'UX + Dev'!G46)</f>
      </c>
      <c r="G46" s="306">
        <f t="array" ref="G46">IF($B46="","",IF($T46=0,"",IFERROR(MIN(IF('UX + Dev'!$AB46:$DN46&lt;&gt;"",'UX + Dev'!$AB$1:$DN$1)),"")))</f>
      </c>
      <c r="H46" s="306">
        <f t="array" ref="H46">IF($B46="","",IF($T46=0,"",IFERROR(MAX(IF('UX + Dev'!$AB46:$DN46&lt;&gt;"",'UX + Dev'!$AB$1:$DN$1)),"")))</f>
      </c>
      <c r="I46" s="307">
        <f>IF($R46&lt;&gt;"",$R46,IF($S46&lt;&gt;"",$S46,""))</f>
      </c>
      <c r="J46" s="307">
        <f>IF($S46&lt;&gt;"",EOMONTH($S46,0),IF($R46&lt;&gt;"",EOMONTH($R46,0),""))</f>
      </c>
      <c r="K46" s="305">
        <f>IF($B46="","",IF(COUNTA('UX + Dev'!AA46)=0,"",TRIM('UX + Dev'!AA46)))</f>
      </c>
      <c r="L46" s="305">
        <f>IF($B46="","",IFERROR(MATCH($D46,Control!$E$4:$E$30,0),99))</f>
      </c>
      <c r="M46" s="305">
        <f>IF($B46="","",IFERROR(MATCH($F46,Control!$B$4:$B$30,0),99))</f>
      </c>
      <c r="N46" s="305">
        <f>IF($V46&lt;&gt;1,"",IF('Roadmap (Auto)'!$D$3="Status, then Theme",$M46*1000000+$L46*10000+ROW(),IF('Roadmap (Auto)'!$D$3="Dev start (earliest)",IF($I46="",99999999,$I46)*10000+ROW(),IF('Roadmap (Auto)'!$D$3="UX start (earliest)",IF($G46="",99999999,$G46)*10000+ROW(),IF('Roadmap (Auto)'!$D$3="Deliverable A-Z",$W46*10000+ROW(),$L46*1000000+$M46*10000+ROW())))))</f>
      </c>
      <c r="O46" s="305">
        <f>IF($N46="","",COUNTIF($N$2:$N$151,"&lt;"&amp;$N46)+1)</f>
      </c>
      <c r="P46" s="305">
        <f>IF($B46="","",IF(COUNTA('UX + Dev'!X46)=0,"",'UX + Dev'!X46))</f>
      </c>
      <c r="Q46" s="305">
        <f>IF($B46="","",IF(COUNTA('UX + Dev'!Y46)=0,"",'UX + Dev'!Y46))</f>
      </c>
      <c r="R46" s="307">
        <f>IF($P46="","",IF(ISNUMBER($P46),DATE(YEAR($P46),MONTH($P46),1),IFERROR(DATE(IFERROR(VALUE(RIGHT(TRIM($P46),4)),YEAR(TODAY())),(SEARCH(LEFT(TRIM($P46),3),"JanFebMarAprMayJunJulAugSepOctNovDec")+2)/3,1),"")))</f>
      </c>
      <c r="S46" s="307">
        <f>IF($Q46="","",IF(ISNUMBER($Q46),DATE(YEAR($Q46),MONTH($Q46),1),IFERROR(DATE(IFERROR(VALUE(RIGHT(TRIM($Q46),4)),YEAR(TODAY())),(SEARCH(LEFT(TRIM($Q46),3),"JanFebMarAprMayJunJulAugSepOctNovDec")+2)/3,1),"")))</f>
      </c>
      <c r="T46" s="305">
        <f>IF($B46="","",COUNTA('UX + Dev'!$AB46:$DN46))</f>
      </c>
      <c r="U46" s="305">
        <f>IF($B46="","",IFERROR(MATCH($D46,Control!$E$4:$E$30,0)+3,0))</f>
      </c>
      <c r="V46" s="305">
        <f>IF($B46="","",IF(AND(OR('Roadmap (Auto)'!$A$3="",'Roadmap (Auto)'!$A$3="(All)",ISNUMBER(SEARCH('Roadmap (Auto)'!$A$3,$C46&amp;""))),OR('Roadmap (Auto)'!$B$3="",'Roadmap (Auto)'!$B$3="(All)",$D46='Roadmap (Auto)'!$B$3,$X46='Roadmap (Auto)'!$B$3),OR('Roadmap (Auto)'!$C$3="",'Roadmap (Auto)'!$C$3="(All)",$F46='Roadmap (Auto)'!$C$3)),1,0))</f>
      </c>
      <c r="W46" s="305">
        <f>IF($B46="","",COUNTIF($Y$2:$Y$151,"&lt;"&amp;$Y46)+1)</f>
      </c>
      <c r="X46" s="305">
        <f>IF($B46="","",IF(TRIM('UX + Dev'!D46)="","",TRIM('UX + Dev'!D46)))</f>
      </c>
      <c r="Y46" s="305">
        <f>IF($B46="","",SUBSTITUTE(SUBSTITUTE(SUBSTITUTE(SUBSTITUTE(SUBSTITUTE(SUBSTITUTE(SUBSTITUTE(SUBSTITUTE(SUBSTITUTE(SUBSTITUTE(SUBSTITUTE(SUBSTITUTE(SUBSTITUTE(SUBSTITUTE(SUBSTITUTE(SUBSTITUTE(SUBSTITUTE(SUBSTITUTE(SUBSTITUTE(SUBSTITUTE(SUBSTITUTE(SUBSTITUTE(SUBSTITUTE(SUBSTITUTE(SUBSTITUTE(UPPER($B46)," ",""),"-",""),":",""),"/",""),"&amp;",""),"|",""),"'",""),"’",""),"&lt;",""),"&gt;",""),",",""),"$",""),".",""),"(",""),")",""),"*",""),"?",""),"~",""),"_",""),"+",""),"#",""),";",""),"!",""),"%",""),"@",""))</f>
      </c>
      <c r="AA46">
        <f>IF($B46="",0,COUNTIFS('UX + Dev'!$AB$1:$DN$1,"&gt;="&amp;AA$1,'UX + Dev'!$AB$1:$DN$1,"&lt;="&amp;EOMONTH(AA$1,0),'UX + Dev'!$AB46:$DN46,"&lt;&gt;"))</f>
      </c>
      <c r="AB46">
        <f>IF($B46="",0,COUNTIFS('UX + Dev'!$AB$1:$DN$1,"&gt;="&amp;AB$1,'UX + Dev'!$AB$1:$DN$1,"&lt;="&amp;EOMONTH(AB$1,0),'UX + Dev'!$AB46:$DN46,"&lt;&gt;"))</f>
      </c>
      <c r="AC46">
        <f>IF($B46="",0,COUNTIFS('UX + Dev'!$AB$1:$DN$1,"&gt;="&amp;AC$1,'UX + Dev'!$AB$1:$DN$1,"&lt;="&amp;EOMONTH(AC$1,0),'UX + Dev'!$AB46:$DN46,"&lt;&gt;"))</f>
      </c>
      <c r="AD46">
        <f>IF($B46="",0,COUNTIFS('UX + Dev'!$AB$1:$DN$1,"&gt;="&amp;AD$1,'UX + Dev'!$AB$1:$DN$1,"&lt;="&amp;EOMONTH(AD$1,0),'UX + Dev'!$AB46:$DN46,"&lt;&gt;"))</f>
      </c>
      <c r="AE46">
        <f>IF($B46="",0,COUNTIFS('UX + Dev'!$AB$1:$DN$1,"&gt;="&amp;AE$1,'UX + Dev'!$AB$1:$DN$1,"&lt;="&amp;EOMONTH(AE$1,0),'UX + Dev'!$AB46:$DN46,"&lt;&gt;"))</f>
      </c>
      <c r="AF46">
        <f>IF($B46="",0,COUNTIFS('UX + Dev'!$AB$1:$DN$1,"&gt;="&amp;AF$1,'UX + Dev'!$AB$1:$DN$1,"&lt;="&amp;EOMONTH(AF$1,0),'UX + Dev'!$AB46:$DN46,"&lt;&gt;"))</f>
      </c>
      <c r="AG46">
        <f>IF($B46="",0,COUNTIFS('UX + Dev'!$AB$1:$DN$1,"&gt;="&amp;AG$1,'UX + Dev'!$AB$1:$DN$1,"&lt;="&amp;EOMONTH(AG$1,0),'UX + Dev'!$AB46:$DN46,"&lt;&gt;"))</f>
      </c>
      <c r="AH46">
        <f>IF($B46="",0,COUNTIFS('UX + Dev'!$AB$1:$DN$1,"&gt;="&amp;AH$1,'UX + Dev'!$AB$1:$DN$1,"&lt;="&amp;EOMONTH(AH$1,0),'UX + Dev'!$AB46:$DN46,"&lt;&gt;"))</f>
      </c>
      <c r="AI46">
        <f>IF($B46="",0,COUNTIFS('UX + Dev'!$AB$1:$DN$1,"&gt;="&amp;AI$1,'UX + Dev'!$AB$1:$DN$1,"&lt;="&amp;EOMONTH(AI$1,0),'UX + Dev'!$AB46:$DN46,"&lt;&gt;"))</f>
      </c>
      <c r="AJ46">
        <f>IF($B46="",0,COUNTIFS('UX + Dev'!$AB$1:$DN$1,"&gt;="&amp;AJ$1,'UX + Dev'!$AB$1:$DN$1,"&lt;="&amp;EOMONTH(AJ$1,0),'UX + Dev'!$AB46:$DN46,"&lt;&gt;"))</f>
      </c>
      <c r="AK46">
        <f>IF($B46="",0,COUNTIFS('UX + Dev'!$AB$1:$DN$1,"&gt;="&amp;AK$1,'UX + Dev'!$AB$1:$DN$1,"&lt;="&amp;EOMONTH(AK$1,0),'UX + Dev'!$AB46:$DN46,"&lt;&gt;"))</f>
      </c>
      <c r="AL46">
        <f>IF($B46="",0,COUNTIFS('UX + Dev'!$AB$1:$DN$1,"&gt;="&amp;AL$1,'UX + Dev'!$AB$1:$DN$1,"&lt;="&amp;EOMONTH(AL$1,0),'UX + Dev'!$AB46:$DN46,"&lt;&gt;"))</f>
      </c>
      <c r="AM46">
        <f>IF($B46="",0,COUNTIFS('UX + Dev'!$AB$1:$DN$1,"&gt;="&amp;AM$1,'UX + Dev'!$AB$1:$DN$1,"&lt;="&amp;EOMONTH(AM$1,0),'UX + Dev'!$AB46:$DN46,"&lt;&gt;"))</f>
      </c>
      <c r="AN46">
        <f>IF($B46="",0,COUNTIFS('UX + Dev'!$AB$1:$DN$1,"&gt;="&amp;AN$1,'UX + Dev'!$AB$1:$DN$1,"&lt;="&amp;EOMONTH(AN$1,0),'UX + Dev'!$AB46:$DN46,"&lt;&gt;"))</f>
      </c>
      <c r="AO46">
        <f>IF($B46="",0,COUNTIFS('UX + Dev'!$AB$1:$DN$1,"&gt;="&amp;AO$1,'UX + Dev'!$AB$1:$DN$1,"&lt;="&amp;EOMONTH(AO$1,0),'UX + Dev'!$AB46:$DN46,"&lt;&gt;"))</f>
      </c>
      <c r="AP46">
        <f>IF($B46="",0,COUNTIFS('UX + Dev'!$AB$1:$DN$1,"&gt;="&amp;AP$1,'UX + Dev'!$AB$1:$DN$1,"&lt;="&amp;EOMONTH(AP$1,0),'UX + Dev'!$AB46:$DN46,"&lt;&gt;"))</f>
      </c>
      <c r="AQ46">
        <f>IF($B46="",0,COUNTIFS('UX + Dev'!$AB$1:$DN$1,"&gt;="&amp;AQ$1,'UX + Dev'!$AB$1:$DN$1,"&lt;="&amp;EOMONTH(AQ$1,0),'UX + Dev'!$AB46:$DN46,"&lt;&gt;"))</f>
      </c>
      <c r="AR46">
        <f>IF($B46="",0,COUNTIFS('UX + Dev'!$AB$1:$DN$1,"&gt;="&amp;AR$1,'UX + Dev'!$AB$1:$DN$1,"&lt;="&amp;EOMONTH(AR$1,0),'UX + Dev'!$AB46:$DN46,"&lt;&gt;"))</f>
      </c>
      <c r="AS46">
        <f>IF($B46="",0,COUNTIFS('UX + Dev'!$AB$1:$DN$1,"&gt;="&amp;AS$1,'UX + Dev'!$AB$1:$DN$1,"&lt;="&amp;EOMONTH(AS$1,0),'UX + Dev'!$AB46:$DN46,"&lt;&gt;"))</f>
      </c>
      <c r="AT46">
        <f>IF($B46="",0,COUNTIFS('UX + Dev'!$AB$1:$DN$1,"&gt;="&amp;AT$1,'UX + Dev'!$AB$1:$DN$1,"&lt;="&amp;EOMONTH(AT$1,0),'UX + Dev'!$AB46:$DN46,"&lt;&gt;"))</f>
      </c>
      <c r="AU46">
        <f>IF($B46="",0,COUNTIFS('UX + Dev'!$AB$1:$DN$1,"&gt;="&amp;AU$1,'UX + Dev'!$AB$1:$DN$1,"&lt;="&amp;EOMONTH(AU$1,0),'UX + Dev'!$AB46:$DN46,"&lt;&gt;"))</f>
      </c>
      <c r="AV46">
        <f>IF($B46="",0,COUNTIFS('UX + Dev'!$AB$1:$DN$1,"&gt;="&amp;AV$1,'UX + Dev'!$AB$1:$DN$1,"&lt;="&amp;EOMONTH(AV$1,0),'UX + Dev'!$AB46:$DN46,"&lt;&gt;"))</f>
      </c>
      <c r="AW46">
        <f>IF($B46="",0,COUNTIFS('UX + Dev'!$AB$1:$DN$1,"&gt;="&amp;AW$1,'UX + Dev'!$AB$1:$DN$1,"&lt;="&amp;EOMONTH(AW$1,0),'UX + Dev'!$AB46:$DN46,"&lt;&gt;"))</f>
      </c>
      <c r="AX46">
        <f>IF($B46="",0,COUNTIFS('UX + Dev'!$AB$1:$DN$1,"&gt;="&amp;AX$1,'UX + Dev'!$AB$1:$DN$1,"&lt;="&amp;EOMONTH(AX$1,0),'UX + Dev'!$AB46:$DN46,"&lt;&gt;"))</f>
      </c>
      <c r="BB46" s="308">
        <f>IF($B46="","",IF(COUNTA('UX + Dev'!U46)&gt;0,DATE(YEAR('UX + Dev'!U46),MONTH('UX + Dev'!U46),1),IF(COUNTA('UX + Dev'!V46)&gt;0,DATE(YEAR('UX + Dev'!V46),MONTH('UX + Dev'!V46),1),"")))</f>
      </c>
      <c r="BC46" s="308">
        <f>IF($B46="","",IF(COUNTA('UX + Dev'!V46)&gt;0,EOMONTH('UX + Dev'!V46,0),IF(COUNTA('UX + Dev'!U46)&gt;0,EOMONTH('UX + Dev'!U46,0),"")))</f>
      </c>
    </row>
    <row r="47">
      <c r="A47" s="305" t="n">
        <v>47</v>
      </c>
      <c r="B47" s="305">
        <f>IF(TRIM('UX + Dev'!E47)="","",TRIM('UX + Dev'!E47))</f>
      </c>
      <c r="C47" s="305">
        <f>IF($B47="","",'UX + Dev'!B47)</f>
      </c>
      <c r="D47" s="305">
        <f>IF($B47="","",IF(TRIM('UX + Dev'!C47)="","(No theme assigned)",TRIM('UX + Dev'!C47)))</f>
      </c>
      <c r="E47" s="305">
        <f>IF($B47="","",TRIM('UX + Dev'!F47))</f>
      </c>
      <c r="F47" s="305">
        <f>IF($B47="","",'UX + Dev'!G47)</f>
      </c>
      <c r="G47" s="306">
        <f t="array" ref="G47">IF($B47="","",IF($T47=0,"",IFERROR(MIN(IF('UX + Dev'!$AB47:$DN47&lt;&gt;"",'UX + Dev'!$AB$1:$DN$1)),"")))</f>
      </c>
      <c r="H47" s="306">
        <f t="array" ref="H47">IF($B47="","",IF($T47=0,"",IFERROR(MAX(IF('UX + Dev'!$AB47:$DN47&lt;&gt;"",'UX + Dev'!$AB$1:$DN$1)),"")))</f>
      </c>
      <c r="I47" s="307">
        <f>IF($R47&lt;&gt;"",$R47,IF($S47&lt;&gt;"",$S47,""))</f>
      </c>
      <c r="J47" s="307">
        <f>IF($S47&lt;&gt;"",EOMONTH($S47,0),IF($R47&lt;&gt;"",EOMONTH($R47,0),""))</f>
      </c>
      <c r="K47" s="305">
        <f>IF($B47="","",IF(COUNTA('UX + Dev'!AA47)=0,"",TRIM('UX + Dev'!AA47)))</f>
      </c>
      <c r="L47" s="305">
        <f>IF($B47="","",IFERROR(MATCH($D47,Control!$E$4:$E$30,0),99))</f>
      </c>
      <c r="M47" s="305">
        <f>IF($B47="","",IFERROR(MATCH($F47,Control!$B$4:$B$30,0),99))</f>
      </c>
      <c r="N47" s="305">
        <f>IF($V47&lt;&gt;1,"",IF('Roadmap (Auto)'!$D$3="Status, then Theme",$M47*1000000+$L47*10000+ROW(),IF('Roadmap (Auto)'!$D$3="Dev start (earliest)",IF($I47="",99999999,$I47)*10000+ROW(),IF('Roadmap (Auto)'!$D$3="UX start (earliest)",IF($G47="",99999999,$G47)*10000+ROW(),IF('Roadmap (Auto)'!$D$3="Deliverable A-Z",$W47*10000+ROW(),$L47*1000000+$M47*10000+ROW())))))</f>
      </c>
      <c r="O47" s="305">
        <f>IF($N47="","",COUNTIF($N$2:$N$151,"&lt;"&amp;$N47)+1)</f>
      </c>
      <c r="P47" s="305">
        <f>IF($B47="","",IF(COUNTA('UX + Dev'!X47)=0,"",'UX + Dev'!X47))</f>
      </c>
      <c r="Q47" s="305">
        <f>IF($B47="","",IF(COUNTA('UX + Dev'!Y47)=0,"",'UX + Dev'!Y47))</f>
      </c>
      <c r="R47" s="307">
        <f>IF($P47="","",IF(ISNUMBER($P47),DATE(YEAR($P47),MONTH($P47),1),IFERROR(DATE(IFERROR(VALUE(RIGHT(TRIM($P47),4)),YEAR(TODAY())),(SEARCH(LEFT(TRIM($P47),3),"JanFebMarAprMayJunJulAugSepOctNovDec")+2)/3,1),"")))</f>
      </c>
      <c r="S47" s="307">
        <f>IF($Q47="","",IF(ISNUMBER($Q47),DATE(YEAR($Q47),MONTH($Q47),1),IFERROR(DATE(IFERROR(VALUE(RIGHT(TRIM($Q47),4)),YEAR(TODAY())),(SEARCH(LEFT(TRIM($Q47),3),"JanFebMarAprMayJunJulAugSepOctNovDec")+2)/3,1),"")))</f>
      </c>
      <c r="T47" s="305">
        <f>IF($B47="","",COUNTA('UX + Dev'!$AB47:$DN47))</f>
      </c>
      <c r="U47" s="305">
        <f>IF($B47="","",IFERROR(MATCH($D47,Control!$E$4:$E$30,0)+3,0))</f>
      </c>
      <c r="V47" s="305">
        <f>IF($B47="","",IF(AND(OR('Roadmap (Auto)'!$A$3="",'Roadmap (Auto)'!$A$3="(All)",ISNUMBER(SEARCH('Roadmap (Auto)'!$A$3,$C47&amp;""))),OR('Roadmap (Auto)'!$B$3="",'Roadmap (Auto)'!$B$3="(All)",$D47='Roadmap (Auto)'!$B$3,$X47='Roadmap (Auto)'!$B$3),OR('Roadmap (Auto)'!$C$3="",'Roadmap (Auto)'!$C$3="(All)",$F47='Roadmap (Auto)'!$C$3)),1,0))</f>
      </c>
      <c r="W47" s="305">
        <f>IF($B47="","",COUNTIF($Y$2:$Y$151,"&lt;"&amp;$Y47)+1)</f>
      </c>
      <c r="X47" s="305">
        <f>IF($B47="","",IF(TRIM('UX + Dev'!D47)="","",TRIM('UX + Dev'!D47)))</f>
      </c>
      <c r="Y47" s="305">
        <f>IF($B47="","",SUBSTITUTE(SUBSTITUTE(SUBSTITUTE(SUBSTITUTE(SUBSTITUTE(SUBSTITUTE(SUBSTITUTE(SUBSTITUTE(SUBSTITUTE(SUBSTITUTE(SUBSTITUTE(SUBSTITUTE(SUBSTITUTE(SUBSTITUTE(SUBSTITUTE(SUBSTITUTE(SUBSTITUTE(SUBSTITUTE(SUBSTITUTE(SUBSTITUTE(SUBSTITUTE(SUBSTITUTE(SUBSTITUTE(SUBSTITUTE(SUBSTITUTE(UPPER($B47)," ",""),"-",""),":",""),"/",""),"&amp;",""),"|",""),"'",""),"’",""),"&lt;",""),"&gt;",""),",",""),"$",""),".",""),"(",""),")",""),"*",""),"?",""),"~",""),"_",""),"+",""),"#",""),";",""),"!",""),"%",""),"@",""))</f>
      </c>
      <c r="AA47">
        <f>IF($B47="",0,COUNTIFS('UX + Dev'!$AB$1:$DN$1,"&gt;="&amp;AA$1,'UX + Dev'!$AB$1:$DN$1,"&lt;="&amp;EOMONTH(AA$1,0),'UX + Dev'!$AB47:$DN47,"&lt;&gt;"))</f>
      </c>
      <c r="AB47">
        <f>IF($B47="",0,COUNTIFS('UX + Dev'!$AB$1:$DN$1,"&gt;="&amp;AB$1,'UX + Dev'!$AB$1:$DN$1,"&lt;="&amp;EOMONTH(AB$1,0),'UX + Dev'!$AB47:$DN47,"&lt;&gt;"))</f>
      </c>
      <c r="AC47">
        <f>IF($B47="",0,COUNTIFS('UX + Dev'!$AB$1:$DN$1,"&gt;="&amp;AC$1,'UX + Dev'!$AB$1:$DN$1,"&lt;="&amp;EOMONTH(AC$1,0),'UX + Dev'!$AB47:$DN47,"&lt;&gt;"))</f>
      </c>
      <c r="AD47">
        <f>IF($B47="",0,COUNTIFS('UX + Dev'!$AB$1:$DN$1,"&gt;="&amp;AD$1,'UX + Dev'!$AB$1:$DN$1,"&lt;="&amp;EOMONTH(AD$1,0),'UX + Dev'!$AB47:$DN47,"&lt;&gt;"))</f>
      </c>
      <c r="AE47">
        <f>IF($B47="",0,COUNTIFS('UX + Dev'!$AB$1:$DN$1,"&gt;="&amp;AE$1,'UX + Dev'!$AB$1:$DN$1,"&lt;="&amp;EOMONTH(AE$1,0),'UX + Dev'!$AB47:$DN47,"&lt;&gt;"))</f>
      </c>
      <c r="AF47">
        <f>IF($B47="",0,COUNTIFS('UX + Dev'!$AB$1:$DN$1,"&gt;="&amp;AF$1,'UX + Dev'!$AB$1:$DN$1,"&lt;="&amp;EOMONTH(AF$1,0),'UX + Dev'!$AB47:$DN47,"&lt;&gt;"))</f>
      </c>
      <c r="AG47">
        <f>IF($B47="",0,COUNTIFS('UX + Dev'!$AB$1:$DN$1,"&gt;="&amp;AG$1,'UX + Dev'!$AB$1:$DN$1,"&lt;="&amp;EOMONTH(AG$1,0),'UX + Dev'!$AB47:$DN47,"&lt;&gt;"))</f>
      </c>
      <c r="AH47">
        <f>IF($B47="",0,COUNTIFS('UX + Dev'!$AB$1:$DN$1,"&gt;="&amp;AH$1,'UX + Dev'!$AB$1:$DN$1,"&lt;="&amp;EOMONTH(AH$1,0),'UX + Dev'!$AB47:$DN47,"&lt;&gt;"))</f>
      </c>
      <c r="AI47">
        <f>IF($B47="",0,COUNTIFS('UX + Dev'!$AB$1:$DN$1,"&gt;="&amp;AI$1,'UX + Dev'!$AB$1:$DN$1,"&lt;="&amp;EOMONTH(AI$1,0),'UX + Dev'!$AB47:$DN47,"&lt;&gt;"))</f>
      </c>
      <c r="AJ47">
        <f>IF($B47="",0,COUNTIFS('UX + Dev'!$AB$1:$DN$1,"&gt;="&amp;AJ$1,'UX + Dev'!$AB$1:$DN$1,"&lt;="&amp;EOMONTH(AJ$1,0),'UX + Dev'!$AB47:$DN47,"&lt;&gt;"))</f>
      </c>
      <c r="AK47">
        <f>IF($B47="",0,COUNTIFS('UX + Dev'!$AB$1:$DN$1,"&gt;="&amp;AK$1,'UX + Dev'!$AB$1:$DN$1,"&lt;="&amp;EOMONTH(AK$1,0),'UX + Dev'!$AB47:$DN47,"&lt;&gt;"))</f>
      </c>
      <c r="AL47">
        <f>IF($B47="",0,COUNTIFS('UX + Dev'!$AB$1:$DN$1,"&gt;="&amp;AL$1,'UX + Dev'!$AB$1:$DN$1,"&lt;="&amp;EOMONTH(AL$1,0),'UX + Dev'!$AB47:$DN47,"&lt;&gt;"))</f>
      </c>
      <c r="AM47">
        <f>IF($B47="",0,COUNTIFS('UX + Dev'!$AB$1:$DN$1,"&gt;="&amp;AM$1,'UX + Dev'!$AB$1:$DN$1,"&lt;="&amp;EOMONTH(AM$1,0),'UX + Dev'!$AB47:$DN47,"&lt;&gt;"))</f>
      </c>
      <c r="AN47">
        <f>IF($B47="",0,COUNTIFS('UX + Dev'!$AB$1:$DN$1,"&gt;="&amp;AN$1,'UX + Dev'!$AB$1:$DN$1,"&lt;="&amp;EOMONTH(AN$1,0),'UX + Dev'!$AB47:$DN47,"&lt;&gt;"))</f>
      </c>
      <c r="AO47">
        <f>IF($B47="",0,COUNTIFS('UX + Dev'!$AB$1:$DN$1,"&gt;="&amp;AO$1,'UX + Dev'!$AB$1:$DN$1,"&lt;="&amp;EOMONTH(AO$1,0),'UX + Dev'!$AB47:$DN47,"&lt;&gt;"))</f>
      </c>
      <c r="AP47">
        <f>IF($B47="",0,COUNTIFS('UX + Dev'!$AB$1:$DN$1,"&gt;="&amp;AP$1,'UX + Dev'!$AB$1:$DN$1,"&lt;="&amp;EOMONTH(AP$1,0),'UX + Dev'!$AB47:$DN47,"&lt;&gt;"))</f>
      </c>
      <c r="AQ47">
        <f>IF($B47="",0,COUNTIFS('UX + Dev'!$AB$1:$DN$1,"&gt;="&amp;AQ$1,'UX + Dev'!$AB$1:$DN$1,"&lt;="&amp;EOMONTH(AQ$1,0),'UX + Dev'!$AB47:$DN47,"&lt;&gt;"))</f>
      </c>
      <c r="AR47">
        <f>IF($B47="",0,COUNTIFS('UX + Dev'!$AB$1:$DN$1,"&gt;="&amp;AR$1,'UX + Dev'!$AB$1:$DN$1,"&lt;="&amp;EOMONTH(AR$1,0),'UX + Dev'!$AB47:$DN47,"&lt;&gt;"))</f>
      </c>
      <c r="AS47">
        <f>IF($B47="",0,COUNTIFS('UX + Dev'!$AB$1:$DN$1,"&gt;="&amp;AS$1,'UX + Dev'!$AB$1:$DN$1,"&lt;="&amp;EOMONTH(AS$1,0),'UX + Dev'!$AB47:$DN47,"&lt;&gt;"))</f>
      </c>
      <c r="AT47">
        <f>IF($B47="",0,COUNTIFS('UX + Dev'!$AB$1:$DN$1,"&gt;="&amp;AT$1,'UX + Dev'!$AB$1:$DN$1,"&lt;="&amp;EOMONTH(AT$1,0),'UX + Dev'!$AB47:$DN47,"&lt;&gt;"))</f>
      </c>
      <c r="AU47">
        <f>IF($B47="",0,COUNTIFS('UX + Dev'!$AB$1:$DN$1,"&gt;="&amp;AU$1,'UX + Dev'!$AB$1:$DN$1,"&lt;="&amp;EOMONTH(AU$1,0),'UX + Dev'!$AB47:$DN47,"&lt;&gt;"))</f>
      </c>
      <c r="AV47">
        <f>IF($B47="",0,COUNTIFS('UX + Dev'!$AB$1:$DN$1,"&gt;="&amp;AV$1,'UX + Dev'!$AB$1:$DN$1,"&lt;="&amp;EOMONTH(AV$1,0),'UX + Dev'!$AB47:$DN47,"&lt;&gt;"))</f>
      </c>
      <c r="AW47">
        <f>IF($B47="",0,COUNTIFS('UX + Dev'!$AB$1:$DN$1,"&gt;="&amp;AW$1,'UX + Dev'!$AB$1:$DN$1,"&lt;="&amp;EOMONTH(AW$1,0),'UX + Dev'!$AB47:$DN47,"&lt;&gt;"))</f>
      </c>
      <c r="AX47">
        <f>IF($B47="",0,COUNTIFS('UX + Dev'!$AB$1:$DN$1,"&gt;="&amp;AX$1,'UX + Dev'!$AB$1:$DN$1,"&lt;="&amp;EOMONTH(AX$1,0),'UX + Dev'!$AB47:$DN47,"&lt;&gt;"))</f>
      </c>
      <c r="BB47" s="308">
        <f>IF($B47="","",IF(COUNTA('UX + Dev'!U47)&gt;0,DATE(YEAR('UX + Dev'!U47),MONTH('UX + Dev'!U47),1),IF(COUNTA('UX + Dev'!V47)&gt;0,DATE(YEAR('UX + Dev'!V47),MONTH('UX + Dev'!V47),1),"")))</f>
      </c>
      <c r="BC47" s="308">
        <f>IF($B47="","",IF(COUNTA('UX + Dev'!V47)&gt;0,EOMONTH('UX + Dev'!V47,0),IF(COUNTA('UX + Dev'!U47)&gt;0,EOMONTH('UX + Dev'!U47,0),"")))</f>
      </c>
    </row>
    <row r="48">
      <c r="A48" s="305" t="n">
        <v>48</v>
      </c>
      <c r="B48" s="305">
        <f>IF(TRIM('UX + Dev'!E48)="","",TRIM('UX + Dev'!E48))</f>
      </c>
      <c r="C48" s="305">
        <f>IF($B48="","",'UX + Dev'!B48)</f>
      </c>
      <c r="D48" s="305">
        <f>IF($B48="","",IF(TRIM('UX + Dev'!C48)="","(No theme assigned)",TRIM('UX + Dev'!C48)))</f>
      </c>
      <c r="E48" s="305">
        <f>IF($B48="","",TRIM('UX + Dev'!F48))</f>
      </c>
      <c r="F48" s="305">
        <f>IF($B48="","",'UX + Dev'!G48)</f>
      </c>
      <c r="G48" s="306">
        <f t="array" ref="G48">IF($B48="","",IF($T48=0,"",IFERROR(MIN(IF('UX + Dev'!$AB48:$DN48&lt;&gt;"",'UX + Dev'!$AB$1:$DN$1)),"")))</f>
      </c>
      <c r="H48" s="306">
        <f t="array" ref="H48">IF($B48="","",IF($T48=0,"",IFERROR(MAX(IF('UX + Dev'!$AB48:$DN48&lt;&gt;"",'UX + Dev'!$AB$1:$DN$1)),"")))</f>
      </c>
      <c r="I48" s="307">
        <f>IF($R48&lt;&gt;"",$R48,IF($S48&lt;&gt;"",$S48,""))</f>
      </c>
      <c r="J48" s="307">
        <f>IF($S48&lt;&gt;"",EOMONTH($S48,0),IF($R48&lt;&gt;"",EOMONTH($R48,0),""))</f>
      </c>
      <c r="K48" s="305">
        <f>IF($B48="","",IF(COUNTA('UX + Dev'!AA48)=0,"",TRIM('UX + Dev'!AA48)))</f>
      </c>
      <c r="L48" s="305">
        <f>IF($B48="","",IFERROR(MATCH($D48,Control!$E$4:$E$30,0),99))</f>
      </c>
      <c r="M48" s="305">
        <f>IF($B48="","",IFERROR(MATCH($F48,Control!$B$4:$B$30,0),99))</f>
      </c>
      <c r="N48" s="305">
        <f>IF($V48&lt;&gt;1,"",IF('Roadmap (Auto)'!$D$3="Status, then Theme",$M48*1000000+$L48*10000+ROW(),IF('Roadmap (Auto)'!$D$3="Dev start (earliest)",IF($I48="",99999999,$I48)*10000+ROW(),IF('Roadmap (Auto)'!$D$3="UX start (earliest)",IF($G48="",99999999,$G48)*10000+ROW(),IF('Roadmap (Auto)'!$D$3="Deliverable A-Z",$W48*10000+ROW(),$L48*1000000+$M48*10000+ROW())))))</f>
      </c>
      <c r="O48" s="305">
        <f>IF($N48="","",COUNTIF($N$2:$N$151,"&lt;"&amp;$N48)+1)</f>
      </c>
      <c r="P48" s="305">
        <f>IF($B48="","",IF(COUNTA('UX + Dev'!X48)=0,"",'UX + Dev'!X48))</f>
      </c>
      <c r="Q48" s="305">
        <f>IF($B48="","",IF(COUNTA('UX + Dev'!Y48)=0,"",'UX + Dev'!Y48))</f>
      </c>
      <c r="R48" s="307">
        <f>IF($P48="","",IF(ISNUMBER($P48),DATE(YEAR($P48),MONTH($P48),1),IFERROR(DATE(IFERROR(VALUE(RIGHT(TRIM($P48),4)),YEAR(TODAY())),(SEARCH(LEFT(TRIM($P48),3),"JanFebMarAprMayJunJulAugSepOctNovDec")+2)/3,1),"")))</f>
      </c>
      <c r="S48" s="307">
        <f>IF($Q48="","",IF(ISNUMBER($Q48),DATE(YEAR($Q48),MONTH($Q48),1),IFERROR(DATE(IFERROR(VALUE(RIGHT(TRIM($Q48),4)),YEAR(TODAY())),(SEARCH(LEFT(TRIM($Q48),3),"JanFebMarAprMayJunJulAugSepOctNovDec")+2)/3,1),"")))</f>
      </c>
      <c r="T48" s="305">
        <f>IF($B48="","",COUNTA('UX + Dev'!$AB48:$DN48))</f>
      </c>
      <c r="U48" s="305">
        <f>IF($B48="","",IFERROR(MATCH($D48,Control!$E$4:$E$30,0)+3,0))</f>
      </c>
      <c r="V48" s="305">
        <f>IF($B48="","",IF(AND(OR('Roadmap (Auto)'!$A$3="",'Roadmap (Auto)'!$A$3="(All)",ISNUMBER(SEARCH('Roadmap (Auto)'!$A$3,$C48&amp;""))),OR('Roadmap (Auto)'!$B$3="",'Roadmap (Auto)'!$B$3="(All)",$D48='Roadmap (Auto)'!$B$3,$X48='Roadmap (Auto)'!$B$3),OR('Roadmap (Auto)'!$C$3="",'Roadmap (Auto)'!$C$3="(All)",$F48='Roadmap (Auto)'!$C$3)),1,0))</f>
      </c>
      <c r="W48" s="305">
        <f>IF($B48="","",COUNTIF($Y$2:$Y$151,"&lt;"&amp;$Y48)+1)</f>
      </c>
      <c r="X48" s="305">
        <f>IF($B48="","",IF(TRIM('UX + Dev'!D48)="","",TRIM('UX + Dev'!D48)))</f>
      </c>
      <c r="Y48" s="305">
        <f>IF($B48="","",SUBSTITUTE(SUBSTITUTE(SUBSTITUTE(SUBSTITUTE(SUBSTITUTE(SUBSTITUTE(SUBSTITUTE(SUBSTITUTE(SUBSTITUTE(SUBSTITUTE(SUBSTITUTE(SUBSTITUTE(SUBSTITUTE(SUBSTITUTE(SUBSTITUTE(SUBSTITUTE(SUBSTITUTE(SUBSTITUTE(SUBSTITUTE(SUBSTITUTE(SUBSTITUTE(SUBSTITUTE(SUBSTITUTE(SUBSTITUTE(SUBSTITUTE(UPPER($B48)," ",""),"-",""),":",""),"/",""),"&amp;",""),"|",""),"'",""),"’",""),"&lt;",""),"&gt;",""),",",""),"$",""),".",""),"(",""),")",""),"*",""),"?",""),"~",""),"_",""),"+",""),"#",""),";",""),"!",""),"%",""),"@",""))</f>
      </c>
      <c r="AA48">
        <f>IF($B48="",0,COUNTIFS('UX + Dev'!$AB$1:$DN$1,"&gt;="&amp;AA$1,'UX + Dev'!$AB$1:$DN$1,"&lt;="&amp;EOMONTH(AA$1,0),'UX + Dev'!$AB48:$DN48,"&lt;&gt;"))</f>
      </c>
      <c r="AB48">
        <f>IF($B48="",0,COUNTIFS('UX + Dev'!$AB$1:$DN$1,"&gt;="&amp;AB$1,'UX + Dev'!$AB$1:$DN$1,"&lt;="&amp;EOMONTH(AB$1,0),'UX + Dev'!$AB48:$DN48,"&lt;&gt;"))</f>
      </c>
      <c r="AC48">
        <f>IF($B48="",0,COUNTIFS('UX + Dev'!$AB$1:$DN$1,"&gt;="&amp;AC$1,'UX + Dev'!$AB$1:$DN$1,"&lt;="&amp;EOMONTH(AC$1,0),'UX + Dev'!$AB48:$DN48,"&lt;&gt;"))</f>
      </c>
      <c r="AD48">
        <f>IF($B48="",0,COUNTIFS('UX + Dev'!$AB$1:$DN$1,"&gt;="&amp;AD$1,'UX + Dev'!$AB$1:$DN$1,"&lt;="&amp;EOMONTH(AD$1,0),'UX + Dev'!$AB48:$DN48,"&lt;&gt;"))</f>
      </c>
      <c r="AE48">
        <f>IF($B48="",0,COUNTIFS('UX + Dev'!$AB$1:$DN$1,"&gt;="&amp;AE$1,'UX + Dev'!$AB$1:$DN$1,"&lt;="&amp;EOMONTH(AE$1,0),'UX + Dev'!$AB48:$DN48,"&lt;&gt;"))</f>
      </c>
      <c r="AF48">
        <f>IF($B48="",0,COUNTIFS('UX + Dev'!$AB$1:$DN$1,"&gt;="&amp;AF$1,'UX + Dev'!$AB$1:$DN$1,"&lt;="&amp;EOMONTH(AF$1,0),'UX + Dev'!$AB48:$DN48,"&lt;&gt;"))</f>
      </c>
      <c r="AG48">
        <f>IF($B48="",0,COUNTIFS('UX + Dev'!$AB$1:$DN$1,"&gt;="&amp;AG$1,'UX + Dev'!$AB$1:$DN$1,"&lt;="&amp;EOMONTH(AG$1,0),'UX + Dev'!$AB48:$DN48,"&lt;&gt;"))</f>
      </c>
      <c r="AH48">
        <f>IF($B48="",0,COUNTIFS('UX + Dev'!$AB$1:$DN$1,"&gt;="&amp;AH$1,'UX + Dev'!$AB$1:$DN$1,"&lt;="&amp;EOMONTH(AH$1,0),'UX + Dev'!$AB48:$DN48,"&lt;&gt;"))</f>
      </c>
      <c r="AI48">
        <f>IF($B48="",0,COUNTIFS('UX + Dev'!$AB$1:$DN$1,"&gt;="&amp;AI$1,'UX + Dev'!$AB$1:$DN$1,"&lt;="&amp;EOMONTH(AI$1,0),'UX + Dev'!$AB48:$DN48,"&lt;&gt;"))</f>
      </c>
      <c r="AJ48">
        <f>IF($B48="",0,COUNTIFS('UX + Dev'!$AB$1:$DN$1,"&gt;="&amp;AJ$1,'UX + Dev'!$AB$1:$DN$1,"&lt;="&amp;EOMONTH(AJ$1,0),'UX + Dev'!$AB48:$DN48,"&lt;&gt;"))</f>
      </c>
      <c r="AK48">
        <f>IF($B48="",0,COUNTIFS('UX + Dev'!$AB$1:$DN$1,"&gt;="&amp;AK$1,'UX + Dev'!$AB$1:$DN$1,"&lt;="&amp;EOMONTH(AK$1,0),'UX + Dev'!$AB48:$DN48,"&lt;&gt;"))</f>
      </c>
      <c r="AL48">
        <f>IF($B48="",0,COUNTIFS('UX + Dev'!$AB$1:$DN$1,"&gt;="&amp;AL$1,'UX + Dev'!$AB$1:$DN$1,"&lt;="&amp;EOMONTH(AL$1,0),'UX + Dev'!$AB48:$DN48,"&lt;&gt;"))</f>
      </c>
      <c r="AM48">
        <f>IF($B48="",0,COUNTIFS('UX + Dev'!$AB$1:$DN$1,"&gt;="&amp;AM$1,'UX + Dev'!$AB$1:$DN$1,"&lt;="&amp;EOMONTH(AM$1,0),'UX + Dev'!$AB48:$DN48,"&lt;&gt;"))</f>
      </c>
      <c r="AN48">
        <f>IF($B48="",0,COUNTIFS('UX + Dev'!$AB$1:$DN$1,"&gt;="&amp;AN$1,'UX + Dev'!$AB$1:$DN$1,"&lt;="&amp;EOMONTH(AN$1,0),'UX + Dev'!$AB48:$DN48,"&lt;&gt;"))</f>
      </c>
      <c r="AO48">
        <f>IF($B48="",0,COUNTIFS('UX + Dev'!$AB$1:$DN$1,"&gt;="&amp;AO$1,'UX + Dev'!$AB$1:$DN$1,"&lt;="&amp;EOMONTH(AO$1,0),'UX + Dev'!$AB48:$DN48,"&lt;&gt;"))</f>
      </c>
      <c r="AP48">
        <f>IF($B48="",0,COUNTIFS('UX + Dev'!$AB$1:$DN$1,"&gt;="&amp;AP$1,'UX + Dev'!$AB$1:$DN$1,"&lt;="&amp;EOMONTH(AP$1,0),'UX + Dev'!$AB48:$DN48,"&lt;&gt;"))</f>
      </c>
      <c r="AQ48">
        <f>IF($B48="",0,COUNTIFS('UX + Dev'!$AB$1:$DN$1,"&gt;="&amp;AQ$1,'UX + Dev'!$AB$1:$DN$1,"&lt;="&amp;EOMONTH(AQ$1,0),'UX + Dev'!$AB48:$DN48,"&lt;&gt;"))</f>
      </c>
      <c r="AR48">
        <f>IF($B48="",0,COUNTIFS('UX + Dev'!$AB$1:$DN$1,"&gt;="&amp;AR$1,'UX + Dev'!$AB$1:$DN$1,"&lt;="&amp;EOMONTH(AR$1,0),'UX + Dev'!$AB48:$DN48,"&lt;&gt;"))</f>
      </c>
      <c r="AS48">
        <f>IF($B48="",0,COUNTIFS('UX + Dev'!$AB$1:$DN$1,"&gt;="&amp;AS$1,'UX + Dev'!$AB$1:$DN$1,"&lt;="&amp;EOMONTH(AS$1,0),'UX + Dev'!$AB48:$DN48,"&lt;&gt;"))</f>
      </c>
      <c r="AT48">
        <f>IF($B48="",0,COUNTIFS('UX + Dev'!$AB$1:$DN$1,"&gt;="&amp;AT$1,'UX + Dev'!$AB$1:$DN$1,"&lt;="&amp;EOMONTH(AT$1,0),'UX + Dev'!$AB48:$DN48,"&lt;&gt;"))</f>
      </c>
      <c r="AU48">
        <f>IF($B48="",0,COUNTIFS('UX + Dev'!$AB$1:$DN$1,"&gt;="&amp;AU$1,'UX + Dev'!$AB$1:$DN$1,"&lt;="&amp;EOMONTH(AU$1,0),'UX + Dev'!$AB48:$DN48,"&lt;&gt;"))</f>
      </c>
      <c r="AV48">
        <f>IF($B48="",0,COUNTIFS('UX + Dev'!$AB$1:$DN$1,"&gt;="&amp;AV$1,'UX + Dev'!$AB$1:$DN$1,"&lt;="&amp;EOMONTH(AV$1,0),'UX + Dev'!$AB48:$DN48,"&lt;&gt;"))</f>
      </c>
      <c r="AW48">
        <f>IF($B48="",0,COUNTIFS('UX + Dev'!$AB$1:$DN$1,"&gt;="&amp;AW$1,'UX + Dev'!$AB$1:$DN$1,"&lt;="&amp;EOMONTH(AW$1,0),'UX + Dev'!$AB48:$DN48,"&lt;&gt;"))</f>
      </c>
      <c r="AX48">
        <f>IF($B48="",0,COUNTIFS('UX + Dev'!$AB$1:$DN$1,"&gt;="&amp;AX$1,'UX + Dev'!$AB$1:$DN$1,"&lt;="&amp;EOMONTH(AX$1,0),'UX + Dev'!$AB48:$DN48,"&lt;&gt;"))</f>
      </c>
      <c r="BB48" s="308">
        <f>IF($B48="","",IF(COUNTA('UX + Dev'!U48)&gt;0,DATE(YEAR('UX + Dev'!U48),MONTH('UX + Dev'!U48),1),IF(COUNTA('UX + Dev'!V48)&gt;0,DATE(YEAR('UX + Dev'!V48),MONTH('UX + Dev'!V48),1),"")))</f>
      </c>
      <c r="BC48" s="308">
        <f>IF($B48="","",IF(COUNTA('UX + Dev'!V48)&gt;0,EOMONTH('UX + Dev'!V48,0),IF(COUNTA('UX + Dev'!U48)&gt;0,EOMONTH('UX + Dev'!U48,0),"")))</f>
      </c>
    </row>
    <row r="49">
      <c r="A49" s="305" t="n">
        <v>49</v>
      </c>
      <c r="B49" s="305">
        <f>IF(TRIM('UX + Dev'!E49)="","",TRIM('UX + Dev'!E49))</f>
      </c>
      <c r="C49" s="305">
        <f>IF($B49="","",'UX + Dev'!B49)</f>
      </c>
      <c r="D49" s="305">
        <f>IF($B49="","",IF(TRIM('UX + Dev'!C49)="","(No theme assigned)",TRIM('UX + Dev'!C49)))</f>
      </c>
      <c r="E49" s="305">
        <f>IF($B49="","",TRIM('UX + Dev'!F49))</f>
      </c>
      <c r="F49" s="305">
        <f>IF($B49="","",'UX + Dev'!G49)</f>
      </c>
      <c r="G49" s="306">
        <f t="array" ref="G49">IF($B49="","",IF($T49=0,"",IFERROR(MIN(IF('UX + Dev'!$AB49:$DN49&lt;&gt;"",'UX + Dev'!$AB$1:$DN$1)),"")))</f>
      </c>
      <c r="H49" s="306">
        <f t="array" ref="H49">IF($B49="","",IF($T49=0,"",IFERROR(MAX(IF('UX + Dev'!$AB49:$DN49&lt;&gt;"",'UX + Dev'!$AB$1:$DN$1)),"")))</f>
      </c>
      <c r="I49" s="307">
        <f>IF($R49&lt;&gt;"",$R49,IF($S49&lt;&gt;"",$S49,""))</f>
      </c>
      <c r="J49" s="307">
        <f>IF($S49&lt;&gt;"",EOMONTH($S49,0),IF($R49&lt;&gt;"",EOMONTH($R49,0),""))</f>
      </c>
      <c r="K49" s="305">
        <f>IF($B49="","",IF(COUNTA('UX + Dev'!AA49)=0,"",TRIM('UX + Dev'!AA49)))</f>
      </c>
      <c r="L49" s="305">
        <f>IF($B49="","",IFERROR(MATCH($D49,Control!$E$4:$E$30,0),99))</f>
      </c>
      <c r="M49" s="305">
        <f>IF($B49="","",IFERROR(MATCH($F49,Control!$B$4:$B$30,0),99))</f>
      </c>
      <c r="N49" s="305">
        <f>IF($V49&lt;&gt;1,"",IF('Roadmap (Auto)'!$D$3="Status, then Theme",$M49*1000000+$L49*10000+ROW(),IF('Roadmap (Auto)'!$D$3="Dev start (earliest)",IF($I49="",99999999,$I49)*10000+ROW(),IF('Roadmap (Auto)'!$D$3="UX start (earliest)",IF($G49="",99999999,$G49)*10000+ROW(),IF('Roadmap (Auto)'!$D$3="Deliverable A-Z",$W49*10000+ROW(),$L49*1000000+$M49*10000+ROW())))))</f>
      </c>
      <c r="O49" s="305">
        <f>IF($N49="","",COUNTIF($N$2:$N$151,"&lt;"&amp;$N49)+1)</f>
      </c>
      <c r="P49" s="305">
        <f>IF($B49="","",IF(COUNTA('UX + Dev'!X49)=0,"",'UX + Dev'!X49))</f>
      </c>
      <c r="Q49" s="305">
        <f>IF($B49="","",IF(COUNTA('UX + Dev'!Y49)=0,"",'UX + Dev'!Y49))</f>
      </c>
      <c r="R49" s="307">
        <f>IF($P49="","",IF(ISNUMBER($P49),DATE(YEAR($P49),MONTH($P49),1),IFERROR(DATE(IFERROR(VALUE(RIGHT(TRIM($P49),4)),YEAR(TODAY())),(SEARCH(LEFT(TRIM($P49),3),"JanFebMarAprMayJunJulAugSepOctNovDec")+2)/3,1),"")))</f>
      </c>
      <c r="S49" s="307">
        <f>IF($Q49="","",IF(ISNUMBER($Q49),DATE(YEAR($Q49),MONTH($Q49),1),IFERROR(DATE(IFERROR(VALUE(RIGHT(TRIM($Q49),4)),YEAR(TODAY())),(SEARCH(LEFT(TRIM($Q49),3),"JanFebMarAprMayJunJulAugSepOctNovDec")+2)/3,1),"")))</f>
      </c>
      <c r="T49" s="305">
        <f>IF($B49="","",COUNTA('UX + Dev'!$AB49:$DN49))</f>
      </c>
      <c r="U49" s="305">
        <f>IF($B49="","",IFERROR(MATCH($D49,Control!$E$4:$E$30,0)+3,0))</f>
      </c>
      <c r="V49" s="305">
        <f>IF($B49="","",IF(AND(OR('Roadmap (Auto)'!$A$3="",'Roadmap (Auto)'!$A$3="(All)",ISNUMBER(SEARCH('Roadmap (Auto)'!$A$3,$C49&amp;""))),OR('Roadmap (Auto)'!$B$3="",'Roadmap (Auto)'!$B$3="(All)",$D49='Roadmap (Auto)'!$B$3,$X49='Roadmap (Auto)'!$B$3),OR('Roadmap (Auto)'!$C$3="",'Roadmap (Auto)'!$C$3="(All)",$F49='Roadmap (Auto)'!$C$3)),1,0))</f>
      </c>
      <c r="W49" s="305">
        <f>IF($B49="","",COUNTIF($Y$2:$Y$151,"&lt;"&amp;$Y49)+1)</f>
      </c>
      <c r="X49" s="305">
        <f>IF($B49="","",IF(TRIM('UX + Dev'!D49)="","",TRIM('UX + Dev'!D49)))</f>
      </c>
      <c r="Y49" s="305">
        <f>IF($B49="","",SUBSTITUTE(SUBSTITUTE(SUBSTITUTE(SUBSTITUTE(SUBSTITUTE(SUBSTITUTE(SUBSTITUTE(SUBSTITUTE(SUBSTITUTE(SUBSTITUTE(SUBSTITUTE(SUBSTITUTE(SUBSTITUTE(SUBSTITUTE(SUBSTITUTE(SUBSTITUTE(SUBSTITUTE(SUBSTITUTE(SUBSTITUTE(SUBSTITUTE(SUBSTITUTE(SUBSTITUTE(SUBSTITUTE(SUBSTITUTE(SUBSTITUTE(UPPER($B49)," ",""),"-",""),":",""),"/",""),"&amp;",""),"|",""),"'",""),"’",""),"&lt;",""),"&gt;",""),",",""),"$",""),".",""),"(",""),")",""),"*",""),"?",""),"~",""),"_",""),"+",""),"#",""),";",""),"!",""),"%",""),"@",""))</f>
      </c>
      <c r="AA49">
        <f>IF($B49="",0,COUNTIFS('UX + Dev'!$AB$1:$DN$1,"&gt;="&amp;AA$1,'UX + Dev'!$AB$1:$DN$1,"&lt;="&amp;EOMONTH(AA$1,0),'UX + Dev'!$AB49:$DN49,"&lt;&gt;"))</f>
      </c>
      <c r="AB49">
        <f>IF($B49="",0,COUNTIFS('UX + Dev'!$AB$1:$DN$1,"&gt;="&amp;AB$1,'UX + Dev'!$AB$1:$DN$1,"&lt;="&amp;EOMONTH(AB$1,0),'UX + Dev'!$AB49:$DN49,"&lt;&gt;"))</f>
      </c>
      <c r="AC49">
        <f>IF($B49="",0,COUNTIFS('UX + Dev'!$AB$1:$DN$1,"&gt;="&amp;AC$1,'UX + Dev'!$AB$1:$DN$1,"&lt;="&amp;EOMONTH(AC$1,0),'UX + Dev'!$AB49:$DN49,"&lt;&gt;"))</f>
      </c>
      <c r="AD49">
        <f>IF($B49="",0,COUNTIFS('UX + Dev'!$AB$1:$DN$1,"&gt;="&amp;AD$1,'UX + Dev'!$AB$1:$DN$1,"&lt;="&amp;EOMONTH(AD$1,0),'UX + Dev'!$AB49:$DN49,"&lt;&gt;"))</f>
      </c>
      <c r="AE49">
        <f>IF($B49="",0,COUNTIFS('UX + Dev'!$AB$1:$DN$1,"&gt;="&amp;AE$1,'UX + Dev'!$AB$1:$DN$1,"&lt;="&amp;EOMONTH(AE$1,0),'UX + Dev'!$AB49:$DN49,"&lt;&gt;"))</f>
      </c>
      <c r="AF49">
        <f>IF($B49="",0,COUNTIFS('UX + Dev'!$AB$1:$DN$1,"&gt;="&amp;AF$1,'UX + Dev'!$AB$1:$DN$1,"&lt;="&amp;EOMONTH(AF$1,0),'UX + Dev'!$AB49:$DN49,"&lt;&gt;"))</f>
      </c>
      <c r="AG49">
        <f>IF($B49="",0,COUNTIFS('UX + Dev'!$AB$1:$DN$1,"&gt;="&amp;AG$1,'UX + Dev'!$AB$1:$DN$1,"&lt;="&amp;EOMONTH(AG$1,0),'UX + Dev'!$AB49:$DN49,"&lt;&gt;"))</f>
      </c>
      <c r="AH49">
        <f>IF($B49="",0,COUNTIFS('UX + Dev'!$AB$1:$DN$1,"&gt;="&amp;AH$1,'UX + Dev'!$AB$1:$DN$1,"&lt;="&amp;EOMONTH(AH$1,0),'UX + Dev'!$AB49:$DN49,"&lt;&gt;"))</f>
      </c>
      <c r="AI49">
        <f>IF($B49="",0,COUNTIFS('UX + Dev'!$AB$1:$DN$1,"&gt;="&amp;AI$1,'UX + Dev'!$AB$1:$DN$1,"&lt;="&amp;EOMONTH(AI$1,0),'UX + Dev'!$AB49:$DN49,"&lt;&gt;"))</f>
      </c>
      <c r="AJ49">
        <f>IF($B49="",0,COUNTIFS('UX + Dev'!$AB$1:$DN$1,"&gt;="&amp;AJ$1,'UX + Dev'!$AB$1:$DN$1,"&lt;="&amp;EOMONTH(AJ$1,0),'UX + Dev'!$AB49:$DN49,"&lt;&gt;"))</f>
      </c>
      <c r="AK49">
        <f>IF($B49="",0,COUNTIFS('UX + Dev'!$AB$1:$DN$1,"&gt;="&amp;AK$1,'UX + Dev'!$AB$1:$DN$1,"&lt;="&amp;EOMONTH(AK$1,0),'UX + Dev'!$AB49:$DN49,"&lt;&gt;"))</f>
      </c>
      <c r="AL49">
        <f>IF($B49="",0,COUNTIFS('UX + Dev'!$AB$1:$DN$1,"&gt;="&amp;AL$1,'UX + Dev'!$AB$1:$DN$1,"&lt;="&amp;EOMONTH(AL$1,0),'UX + Dev'!$AB49:$DN49,"&lt;&gt;"))</f>
      </c>
      <c r="AM49">
        <f>IF($B49="",0,COUNTIFS('UX + Dev'!$AB$1:$DN$1,"&gt;="&amp;AM$1,'UX + Dev'!$AB$1:$DN$1,"&lt;="&amp;EOMONTH(AM$1,0),'UX + Dev'!$AB49:$DN49,"&lt;&gt;"))</f>
      </c>
      <c r="AN49">
        <f>IF($B49="",0,COUNTIFS('UX + Dev'!$AB$1:$DN$1,"&gt;="&amp;AN$1,'UX + Dev'!$AB$1:$DN$1,"&lt;="&amp;EOMONTH(AN$1,0),'UX + Dev'!$AB49:$DN49,"&lt;&gt;"))</f>
      </c>
      <c r="AO49">
        <f>IF($B49="",0,COUNTIFS('UX + Dev'!$AB$1:$DN$1,"&gt;="&amp;AO$1,'UX + Dev'!$AB$1:$DN$1,"&lt;="&amp;EOMONTH(AO$1,0),'UX + Dev'!$AB49:$DN49,"&lt;&gt;"))</f>
      </c>
      <c r="AP49">
        <f>IF($B49="",0,COUNTIFS('UX + Dev'!$AB$1:$DN$1,"&gt;="&amp;AP$1,'UX + Dev'!$AB$1:$DN$1,"&lt;="&amp;EOMONTH(AP$1,0),'UX + Dev'!$AB49:$DN49,"&lt;&gt;"))</f>
      </c>
      <c r="AQ49">
        <f>IF($B49="",0,COUNTIFS('UX + Dev'!$AB$1:$DN$1,"&gt;="&amp;AQ$1,'UX + Dev'!$AB$1:$DN$1,"&lt;="&amp;EOMONTH(AQ$1,0),'UX + Dev'!$AB49:$DN49,"&lt;&gt;"))</f>
      </c>
      <c r="AR49">
        <f>IF($B49="",0,COUNTIFS('UX + Dev'!$AB$1:$DN$1,"&gt;="&amp;AR$1,'UX + Dev'!$AB$1:$DN$1,"&lt;="&amp;EOMONTH(AR$1,0),'UX + Dev'!$AB49:$DN49,"&lt;&gt;"))</f>
      </c>
      <c r="AS49">
        <f>IF($B49="",0,COUNTIFS('UX + Dev'!$AB$1:$DN$1,"&gt;="&amp;AS$1,'UX + Dev'!$AB$1:$DN$1,"&lt;="&amp;EOMONTH(AS$1,0),'UX + Dev'!$AB49:$DN49,"&lt;&gt;"))</f>
      </c>
      <c r="AT49">
        <f>IF($B49="",0,COUNTIFS('UX + Dev'!$AB$1:$DN$1,"&gt;="&amp;AT$1,'UX + Dev'!$AB$1:$DN$1,"&lt;="&amp;EOMONTH(AT$1,0),'UX + Dev'!$AB49:$DN49,"&lt;&gt;"))</f>
      </c>
      <c r="AU49">
        <f>IF($B49="",0,COUNTIFS('UX + Dev'!$AB$1:$DN$1,"&gt;="&amp;AU$1,'UX + Dev'!$AB$1:$DN$1,"&lt;="&amp;EOMONTH(AU$1,0),'UX + Dev'!$AB49:$DN49,"&lt;&gt;"))</f>
      </c>
      <c r="AV49">
        <f>IF($B49="",0,COUNTIFS('UX + Dev'!$AB$1:$DN$1,"&gt;="&amp;AV$1,'UX + Dev'!$AB$1:$DN$1,"&lt;="&amp;EOMONTH(AV$1,0),'UX + Dev'!$AB49:$DN49,"&lt;&gt;"))</f>
      </c>
      <c r="AW49">
        <f>IF($B49="",0,COUNTIFS('UX + Dev'!$AB$1:$DN$1,"&gt;="&amp;AW$1,'UX + Dev'!$AB$1:$DN$1,"&lt;="&amp;EOMONTH(AW$1,0),'UX + Dev'!$AB49:$DN49,"&lt;&gt;"))</f>
      </c>
      <c r="AX49">
        <f>IF($B49="",0,COUNTIFS('UX + Dev'!$AB$1:$DN$1,"&gt;="&amp;AX$1,'UX + Dev'!$AB$1:$DN$1,"&lt;="&amp;EOMONTH(AX$1,0),'UX + Dev'!$AB49:$DN49,"&lt;&gt;"))</f>
      </c>
      <c r="BB49" s="308">
        <f>IF($B49="","",IF(COUNTA('UX + Dev'!U49)&gt;0,DATE(YEAR('UX + Dev'!U49),MONTH('UX + Dev'!U49),1),IF(COUNTA('UX + Dev'!V49)&gt;0,DATE(YEAR('UX + Dev'!V49),MONTH('UX + Dev'!V49),1),"")))</f>
      </c>
      <c r="BC49" s="308">
        <f>IF($B49="","",IF(COUNTA('UX + Dev'!V49)&gt;0,EOMONTH('UX + Dev'!V49,0),IF(COUNTA('UX + Dev'!U49)&gt;0,EOMONTH('UX + Dev'!U49,0),"")))</f>
      </c>
    </row>
    <row r="50">
      <c r="A50" s="305" t="n">
        <v>50</v>
      </c>
      <c r="B50" s="305">
        <f>IF(TRIM('UX + Dev'!E50)="","",TRIM('UX + Dev'!E50))</f>
      </c>
      <c r="C50" s="305">
        <f>IF($B50="","",'UX + Dev'!B50)</f>
      </c>
      <c r="D50" s="305">
        <f>IF($B50="","",IF(TRIM('UX + Dev'!C50)="","(No theme assigned)",TRIM('UX + Dev'!C50)))</f>
      </c>
      <c r="E50" s="305">
        <f>IF($B50="","",TRIM('UX + Dev'!F50))</f>
      </c>
      <c r="F50" s="305">
        <f>IF($B50="","",'UX + Dev'!G50)</f>
      </c>
      <c r="G50" s="306">
        <f t="array" ref="G50">IF($B50="","",IF($T50=0,"",IFERROR(MIN(IF('UX + Dev'!$AB50:$DN50&lt;&gt;"",'UX + Dev'!$AB$1:$DN$1)),"")))</f>
      </c>
      <c r="H50" s="306">
        <f t="array" ref="H50">IF($B50="","",IF($T50=0,"",IFERROR(MAX(IF('UX + Dev'!$AB50:$DN50&lt;&gt;"",'UX + Dev'!$AB$1:$DN$1)),"")))</f>
      </c>
      <c r="I50" s="307">
        <f>IF($R50&lt;&gt;"",$R50,IF($S50&lt;&gt;"",$S50,""))</f>
      </c>
      <c r="J50" s="307">
        <f>IF($S50&lt;&gt;"",EOMONTH($S50,0),IF($R50&lt;&gt;"",EOMONTH($R50,0),""))</f>
      </c>
      <c r="K50" s="305">
        <f>IF($B50="","",IF(COUNTA('UX + Dev'!AA50)=0,"",TRIM('UX + Dev'!AA50)))</f>
      </c>
      <c r="L50" s="305">
        <f>IF($B50="","",IFERROR(MATCH($D50,Control!$E$4:$E$30,0),99))</f>
      </c>
      <c r="M50" s="305">
        <f>IF($B50="","",IFERROR(MATCH($F50,Control!$B$4:$B$30,0),99))</f>
      </c>
      <c r="N50" s="305">
        <f>IF($V50&lt;&gt;1,"",IF('Roadmap (Auto)'!$D$3="Status, then Theme",$M50*1000000+$L50*10000+ROW(),IF('Roadmap (Auto)'!$D$3="Dev start (earliest)",IF($I50="",99999999,$I50)*10000+ROW(),IF('Roadmap (Auto)'!$D$3="UX start (earliest)",IF($G50="",99999999,$G50)*10000+ROW(),IF('Roadmap (Auto)'!$D$3="Deliverable A-Z",$W50*10000+ROW(),$L50*1000000+$M50*10000+ROW())))))</f>
      </c>
      <c r="O50" s="305">
        <f>IF($N50="","",COUNTIF($N$2:$N$151,"&lt;"&amp;$N50)+1)</f>
      </c>
      <c r="P50" s="305">
        <f>IF($B50="","",IF(COUNTA('UX + Dev'!X50)=0,"",'UX + Dev'!X50))</f>
      </c>
      <c r="Q50" s="305">
        <f>IF($B50="","",IF(COUNTA('UX + Dev'!Y50)=0,"",'UX + Dev'!Y50))</f>
      </c>
      <c r="R50" s="307">
        <f>IF($P50="","",IF(ISNUMBER($P50),DATE(YEAR($P50),MONTH($P50),1),IFERROR(DATE(IFERROR(VALUE(RIGHT(TRIM($P50),4)),YEAR(TODAY())),(SEARCH(LEFT(TRIM($P50),3),"JanFebMarAprMayJunJulAugSepOctNovDec")+2)/3,1),"")))</f>
      </c>
      <c r="S50" s="307">
        <f>IF($Q50="","",IF(ISNUMBER($Q50),DATE(YEAR($Q50),MONTH($Q50),1),IFERROR(DATE(IFERROR(VALUE(RIGHT(TRIM($Q50),4)),YEAR(TODAY())),(SEARCH(LEFT(TRIM($Q50),3),"JanFebMarAprMayJunJulAugSepOctNovDec")+2)/3,1),"")))</f>
      </c>
      <c r="T50" s="305">
        <f>IF($B50="","",COUNTA('UX + Dev'!$AB50:$DN50))</f>
      </c>
      <c r="U50" s="305">
        <f>IF($B50="","",IFERROR(MATCH($D50,Control!$E$4:$E$30,0)+3,0))</f>
      </c>
      <c r="V50" s="305">
        <f>IF($B50="","",IF(AND(OR('Roadmap (Auto)'!$A$3="",'Roadmap (Auto)'!$A$3="(All)",ISNUMBER(SEARCH('Roadmap (Auto)'!$A$3,$C50&amp;""))),OR('Roadmap (Auto)'!$B$3="",'Roadmap (Auto)'!$B$3="(All)",$D50='Roadmap (Auto)'!$B$3,$X50='Roadmap (Auto)'!$B$3),OR('Roadmap (Auto)'!$C$3="",'Roadmap (Auto)'!$C$3="(All)",$F50='Roadmap (Auto)'!$C$3)),1,0))</f>
      </c>
      <c r="W50" s="305">
        <f>IF($B50="","",COUNTIF($Y$2:$Y$151,"&lt;"&amp;$Y50)+1)</f>
      </c>
      <c r="X50" s="305">
        <f>IF($B50="","",IF(TRIM('UX + Dev'!D50)="","",TRIM('UX + Dev'!D50)))</f>
      </c>
      <c r="Y50" s="305">
        <f>IF($B50="","",SUBSTITUTE(SUBSTITUTE(SUBSTITUTE(SUBSTITUTE(SUBSTITUTE(SUBSTITUTE(SUBSTITUTE(SUBSTITUTE(SUBSTITUTE(SUBSTITUTE(SUBSTITUTE(SUBSTITUTE(SUBSTITUTE(SUBSTITUTE(SUBSTITUTE(SUBSTITUTE(SUBSTITUTE(SUBSTITUTE(SUBSTITUTE(SUBSTITUTE(SUBSTITUTE(SUBSTITUTE(SUBSTITUTE(SUBSTITUTE(SUBSTITUTE(UPPER($B50)," ",""),"-",""),":",""),"/",""),"&amp;",""),"|",""),"'",""),"’",""),"&lt;",""),"&gt;",""),",",""),"$",""),".",""),"(",""),")",""),"*",""),"?",""),"~",""),"_",""),"+",""),"#",""),";",""),"!",""),"%",""),"@",""))</f>
      </c>
      <c r="AA50">
        <f>IF($B50="",0,COUNTIFS('UX + Dev'!$AB$1:$DN$1,"&gt;="&amp;AA$1,'UX + Dev'!$AB$1:$DN$1,"&lt;="&amp;EOMONTH(AA$1,0),'UX + Dev'!$AB50:$DN50,"&lt;&gt;"))</f>
      </c>
      <c r="AB50">
        <f>IF($B50="",0,COUNTIFS('UX + Dev'!$AB$1:$DN$1,"&gt;="&amp;AB$1,'UX + Dev'!$AB$1:$DN$1,"&lt;="&amp;EOMONTH(AB$1,0),'UX + Dev'!$AB50:$DN50,"&lt;&gt;"))</f>
      </c>
      <c r="AC50">
        <f>IF($B50="",0,COUNTIFS('UX + Dev'!$AB$1:$DN$1,"&gt;="&amp;AC$1,'UX + Dev'!$AB$1:$DN$1,"&lt;="&amp;EOMONTH(AC$1,0),'UX + Dev'!$AB50:$DN50,"&lt;&gt;"))</f>
      </c>
      <c r="AD50">
        <f>IF($B50="",0,COUNTIFS('UX + Dev'!$AB$1:$DN$1,"&gt;="&amp;AD$1,'UX + Dev'!$AB$1:$DN$1,"&lt;="&amp;EOMONTH(AD$1,0),'UX + Dev'!$AB50:$DN50,"&lt;&gt;"))</f>
      </c>
      <c r="AE50">
        <f>IF($B50="",0,COUNTIFS('UX + Dev'!$AB$1:$DN$1,"&gt;="&amp;AE$1,'UX + Dev'!$AB$1:$DN$1,"&lt;="&amp;EOMONTH(AE$1,0),'UX + Dev'!$AB50:$DN50,"&lt;&gt;"))</f>
      </c>
      <c r="AF50">
        <f>IF($B50="",0,COUNTIFS('UX + Dev'!$AB$1:$DN$1,"&gt;="&amp;AF$1,'UX + Dev'!$AB$1:$DN$1,"&lt;="&amp;EOMONTH(AF$1,0),'UX + Dev'!$AB50:$DN50,"&lt;&gt;"))</f>
      </c>
      <c r="AG50">
        <f>IF($B50="",0,COUNTIFS('UX + Dev'!$AB$1:$DN$1,"&gt;="&amp;AG$1,'UX + Dev'!$AB$1:$DN$1,"&lt;="&amp;EOMONTH(AG$1,0),'UX + Dev'!$AB50:$DN50,"&lt;&gt;"))</f>
      </c>
      <c r="AH50">
        <f>IF($B50="",0,COUNTIFS('UX + Dev'!$AB$1:$DN$1,"&gt;="&amp;AH$1,'UX + Dev'!$AB$1:$DN$1,"&lt;="&amp;EOMONTH(AH$1,0),'UX + Dev'!$AB50:$DN50,"&lt;&gt;"))</f>
      </c>
      <c r="AI50">
        <f>IF($B50="",0,COUNTIFS('UX + Dev'!$AB$1:$DN$1,"&gt;="&amp;AI$1,'UX + Dev'!$AB$1:$DN$1,"&lt;="&amp;EOMONTH(AI$1,0),'UX + Dev'!$AB50:$DN50,"&lt;&gt;"))</f>
      </c>
      <c r="AJ50">
        <f>IF($B50="",0,COUNTIFS('UX + Dev'!$AB$1:$DN$1,"&gt;="&amp;AJ$1,'UX + Dev'!$AB$1:$DN$1,"&lt;="&amp;EOMONTH(AJ$1,0),'UX + Dev'!$AB50:$DN50,"&lt;&gt;"))</f>
      </c>
      <c r="AK50">
        <f>IF($B50="",0,COUNTIFS('UX + Dev'!$AB$1:$DN$1,"&gt;="&amp;AK$1,'UX + Dev'!$AB$1:$DN$1,"&lt;="&amp;EOMONTH(AK$1,0),'UX + Dev'!$AB50:$DN50,"&lt;&gt;"))</f>
      </c>
      <c r="AL50">
        <f>IF($B50="",0,COUNTIFS('UX + Dev'!$AB$1:$DN$1,"&gt;="&amp;AL$1,'UX + Dev'!$AB$1:$DN$1,"&lt;="&amp;EOMONTH(AL$1,0),'UX + Dev'!$AB50:$DN50,"&lt;&gt;"))</f>
      </c>
      <c r="AM50">
        <f>IF($B50="",0,COUNTIFS('UX + Dev'!$AB$1:$DN$1,"&gt;="&amp;AM$1,'UX + Dev'!$AB$1:$DN$1,"&lt;="&amp;EOMONTH(AM$1,0),'UX + Dev'!$AB50:$DN50,"&lt;&gt;"))</f>
      </c>
      <c r="AN50">
        <f>IF($B50="",0,COUNTIFS('UX + Dev'!$AB$1:$DN$1,"&gt;="&amp;AN$1,'UX + Dev'!$AB$1:$DN$1,"&lt;="&amp;EOMONTH(AN$1,0),'UX + Dev'!$AB50:$DN50,"&lt;&gt;"))</f>
      </c>
      <c r="AO50">
        <f>IF($B50="",0,COUNTIFS('UX + Dev'!$AB$1:$DN$1,"&gt;="&amp;AO$1,'UX + Dev'!$AB$1:$DN$1,"&lt;="&amp;EOMONTH(AO$1,0),'UX + Dev'!$AB50:$DN50,"&lt;&gt;"))</f>
      </c>
      <c r="AP50">
        <f>IF($B50="",0,COUNTIFS('UX + Dev'!$AB$1:$DN$1,"&gt;="&amp;AP$1,'UX + Dev'!$AB$1:$DN$1,"&lt;="&amp;EOMONTH(AP$1,0),'UX + Dev'!$AB50:$DN50,"&lt;&gt;"))</f>
      </c>
      <c r="AQ50">
        <f>IF($B50="",0,COUNTIFS('UX + Dev'!$AB$1:$DN$1,"&gt;="&amp;AQ$1,'UX + Dev'!$AB$1:$DN$1,"&lt;="&amp;EOMONTH(AQ$1,0),'UX + Dev'!$AB50:$DN50,"&lt;&gt;"))</f>
      </c>
      <c r="AR50">
        <f>IF($B50="",0,COUNTIFS('UX + Dev'!$AB$1:$DN$1,"&gt;="&amp;AR$1,'UX + Dev'!$AB$1:$DN$1,"&lt;="&amp;EOMONTH(AR$1,0),'UX + Dev'!$AB50:$DN50,"&lt;&gt;"))</f>
      </c>
      <c r="AS50">
        <f>IF($B50="",0,COUNTIFS('UX + Dev'!$AB$1:$DN$1,"&gt;="&amp;AS$1,'UX + Dev'!$AB$1:$DN$1,"&lt;="&amp;EOMONTH(AS$1,0),'UX + Dev'!$AB50:$DN50,"&lt;&gt;"))</f>
      </c>
      <c r="AT50">
        <f>IF($B50="",0,COUNTIFS('UX + Dev'!$AB$1:$DN$1,"&gt;="&amp;AT$1,'UX + Dev'!$AB$1:$DN$1,"&lt;="&amp;EOMONTH(AT$1,0),'UX + Dev'!$AB50:$DN50,"&lt;&gt;"))</f>
      </c>
      <c r="AU50">
        <f>IF($B50="",0,COUNTIFS('UX + Dev'!$AB$1:$DN$1,"&gt;="&amp;AU$1,'UX + Dev'!$AB$1:$DN$1,"&lt;="&amp;EOMONTH(AU$1,0),'UX + Dev'!$AB50:$DN50,"&lt;&gt;"))</f>
      </c>
      <c r="AV50">
        <f>IF($B50="",0,COUNTIFS('UX + Dev'!$AB$1:$DN$1,"&gt;="&amp;AV$1,'UX + Dev'!$AB$1:$DN$1,"&lt;="&amp;EOMONTH(AV$1,0),'UX + Dev'!$AB50:$DN50,"&lt;&gt;"))</f>
      </c>
      <c r="AW50">
        <f>IF($B50="",0,COUNTIFS('UX + Dev'!$AB$1:$DN$1,"&gt;="&amp;AW$1,'UX + Dev'!$AB$1:$DN$1,"&lt;="&amp;EOMONTH(AW$1,0),'UX + Dev'!$AB50:$DN50,"&lt;&gt;"))</f>
      </c>
      <c r="AX50">
        <f>IF($B50="",0,COUNTIFS('UX + Dev'!$AB$1:$DN$1,"&gt;="&amp;AX$1,'UX + Dev'!$AB$1:$DN$1,"&lt;="&amp;EOMONTH(AX$1,0),'UX + Dev'!$AB50:$DN50,"&lt;&gt;"))</f>
      </c>
      <c r="BB50" s="308">
        <f>IF($B50="","",IF(COUNTA('UX + Dev'!U50)&gt;0,DATE(YEAR('UX + Dev'!U50),MONTH('UX + Dev'!U50),1),IF(COUNTA('UX + Dev'!V50)&gt;0,DATE(YEAR('UX + Dev'!V50),MONTH('UX + Dev'!V50),1),"")))</f>
      </c>
      <c r="BC50" s="308">
        <f>IF($B50="","",IF(COUNTA('UX + Dev'!V50)&gt;0,EOMONTH('UX + Dev'!V50,0),IF(COUNTA('UX + Dev'!U50)&gt;0,EOMONTH('UX + Dev'!U50,0),"")))</f>
      </c>
    </row>
    <row r="51">
      <c r="A51" s="305" t="n">
        <v>51</v>
      </c>
      <c r="B51" s="305">
        <f>IF(TRIM('UX + Dev'!E51)="","",TRIM('UX + Dev'!E51))</f>
      </c>
      <c r="C51" s="305">
        <f>IF($B51="","",'UX + Dev'!B51)</f>
      </c>
      <c r="D51" s="305">
        <f>IF($B51="","",IF(TRIM('UX + Dev'!C51)="","(No theme assigned)",TRIM('UX + Dev'!C51)))</f>
      </c>
      <c r="E51" s="305">
        <f>IF($B51="","",TRIM('UX + Dev'!F51))</f>
      </c>
      <c r="F51" s="305">
        <f>IF($B51="","",'UX + Dev'!G51)</f>
      </c>
      <c r="G51" s="306">
        <f t="array" ref="G51">IF($B51="","",IF($T51=0,"",IFERROR(MIN(IF('UX + Dev'!$AB51:$DN51&lt;&gt;"",'UX + Dev'!$AB$1:$DN$1)),"")))</f>
      </c>
      <c r="H51" s="306">
        <f t="array" ref="H51">IF($B51="","",IF($T51=0,"",IFERROR(MAX(IF('UX + Dev'!$AB51:$DN51&lt;&gt;"",'UX + Dev'!$AB$1:$DN$1)),"")))</f>
      </c>
      <c r="I51" s="307">
        <f>IF($R51&lt;&gt;"",$R51,IF($S51&lt;&gt;"",$S51,""))</f>
      </c>
      <c r="J51" s="307">
        <f>IF($S51&lt;&gt;"",EOMONTH($S51,0),IF($R51&lt;&gt;"",EOMONTH($R51,0),""))</f>
      </c>
      <c r="K51" s="305">
        <f>IF($B51="","",IF(COUNTA('UX + Dev'!AA51)=0,"",TRIM('UX + Dev'!AA51)))</f>
      </c>
      <c r="L51" s="305">
        <f>IF($B51="","",IFERROR(MATCH($D51,Control!$E$4:$E$30,0),99))</f>
      </c>
      <c r="M51" s="305">
        <f>IF($B51="","",IFERROR(MATCH($F51,Control!$B$4:$B$30,0),99))</f>
      </c>
      <c r="N51" s="305">
        <f>IF($V51&lt;&gt;1,"",IF('Roadmap (Auto)'!$D$3="Status, then Theme",$M51*1000000+$L51*10000+ROW(),IF('Roadmap (Auto)'!$D$3="Dev start (earliest)",IF($I51="",99999999,$I51)*10000+ROW(),IF('Roadmap (Auto)'!$D$3="UX start (earliest)",IF($G51="",99999999,$G51)*10000+ROW(),IF('Roadmap (Auto)'!$D$3="Deliverable A-Z",$W51*10000+ROW(),$L51*1000000+$M51*10000+ROW())))))</f>
      </c>
      <c r="O51" s="305">
        <f>IF($N51="","",COUNTIF($N$2:$N$151,"&lt;"&amp;$N51)+1)</f>
      </c>
      <c r="P51" s="305">
        <f>IF($B51="","",IF(COUNTA('UX + Dev'!X51)=0,"",'UX + Dev'!X51))</f>
      </c>
      <c r="Q51" s="305">
        <f>IF($B51="","",IF(COUNTA('UX + Dev'!Y51)=0,"",'UX + Dev'!Y51))</f>
      </c>
      <c r="R51" s="307">
        <f>IF($P51="","",IF(ISNUMBER($P51),DATE(YEAR($P51),MONTH($P51),1),IFERROR(DATE(IFERROR(VALUE(RIGHT(TRIM($P51),4)),YEAR(TODAY())),(SEARCH(LEFT(TRIM($P51),3),"JanFebMarAprMayJunJulAugSepOctNovDec")+2)/3,1),"")))</f>
      </c>
      <c r="S51" s="307">
        <f>IF($Q51="","",IF(ISNUMBER($Q51),DATE(YEAR($Q51),MONTH($Q51),1),IFERROR(DATE(IFERROR(VALUE(RIGHT(TRIM($Q51),4)),YEAR(TODAY())),(SEARCH(LEFT(TRIM($Q51),3),"JanFebMarAprMayJunJulAugSepOctNovDec")+2)/3,1),"")))</f>
      </c>
      <c r="T51" s="305">
        <f>IF($B51="","",COUNTA('UX + Dev'!$AB51:$DN51))</f>
      </c>
      <c r="U51" s="305">
        <f>IF($B51="","",IFERROR(MATCH($D51,Control!$E$4:$E$30,0)+3,0))</f>
      </c>
      <c r="V51" s="305">
        <f>IF($B51="","",IF(AND(OR('Roadmap (Auto)'!$A$3="",'Roadmap (Auto)'!$A$3="(All)",ISNUMBER(SEARCH('Roadmap (Auto)'!$A$3,$C51&amp;""))),OR('Roadmap (Auto)'!$B$3="",'Roadmap (Auto)'!$B$3="(All)",$D51='Roadmap (Auto)'!$B$3,$X51='Roadmap (Auto)'!$B$3),OR('Roadmap (Auto)'!$C$3="",'Roadmap (Auto)'!$C$3="(All)",$F51='Roadmap (Auto)'!$C$3)),1,0))</f>
      </c>
      <c r="W51" s="305">
        <f>IF($B51="","",COUNTIF($Y$2:$Y$151,"&lt;"&amp;$Y51)+1)</f>
      </c>
      <c r="X51" s="305">
        <f>IF($B51="","",IF(TRIM('UX + Dev'!D51)="","",TRIM('UX + Dev'!D51)))</f>
      </c>
      <c r="Y51" s="305">
        <f>IF($B51="","",SUBSTITUTE(SUBSTITUTE(SUBSTITUTE(SUBSTITUTE(SUBSTITUTE(SUBSTITUTE(SUBSTITUTE(SUBSTITUTE(SUBSTITUTE(SUBSTITUTE(SUBSTITUTE(SUBSTITUTE(SUBSTITUTE(SUBSTITUTE(SUBSTITUTE(SUBSTITUTE(SUBSTITUTE(SUBSTITUTE(SUBSTITUTE(SUBSTITUTE(SUBSTITUTE(SUBSTITUTE(SUBSTITUTE(SUBSTITUTE(SUBSTITUTE(UPPER($B51)," ",""),"-",""),":",""),"/",""),"&amp;",""),"|",""),"'",""),"’",""),"&lt;",""),"&gt;",""),",",""),"$",""),".",""),"(",""),")",""),"*",""),"?",""),"~",""),"_",""),"+",""),"#",""),";",""),"!",""),"%",""),"@",""))</f>
      </c>
      <c r="AA51">
        <f>IF($B51="",0,COUNTIFS('UX + Dev'!$AB$1:$DN$1,"&gt;="&amp;AA$1,'UX + Dev'!$AB$1:$DN$1,"&lt;="&amp;EOMONTH(AA$1,0),'UX + Dev'!$AB51:$DN51,"&lt;&gt;"))</f>
      </c>
      <c r="AB51">
        <f>IF($B51="",0,COUNTIFS('UX + Dev'!$AB$1:$DN$1,"&gt;="&amp;AB$1,'UX + Dev'!$AB$1:$DN$1,"&lt;="&amp;EOMONTH(AB$1,0),'UX + Dev'!$AB51:$DN51,"&lt;&gt;"))</f>
      </c>
      <c r="AC51">
        <f>IF($B51="",0,COUNTIFS('UX + Dev'!$AB$1:$DN$1,"&gt;="&amp;AC$1,'UX + Dev'!$AB$1:$DN$1,"&lt;="&amp;EOMONTH(AC$1,0),'UX + Dev'!$AB51:$DN51,"&lt;&gt;"))</f>
      </c>
      <c r="AD51">
        <f>IF($B51="",0,COUNTIFS('UX + Dev'!$AB$1:$DN$1,"&gt;="&amp;AD$1,'UX + Dev'!$AB$1:$DN$1,"&lt;="&amp;EOMONTH(AD$1,0),'UX + Dev'!$AB51:$DN51,"&lt;&gt;"))</f>
      </c>
      <c r="AE51">
        <f>IF($B51="",0,COUNTIFS('UX + Dev'!$AB$1:$DN$1,"&gt;="&amp;AE$1,'UX + Dev'!$AB$1:$DN$1,"&lt;="&amp;EOMONTH(AE$1,0),'UX + Dev'!$AB51:$DN51,"&lt;&gt;"))</f>
      </c>
      <c r="AF51">
        <f>IF($B51="",0,COUNTIFS('UX + Dev'!$AB$1:$DN$1,"&gt;="&amp;AF$1,'UX + Dev'!$AB$1:$DN$1,"&lt;="&amp;EOMONTH(AF$1,0),'UX + Dev'!$AB51:$DN51,"&lt;&gt;"))</f>
      </c>
      <c r="AG51">
        <f>IF($B51="",0,COUNTIFS('UX + Dev'!$AB$1:$DN$1,"&gt;="&amp;AG$1,'UX + Dev'!$AB$1:$DN$1,"&lt;="&amp;EOMONTH(AG$1,0),'UX + Dev'!$AB51:$DN51,"&lt;&gt;"))</f>
      </c>
      <c r="AH51">
        <f>IF($B51="",0,COUNTIFS('UX + Dev'!$AB$1:$DN$1,"&gt;="&amp;AH$1,'UX + Dev'!$AB$1:$DN$1,"&lt;="&amp;EOMONTH(AH$1,0),'UX + Dev'!$AB51:$DN51,"&lt;&gt;"))</f>
      </c>
      <c r="AI51">
        <f>IF($B51="",0,COUNTIFS('UX + Dev'!$AB$1:$DN$1,"&gt;="&amp;AI$1,'UX + Dev'!$AB$1:$DN$1,"&lt;="&amp;EOMONTH(AI$1,0),'UX + Dev'!$AB51:$DN51,"&lt;&gt;"))</f>
      </c>
      <c r="AJ51">
        <f>IF($B51="",0,COUNTIFS('UX + Dev'!$AB$1:$DN$1,"&gt;="&amp;AJ$1,'UX + Dev'!$AB$1:$DN$1,"&lt;="&amp;EOMONTH(AJ$1,0),'UX + Dev'!$AB51:$DN51,"&lt;&gt;"))</f>
      </c>
      <c r="AK51">
        <f>IF($B51="",0,COUNTIFS('UX + Dev'!$AB$1:$DN$1,"&gt;="&amp;AK$1,'UX + Dev'!$AB$1:$DN$1,"&lt;="&amp;EOMONTH(AK$1,0),'UX + Dev'!$AB51:$DN51,"&lt;&gt;"))</f>
      </c>
      <c r="AL51">
        <f>IF($B51="",0,COUNTIFS('UX + Dev'!$AB$1:$DN$1,"&gt;="&amp;AL$1,'UX + Dev'!$AB$1:$DN$1,"&lt;="&amp;EOMONTH(AL$1,0),'UX + Dev'!$AB51:$DN51,"&lt;&gt;"))</f>
      </c>
      <c r="AM51">
        <f>IF($B51="",0,COUNTIFS('UX + Dev'!$AB$1:$DN$1,"&gt;="&amp;AM$1,'UX + Dev'!$AB$1:$DN$1,"&lt;="&amp;EOMONTH(AM$1,0),'UX + Dev'!$AB51:$DN51,"&lt;&gt;"))</f>
      </c>
      <c r="AN51">
        <f>IF($B51="",0,COUNTIFS('UX + Dev'!$AB$1:$DN$1,"&gt;="&amp;AN$1,'UX + Dev'!$AB$1:$DN$1,"&lt;="&amp;EOMONTH(AN$1,0),'UX + Dev'!$AB51:$DN51,"&lt;&gt;"))</f>
      </c>
      <c r="AO51">
        <f>IF($B51="",0,COUNTIFS('UX + Dev'!$AB$1:$DN$1,"&gt;="&amp;AO$1,'UX + Dev'!$AB$1:$DN$1,"&lt;="&amp;EOMONTH(AO$1,0),'UX + Dev'!$AB51:$DN51,"&lt;&gt;"))</f>
      </c>
      <c r="AP51">
        <f>IF($B51="",0,COUNTIFS('UX + Dev'!$AB$1:$DN$1,"&gt;="&amp;AP$1,'UX + Dev'!$AB$1:$DN$1,"&lt;="&amp;EOMONTH(AP$1,0),'UX + Dev'!$AB51:$DN51,"&lt;&gt;"))</f>
      </c>
      <c r="AQ51">
        <f>IF($B51="",0,COUNTIFS('UX + Dev'!$AB$1:$DN$1,"&gt;="&amp;AQ$1,'UX + Dev'!$AB$1:$DN$1,"&lt;="&amp;EOMONTH(AQ$1,0),'UX + Dev'!$AB51:$DN51,"&lt;&gt;"))</f>
      </c>
      <c r="AR51">
        <f>IF($B51="",0,COUNTIFS('UX + Dev'!$AB$1:$DN$1,"&gt;="&amp;AR$1,'UX + Dev'!$AB$1:$DN$1,"&lt;="&amp;EOMONTH(AR$1,0),'UX + Dev'!$AB51:$DN51,"&lt;&gt;"))</f>
      </c>
      <c r="AS51">
        <f>IF($B51="",0,COUNTIFS('UX + Dev'!$AB$1:$DN$1,"&gt;="&amp;AS$1,'UX + Dev'!$AB$1:$DN$1,"&lt;="&amp;EOMONTH(AS$1,0),'UX + Dev'!$AB51:$DN51,"&lt;&gt;"))</f>
      </c>
      <c r="AT51">
        <f>IF($B51="",0,COUNTIFS('UX + Dev'!$AB$1:$DN$1,"&gt;="&amp;AT$1,'UX + Dev'!$AB$1:$DN$1,"&lt;="&amp;EOMONTH(AT$1,0),'UX + Dev'!$AB51:$DN51,"&lt;&gt;"))</f>
      </c>
      <c r="AU51">
        <f>IF($B51="",0,COUNTIFS('UX + Dev'!$AB$1:$DN$1,"&gt;="&amp;AU$1,'UX + Dev'!$AB$1:$DN$1,"&lt;="&amp;EOMONTH(AU$1,0),'UX + Dev'!$AB51:$DN51,"&lt;&gt;"))</f>
      </c>
      <c r="AV51">
        <f>IF($B51="",0,COUNTIFS('UX + Dev'!$AB$1:$DN$1,"&gt;="&amp;AV$1,'UX + Dev'!$AB$1:$DN$1,"&lt;="&amp;EOMONTH(AV$1,0),'UX + Dev'!$AB51:$DN51,"&lt;&gt;"))</f>
      </c>
      <c r="AW51">
        <f>IF($B51="",0,COUNTIFS('UX + Dev'!$AB$1:$DN$1,"&gt;="&amp;AW$1,'UX + Dev'!$AB$1:$DN$1,"&lt;="&amp;EOMONTH(AW$1,0),'UX + Dev'!$AB51:$DN51,"&lt;&gt;"))</f>
      </c>
      <c r="AX51">
        <f>IF($B51="",0,COUNTIFS('UX + Dev'!$AB$1:$DN$1,"&gt;="&amp;AX$1,'UX + Dev'!$AB$1:$DN$1,"&lt;="&amp;EOMONTH(AX$1,0),'UX + Dev'!$AB51:$DN51,"&lt;&gt;"))</f>
      </c>
      <c r="BB51" s="308">
        <f>IF($B51="","",IF(COUNTA('UX + Dev'!U51)&gt;0,DATE(YEAR('UX + Dev'!U51),MONTH('UX + Dev'!U51),1),IF(COUNTA('UX + Dev'!V51)&gt;0,DATE(YEAR('UX + Dev'!V51),MONTH('UX + Dev'!V51),1),"")))</f>
      </c>
      <c r="BC51" s="308">
        <f>IF($B51="","",IF(COUNTA('UX + Dev'!V51)&gt;0,EOMONTH('UX + Dev'!V51,0),IF(COUNTA('UX + Dev'!U51)&gt;0,EOMONTH('UX + Dev'!U51,0),"")))</f>
      </c>
    </row>
    <row r="52">
      <c r="A52" s="305" t="n">
        <v>52</v>
      </c>
      <c r="B52" s="305">
        <f>IF(TRIM('UX + Dev'!E52)="","",TRIM('UX + Dev'!E52))</f>
      </c>
      <c r="C52" s="305">
        <f>IF($B52="","",'UX + Dev'!B52)</f>
      </c>
      <c r="D52" s="305">
        <f>IF($B52="","",IF(TRIM('UX + Dev'!C52)="","(No theme assigned)",TRIM('UX + Dev'!C52)))</f>
      </c>
      <c r="E52" s="305">
        <f>IF($B52="","",TRIM('UX + Dev'!F52))</f>
      </c>
      <c r="F52" s="305">
        <f>IF($B52="","",'UX + Dev'!G52)</f>
      </c>
      <c r="G52" s="306">
        <f t="array" ref="G52">IF($B52="","",IF($T52=0,"",IFERROR(MIN(IF('UX + Dev'!$AB52:$DN52&lt;&gt;"",'UX + Dev'!$AB$1:$DN$1)),"")))</f>
      </c>
      <c r="H52" s="306">
        <f t="array" ref="H52">IF($B52="","",IF($T52=0,"",IFERROR(MAX(IF('UX + Dev'!$AB52:$DN52&lt;&gt;"",'UX + Dev'!$AB$1:$DN$1)),"")))</f>
      </c>
      <c r="I52" s="307">
        <f>IF($R52&lt;&gt;"",$R52,IF($S52&lt;&gt;"",$S52,""))</f>
      </c>
      <c r="J52" s="307">
        <f>IF($S52&lt;&gt;"",EOMONTH($S52,0),IF($R52&lt;&gt;"",EOMONTH($R52,0),""))</f>
      </c>
      <c r="K52" s="305">
        <f>IF($B52="","",IF(COUNTA('UX + Dev'!AA52)=0,"",TRIM('UX + Dev'!AA52)))</f>
      </c>
      <c r="L52" s="305">
        <f>IF($B52="","",IFERROR(MATCH($D52,Control!$E$4:$E$30,0),99))</f>
      </c>
      <c r="M52" s="305">
        <f>IF($B52="","",IFERROR(MATCH($F52,Control!$B$4:$B$30,0),99))</f>
      </c>
      <c r="N52" s="305">
        <f>IF($V52&lt;&gt;1,"",IF('Roadmap (Auto)'!$D$3="Status, then Theme",$M52*1000000+$L52*10000+ROW(),IF('Roadmap (Auto)'!$D$3="Dev start (earliest)",IF($I52="",99999999,$I52)*10000+ROW(),IF('Roadmap (Auto)'!$D$3="UX start (earliest)",IF($G52="",99999999,$G52)*10000+ROW(),IF('Roadmap (Auto)'!$D$3="Deliverable A-Z",$W52*10000+ROW(),$L52*1000000+$M52*10000+ROW())))))</f>
      </c>
      <c r="O52" s="305">
        <f>IF($N52="","",COUNTIF($N$2:$N$151,"&lt;"&amp;$N52)+1)</f>
      </c>
      <c r="P52" s="305">
        <f>IF($B52="","",IF(COUNTA('UX + Dev'!X52)=0,"",'UX + Dev'!X52))</f>
      </c>
      <c r="Q52" s="305">
        <f>IF($B52="","",IF(COUNTA('UX + Dev'!Y52)=0,"",'UX + Dev'!Y52))</f>
      </c>
      <c r="R52" s="307">
        <f>IF($P52="","",IF(ISNUMBER($P52),DATE(YEAR($P52),MONTH($P52),1),IFERROR(DATE(IFERROR(VALUE(RIGHT(TRIM($P52),4)),YEAR(TODAY())),(SEARCH(LEFT(TRIM($P52),3),"JanFebMarAprMayJunJulAugSepOctNovDec")+2)/3,1),"")))</f>
      </c>
      <c r="S52" s="307">
        <f>IF($Q52="","",IF(ISNUMBER($Q52),DATE(YEAR($Q52),MONTH($Q52),1),IFERROR(DATE(IFERROR(VALUE(RIGHT(TRIM($Q52),4)),YEAR(TODAY())),(SEARCH(LEFT(TRIM($Q52),3),"JanFebMarAprMayJunJulAugSepOctNovDec")+2)/3,1),"")))</f>
      </c>
      <c r="T52" s="305">
        <f>IF($B52="","",COUNTA('UX + Dev'!$AB52:$DN52))</f>
      </c>
      <c r="U52" s="305">
        <f>IF($B52="","",IFERROR(MATCH($D52,Control!$E$4:$E$30,0)+3,0))</f>
      </c>
      <c r="V52" s="305">
        <f>IF($B52="","",IF(AND(OR('Roadmap (Auto)'!$A$3="",'Roadmap (Auto)'!$A$3="(All)",ISNUMBER(SEARCH('Roadmap (Auto)'!$A$3,$C52&amp;""))),OR('Roadmap (Auto)'!$B$3="",'Roadmap (Auto)'!$B$3="(All)",$D52='Roadmap (Auto)'!$B$3,$X52='Roadmap (Auto)'!$B$3),OR('Roadmap (Auto)'!$C$3="",'Roadmap (Auto)'!$C$3="(All)",$F52='Roadmap (Auto)'!$C$3)),1,0))</f>
      </c>
      <c r="W52" s="305">
        <f>IF($B52="","",COUNTIF($Y$2:$Y$151,"&lt;"&amp;$Y52)+1)</f>
      </c>
      <c r="X52" s="305">
        <f>IF($B52="","",IF(TRIM('UX + Dev'!D52)="","",TRIM('UX + Dev'!D52)))</f>
      </c>
      <c r="Y52" s="305">
        <f>IF($B52="","",SUBSTITUTE(SUBSTITUTE(SUBSTITUTE(SUBSTITUTE(SUBSTITUTE(SUBSTITUTE(SUBSTITUTE(SUBSTITUTE(SUBSTITUTE(SUBSTITUTE(SUBSTITUTE(SUBSTITUTE(SUBSTITUTE(SUBSTITUTE(SUBSTITUTE(SUBSTITUTE(SUBSTITUTE(SUBSTITUTE(SUBSTITUTE(SUBSTITUTE(SUBSTITUTE(SUBSTITUTE(SUBSTITUTE(SUBSTITUTE(SUBSTITUTE(UPPER($B52)," ",""),"-",""),":",""),"/",""),"&amp;",""),"|",""),"'",""),"’",""),"&lt;",""),"&gt;",""),",",""),"$",""),".",""),"(",""),")",""),"*",""),"?",""),"~",""),"_",""),"+",""),"#",""),";",""),"!",""),"%",""),"@",""))</f>
      </c>
      <c r="AA52">
        <f>IF($B52="",0,COUNTIFS('UX + Dev'!$AB$1:$DN$1,"&gt;="&amp;AA$1,'UX + Dev'!$AB$1:$DN$1,"&lt;="&amp;EOMONTH(AA$1,0),'UX + Dev'!$AB52:$DN52,"&lt;&gt;"))</f>
      </c>
      <c r="AB52">
        <f>IF($B52="",0,COUNTIFS('UX + Dev'!$AB$1:$DN$1,"&gt;="&amp;AB$1,'UX + Dev'!$AB$1:$DN$1,"&lt;="&amp;EOMONTH(AB$1,0),'UX + Dev'!$AB52:$DN52,"&lt;&gt;"))</f>
      </c>
      <c r="AC52">
        <f>IF($B52="",0,COUNTIFS('UX + Dev'!$AB$1:$DN$1,"&gt;="&amp;AC$1,'UX + Dev'!$AB$1:$DN$1,"&lt;="&amp;EOMONTH(AC$1,0),'UX + Dev'!$AB52:$DN52,"&lt;&gt;"))</f>
      </c>
      <c r="AD52">
        <f>IF($B52="",0,COUNTIFS('UX + Dev'!$AB$1:$DN$1,"&gt;="&amp;AD$1,'UX + Dev'!$AB$1:$DN$1,"&lt;="&amp;EOMONTH(AD$1,0),'UX + Dev'!$AB52:$DN52,"&lt;&gt;"))</f>
      </c>
      <c r="AE52">
        <f>IF($B52="",0,COUNTIFS('UX + Dev'!$AB$1:$DN$1,"&gt;="&amp;AE$1,'UX + Dev'!$AB$1:$DN$1,"&lt;="&amp;EOMONTH(AE$1,0),'UX + Dev'!$AB52:$DN52,"&lt;&gt;"))</f>
      </c>
      <c r="AF52">
        <f>IF($B52="",0,COUNTIFS('UX + Dev'!$AB$1:$DN$1,"&gt;="&amp;AF$1,'UX + Dev'!$AB$1:$DN$1,"&lt;="&amp;EOMONTH(AF$1,0),'UX + Dev'!$AB52:$DN52,"&lt;&gt;"))</f>
      </c>
      <c r="AG52">
        <f>IF($B52="",0,COUNTIFS('UX + Dev'!$AB$1:$DN$1,"&gt;="&amp;AG$1,'UX + Dev'!$AB$1:$DN$1,"&lt;="&amp;EOMONTH(AG$1,0),'UX + Dev'!$AB52:$DN52,"&lt;&gt;"))</f>
      </c>
      <c r="AH52">
        <f>IF($B52="",0,COUNTIFS('UX + Dev'!$AB$1:$DN$1,"&gt;="&amp;AH$1,'UX + Dev'!$AB$1:$DN$1,"&lt;="&amp;EOMONTH(AH$1,0),'UX + Dev'!$AB52:$DN52,"&lt;&gt;"))</f>
      </c>
      <c r="AI52">
        <f>IF($B52="",0,COUNTIFS('UX + Dev'!$AB$1:$DN$1,"&gt;="&amp;AI$1,'UX + Dev'!$AB$1:$DN$1,"&lt;="&amp;EOMONTH(AI$1,0),'UX + Dev'!$AB52:$DN52,"&lt;&gt;"))</f>
      </c>
      <c r="AJ52">
        <f>IF($B52="",0,COUNTIFS('UX + Dev'!$AB$1:$DN$1,"&gt;="&amp;AJ$1,'UX + Dev'!$AB$1:$DN$1,"&lt;="&amp;EOMONTH(AJ$1,0),'UX + Dev'!$AB52:$DN52,"&lt;&gt;"))</f>
      </c>
      <c r="AK52">
        <f>IF($B52="",0,COUNTIFS('UX + Dev'!$AB$1:$DN$1,"&gt;="&amp;AK$1,'UX + Dev'!$AB$1:$DN$1,"&lt;="&amp;EOMONTH(AK$1,0),'UX + Dev'!$AB52:$DN52,"&lt;&gt;"))</f>
      </c>
      <c r="AL52">
        <f>IF($B52="",0,COUNTIFS('UX + Dev'!$AB$1:$DN$1,"&gt;="&amp;AL$1,'UX + Dev'!$AB$1:$DN$1,"&lt;="&amp;EOMONTH(AL$1,0),'UX + Dev'!$AB52:$DN52,"&lt;&gt;"))</f>
      </c>
      <c r="AM52">
        <f>IF($B52="",0,COUNTIFS('UX + Dev'!$AB$1:$DN$1,"&gt;="&amp;AM$1,'UX + Dev'!$AB$1:$DN$1,"&lt;="&amp;EOMONTH(AM$1,0),'UX + Dev'!$AB52:$DN52,"&lt;&gt;"))</f>
      </c>
      <c r="AN52">
        <f>IF($B52="",0,COUNTIFS('UX + Dev'!$AB$1:$DN$1,"&gt;="&amp;AN$1,'UX + Dev'!$AB$1:$DN$1,"&lt;="&amp;EOMONTH(AN$1,0),'UX + Dev'!$AB52:$DN52,"&lt;&gt;"))</f>
      </c>
      <c r="AO52">
        <f>IF($B52="",0,COUNTIFS('UX + Dev'!$AB$1:$DN$1,"&gt;="&amp;AO$1,'UX + Dev'!$AB$1:$DN$1,"&lt;="&amp;EOMONTH(AO$1,0),'UX + Dev'!$AB52:$DN52,"&lt;&gt;"))</f>
      </c>
      <c r="AP52">
        <f>IF($B52="",0,COUNTIFS('UX + Dev'!$AB$1:$DN$1,"&gt;="&amp;AP$1,'UX + Dev'!$AB$1:$DN$1,"&lt;="&amp;EOMONTH(AP$1,0),'UX + Dev'!$AB52:$DN52,"&lt;&gt;"))</f>
      </c>
      <c r="AQ52">
        <f>IF($B52="",0,COUNTIFS('UX + Dev'!$AB$1:$DN$1,"&gt;="&amp;AQ$1,'UX + Dev'!$AB$1:$DN$1,"&lt;="&amp;EOMONTH(AQ$1,0),'UX + Dev'!$AB52:$DN52,"&lt;&gt;"))</f>
      </c>
      <c r="AR52">
        <f>IF($B52="",0,COUNTIFS('UX + Dev'!$AB$1:$DN$1,"&gt;="&amp;AR$1,'UX + Dev'!$AB$1:$DN$1,"&lt;="&amp;EOMONTH(AR$1,0),'UX + Dev'!$AB52:$DN52,"&lt;&gt;"))</f>
      </c>
      <c r="AS52">
        <f>IF($B52="",0,COUNTIFS('UX + Dev'!$AB$1:$DN$1,"&gt;="&amp;AS$1,'UX + Dev'!$AB$1:$DN$1,"&lt;="&amp;EOMONTH(AS$1,0),'UX + Dev'!$AB52:$DN52,"&lt;&gt;"))</f>
      </c>
      <c r="AT52">
        <f>IF($B52="",0,COUNTIFS('UX + Dev'!$AB$1:$DN$1,"&gt;="&amp;AT$1,'UX + Dev'!$AB$1:$DN$1,"&lt;="&amp;EOMONTH(AT$1,0),'UX + Dev'!$AB52:$DN52,"&lt;&gt;"))</f>
      </c>
      <c r="AU52">
        <f>IF($B52="",0,COUNTIFS('UX + Dev'!$AB$1:$DN$1,"&gt;="&amp;AU$1,'UX + Dev'!$AB$1:$DN$1,"&lt;="&amp;EOMONTH(AU$1,0),'UX + Dev'!$AB52:$DN52,"&lt;&gt;"))</f>
      </c>
      <c r="AV52">
        <f>IF($B52="",0,COUNTIFS('UX + Dev'!$AB$1:$DN$1,"&gt;="&amp;AV$1,'UX + Dev'!$AB$1:$DN$1,"&lt;="&amp;EOMONTH(AV$1,0),'UX + Dev'!$AB52:$DN52,"&lt;&gt;"))</f>
      </c>
      <c r="AW52">
        <f>IF($B52="",0,COUNTIFS('UX + Dev'!$AB$1:$DN$1,"&gt;="&amp;AW$1,'UX + Dev'!$AB$1:$DN$1,"&lt;="&amp;EOMONTH(AW$1,0),'UX + Dev'!$AB52:$DN52,"&lt;&gt;"))</f>
      </c>
      <c r="AX52">
        <f>IF($B52="",0,COUNTIFS('UX + Dev'!$AB$1:$DN$1,"&gt;="&amp;AX$1,'UX + Dev'!$AB$1:$DN$1,"&lt;="&amp;EOMONTH(AX$1,0),'UX + Dev'!$AB52:$DN52,"&lt;&gt;"))</f>
      </c>
      <c r="BB52" s="308">
        <f>IF($B52="","",IF(COUNTA('UX + Dev'!U52)&gt;0,DATE(YEAR('UX + Dev'!U52),MONTH('UX + Dev'!U52),1),IF(COUNTA('UX + Dev'!V52)&gt;0,DATE(YEAR('UX + Dev'!V52),MONTH('UX + Dev'!V52),1),"")))</f>
      </c>
      <c r="BC52" s="308">
        <f>IF($B52="","",IF(COUNTA('UX + Dev'!V52)&gt;0,EOMONTH('UX + Dev'!V52,0),IF(COUNTA('UX + Dev'!U52)&gt;0,EOMONTH('UX + Dev'!U52,0),"")))</f>
      </c>
    </row>
    <row r="53">
      <c r="A53" s="305" t="n">
        <v>53</v>
      </c>
      <c r="B53" s="305">
        <f>IF(TRIM('UX + Dev'!E53)="","",TRIM('UX + Dev'!E53))</f>
      </c>
      <c r="C53" s="305">
        <f>IF($B53="","",'UX + Dev'!B53)</f>
      </c>
      <c r="D53" s="305">
        <f>IF($B53="","",IF(TRIM('UX + Dev'!C53)="","(No theme assigned)",TRIM('UX + Dev'!C53)))</f>
      </c>
      <c r="E53" s="305">
        <f>IF($B53="","",TRIM('UX + Dev'!F53))</f>
      </c>
      <c r="F53" s="305">
        <f>IF($B53="","",'UX + Dev'!G53)</f>
      </c>
      <c r="G53" s="306">
        <f t="array" ref="G53">IF($B53="","",IF($T53=0,"",IFERROR(MIN(IF('UX + Dev'!$AB53:$DN53&lt;&gt;"",'UX + Dev'!$AB$1:$DN$1)),"")))</f>
      </c>
      <c r="H53" s="306">
        <f t="array" ref="H53">IF($B53="","",IF($T53=0,"",IFERROR(MAX(IF('UX + Dev'!$AB53:$DN53&lt;&gt;"",'UX + Dev'!$AB$1:$DN$1)),"")))</f>
      </c>
      <c r="I53" s="307">
        <f>IF($R53&lt;&gt;"",$R53,IF($S53&lt;&gt;"",$S53,""))</f>
      </c>
      <c r="J53" s="307">
        <f>IF($S53&lt;&gt;"",EOMONTH($S53,0),IF($R53&lt;&gt;"",EOMONTH($R53,0),""))</f>
      </c>
      <c r="K53" s="305">
        <f>IF($B53="","",IF(COUNTA('UX + Dev'!AA53)=0,"",TRIM('UX + Dev'!AA53)))</f>
      </c>
      <c r="L53" s="305">
        <f>IF($B53="","",IFERROR(MATCH($D53,Control!$E$4:$E$30,0),99))</f>
      </c>
      <c r="M53" s="305">
        <f>IF($B53="","",IFERROR(MATCH($F53,Control!$B$4:$B$30,0),99))</f>
      </c>
      <c r="N53" s="305">
        <f>IF($V53&lt;&gt;1,"",IF('Roadmap (Auto)'!$D$3="Status, then Theme",$M53*1000000+$L53*10000+ROW(),IF('Roadmap (Auto)'!$D$3="Dev start (earliest)",IF($I53="",99999999,$I53)*10000+ROW(),IF('Roadmap (Auto)'!$D$3="UX start (earliest)",IF($G53="",99999999,$G53)*10000+ROW(),IF('Roadmap (Auto)'!$D$3="Deliverable A-Z",$W53*10000+ROW(),$L53*1000000+$M53*10000+ROW())))))</f>
      </c>
      <c r="O53" s="305">
        <f>IF($N53="","",COUNTIF($N$2:$N$151,"&lt;"&amp;$N53)+1)</f>
      </c>
      <c r="P53" s="305">
        <f>IF($B53="","",IF(COUNTA('UX + Dev'!X53)=0,"",'UX + Dev'!X53))</f>
      </c>
      <c r="Q53" s="305">
        <f>IF($B53="","",IF(COUNTA('UX + Dev'!Y53)=0,"",'UX + Dev'!Y53))</f>
      </c>
      <c r="R53" s="307">
        <f>IF($P53="","",IF(ISNUMBER($P53),DATE(YEAR($P53),MONTH($P53),1),IFERROR(DATE(IFERROR(VALUE(RIGHT(TRIM($P53),4)),YEAR(TODAY())),(SEARCH(LEFT(TRIM($P53),3),"JanFebMarAprMayJunJulAugSepOctNovDec")+2)/3,1),"")))</f>
      </c>
      <c r="S53" s="307">
        <f>IF($Q53="","",IF(ISNUMBER($Q53),DATE(YEAR($Q53),MONTH($Q53),1),IFERROR(DATE(IFERROR(VALUE(RIGHT(TRIM($Q53),4)),YEAR(TODAY())),(SEARCH(LEFT(TRIM($Q53),3),"JanFebMarAprMayJunJulAugSepOctNovDec")+2)/3,1),"")))</f>
      </c>
      <c r="T53" s="305">
        <f>IF($B53="","",COUNTA('UX + Dev'!$AB53:$DN53))</f>
      </c>
      <c r="U53" s="305">
        <f>IF($B53="","",IFERROR(MATCH($D53,Control!$E$4:$E$30,0)+3,0))</f>
      </c>
      <c r="V53" s="305">
        <f>IF($B53="","",IF(AND(OR('Roadmap (Auto)'!$A$3="",'Roadmap (Auto)'!$A$3="(All)",ISNUMBER(SEARCH('Roadmap (Auto)'!$A$3,$C53&amp;""))),OR('Roadmap (Auto)'!$B$3="",'Roadmap (Auto)'!$B$3="(All)",$D53='Roadmap (Auto)'!$B$3,$X53='Roadmap (Auto)'!$B$3),OR('Roadmap (Auto)'!$C$3="",'Roadmap (Auto)'!$C$3="(All)",$F53='Roadmap (Auto)'!$C$3)),1,0))</f>
      </c>
      <c r="W53" s="305">
        <f>IF($B53="","",COUNTIF($Y$2:$Y$151,"&lt;"&amp;$Y53)+1)</f>
      </c>
      <c r="X53" s="305">
        <f>IF($B53="","",IF(TRIM('UX + Dev'!D53)="","",TRIM('UX + Dev'!D53)))</f>
      </c>
      <c r="Y53" s="305">
        <f>IF($B53="","",SUBSTITUTE(SUBSTITUTE(SUBSTITUTE(SUBSTITUTE(SUBSTITUTE(SUBSTITUTE(SUBSTITUTE(SUBSTITUTE(SUBSTITUTE(SUBSTITUTE(SUBSTITUTE(SUBSTITUTE(SUBSTITUTE(SUBSTITUTE(SUBSTITUTE(SUBSTITUTE(SUBSTITUTE(SUBSTITUTE(SUBSTITUTE(SUBSTITUTE(SUBSTITUTE(SUBSTITUTE(SUBSTITUTE(SUBSTITUTE(SUBSTITUTE(UPPER($B53)," ",""),"-",""),":",""),"/",""),"&amp;",""),"|",""),"'",""),"’",""),"&lt;",""),"&gt;",""),",",""),"$",""),".",""),"(",""),")",""),"*",""),"?",""),"~",""),"_",""),"+",""),"#",""),";",""),"!",""),"%",""),"@",""))</f>
      </c>
      <c r="AA53">
        <f>IF($B53="",0,COUNTIFS('UX + Dev'!$AB$1:$DN$1,"&gt;="&amp;AA$1,'UX + Dev'!$AB$1:$DN$1,"&lt;="&amp;EOMONTH(AA$1,0),'UX + Dev'!$AB53:$DN53,"&lt;&gt;"))</f>
      </c>
      <c r="AB53">
        <f>IF($B53="",0,COUNTIFS('UX + Dev'!$AB$1:$DN$1,"&gt;="&amp;AB$1,'UX + Dev'!$AB$1:$DN$1,"&lt;="&amp;EOMONTH(AB$1,0),'UX + Dev'!$AB53:$DN53,"&lt;&gt;"))</f>
      </c>
      <c r="AC53">
        <f>IF($B53="",0,COUNTIFS('UX + Dev'!$AB$1:$DN$1,"&gt;="&amp;AC$1,'UX + Dev'!$AB$1:$DN$1,"&lt;="&amp;EOMONTH(AC$1,0),'UX + Dev'!$AB53:$DN53,"&lt;&gt;"))</f>
      </c>
      <c r="AD53">
        <f>IF($B53="",0,COUNTIFS('UX + Dev'!$AB$1:$DN$1,"&gt;="&amp;AD$1,'UX + Dev'!$AB$1:$DN$1,"&lt;="&amp;EOMONTH(AD$1,0),'UX + Dev'!$AB53:$DN53,"&lt;&gt;"))</f>
      </c>
      <c r="AE53">
        <f>IF($B53="",0,COUNTIFS('UX + Dev'!$AB$1:$DN$1,"&gt;="&amp;AE$1,'UX + Dev'!$AB$1:$DN$1,"&lt;="&amp;EOMONTH(AE$1,0),'UX + Dev'!$AB53:$DN53,"&lt;&gt;"))</f>
      </c>
      <c r="AF53">
        <f>IF($B53="",0,COUNTIFS('UX + Dev'!$AB$1:$DN$1,"&gt;="&amp;AF$1,'UX + Dev'!$AB$1:$DN$1,"&lt;="&amp;EOMONTH(AF$1,0),'UX + Dev'!$AB53:$DN53,"&lt;&gt;"))</f>
      </c>
      <c r="AG53">
        <f>IF($B53="",0,COUNTIFS('UX + Dev'!$AB$1:$DN$1,"&gt;="&amp;AG$1,'UX + Dev'!$AB$1:$DN$1,"&lt;="&amp;EOMONTH(AG$1,0),'UX + Dev'!$AB53:$DN53,"&lt;&gt;"))</f>
      </c>
      <c r="AH53">
        <f>IF($B53="",0,COUNTIFS('UX + Dev'!$AB$1:$DN$1,"&gt;="&amp;AH$1,'UX + Dev'!$AB$1:$DN$1,"&lt;="&amp;EOMONTH(AH$1,0),'UX + Dev'!$AB53:$DN53,"&lt;&gt;"))</f>
      </c>
      <c r="AI53">
        <f>IF($B53="",0,COUNTIFS('UX + Dev'!$AB$1:$DN$1,"&gt;="&amp;AI$1,'UX + Dev'!$AB$1:$DN$1,"&lt;="&amp;EOMONTH(AI$1,0),'UX + Dev'!$AB53:$DN53,"&lt;&gt;"))</f>
      </c>
      <c r="AJ53">
        <f>IF($B53="",0,COUNTIFS('UX + Dev'!$AB$1:$DN$1,"&gt;="&amp;AJ$1,'UX + Dev'!$AB$1:$DN$1,"&lt;="&amp;EOMONTH(AJ$1,0),'UX + Dev'!$AB53:$DN53,"&lt;&gt;"))</f>
      </c>
      <c r="AK53">
        <f>IF($B53="",0,COUNTIFS('UX + Dev'!$AB$1:$DN$1,"&gt;="&amp;AK$1,'UX + Dev'!$AB$1:$DN$1,"&lt;="&amp;EOMONTH(AK$1,0),'UX + Dev'!$AB53:$DN53,"&lt;&gt;"))</f>
      </c>
      <c r="AL53">
        <f>IF($B53="",0,COUNTIFS('UX + Dev'!$AB$1:$DN$1,"&gt;="&amp;AL$1,'UX + Dev'!$AB$1:$DN$1,"&lt;="&amp;EOMONTH(AL$1,0),'UX + Dev'!$AB53:$DN53,"&lt;&gt;"))</f>
      </c>
      <c r="AM53">
        <f>IF($B53="",0,COUNTIFS('UX + Dev'!$AB$1:$DN$1,"&gt;="&amp;AM$1,'UX + Dev'!$AB$1:$DN$1,"&lt;="&amp;EOMONTH(AM$1,0),'UX + Dev'!$AB53:$DN53,"&lt;&gt;"))</f>
      </c>
      <c r="AN53">
        <f>IF($B53="",0,COUNTIFS('UX + Dev'!$AB$1:$DN$1,"&gt;="&amp;AN$1,'UX + Dev'!$AB$1:$DN$1,"&lt;="&amp;EOMONTH(AN$1,0),'UX + Dev'!$AB53:$DN53,"&lt;&gt;"))</f>
      </c>
      <c r="AO53">
        <f>IF($B53="",0,COUNTIFS('UX + Dev'!$AB$1:$DN$1,"&gt;="&amp;AO$1,'UX + Dev'!$AB$1:$DN$1,"&lt;="&amp;EOMONTH(AO$1,0),'UX + Dev'!$AB53:$DN53,"&lt;&gt;"))</f>
      </c>
      <c r="AP53">
        <f>IF($B53="",0,COUNTIFS('UX + Dev'!$AB$1:$DN$1,"&gt;="&amp;AP$1,'UX + Dev'!$AB$1:$DN$1,"&lt;="&amp;EOMONTH(AP$1,0),'UX + Dev'!$AB53:$DN53,"&lt;&gt;"))</f>
      </c>
      <c r="AQ53">
        <f>IF($B53="",0,COUNTIFS('UX + Dev'!$AB$1:$DN$1,"&gt;="&amp;AQ$1,'UX + Dev'!$AB$1:$DN$1,"&lt;="&amp;EOMONTH(AQ$1,0),'UX + Dev'!$AB53:$DN53,"&lt;&gt;"))</f>
      </c>
      <c r="AR53">
        <f>IF($B53="",0,COUNTIFS('UX + Dev'!$AB$1:$DN$1,"&gt;="&amp;AR$1,'UX + Dev'!$AB$1:$DN$1,"&lt;="&amp;EOMONTH(AR$1,0),'UX + Dev'!$AB53:$DN53,"&lt;&gt;"))</f>
      </c>
      <c r="AS53">
        <f>IF($B53="",0,COUNTIFS('UX + Dev'!$AB$1:$DN$1,"&gt;="&amp;AS$1,'UX + Dev'!$AB$1:$DN$1,"&lt;="&amp;EOMONTH(AS$1,0),'UX + Dev'!$AB53:$DN53,"&lt;&gt;"))</f>
      </c>
      <c r="AT53">
        <f>IF($B53="",0,COUNTIFS('UX + Dev'!$AB$1:$DN$1,"&gt;="&amp;AT$1,'UX + Dev'!$AB$1:$DN$1,"&lt;="&amp;EOMONTH(AT$1,0),'UX + Dev'!$AB53:$DN53,"&lt;&gt;"))</f>
      </c>
      <c r="AU53">
        <f>IF($B53="",0,COUNTIFS('UX + Dev'!$AB$1:$DN$1,"&gt;="&amp;AU$1,'UX + Dev'!$AB$1:$DN$1,"&lt;="&amp;EOMONTH(AU$1,0),'UX + Dev'!$AB53:$DN53,"&lt;&gt;"))</f>
      </c>
      <c r="AV53">
        <f>IF($B53="",0,COUNTIFS('UX + Dev'!$AB$1:$DN$1,"&gt;="&amp;AV$1,'UX + Dev'!$AB$1:$DN$1,"&lt;="&amp;EOMONTH(AV$1,0),'UX + Dev'!$AB53:$DN53,"&lt;&gt;"))</f>
      </c>
      <c r="AW53">
        <f>IF($B53="",0,COUNTIFS('UX + Dev'!$AB$1:$DN$1,"&gt;="&amp;AW$1,'UX + Dev'!$AB$1:$DN$1,"&lt;="&amp;EOMONTH(AW$1,0),'UX + Dev'!$AB53:$DN53,"&lt;&gt;"))</f>
      </c>
      <c r="AX53">
        <f>IF($B53="",0,COUNTIFS('UX + Dev'!$AB$1:$DN$1,"&gt;="&amp;AX$1,'UX + Dev'!$AB$1:$DN$1,"&lt;="&amp;EOMONTH(AX$1,0),'UX + Dev'!$AB53:$DN53,"&lt;&gt;"))</f>
      </c>
      <c r="BB53" s="308">
        <f>IF($B53="","",IF(COUNTA('UX + Dev'!U53)&gt;0,DATE(YEAR('UX + Dev'!U53),MONTH('UX + Dev'!U53),1),IF(COUNTA('UX + Dev'!V53)&gt;0,DATE(YEAR('UX + Dev'!V53),MONTH('UX + Dev'!V53),1),"")))</f>
      </c>
      <c r="BC53" s="308">
        <f>IF($B53="","",IF(COUNTA('UX + Dev'!V53)&gt;0,EOMONTH('UX + Dev'!V53,0),IF(COUNTA('UX + Dev'!U53)&gt;0,EOMONTH('UX + Dev'!U53,0),"")))</f>
      </c>
    </row>
    <row r="54">
      <c r="A54" s="305" t="n">
        <v>54</v>
      </c>
      <c r="B54" s="305">
        <f>IF(TRIM('UX + Dev'!E54)="","",TRIM('UX + Dev'!E54))</f>
      </c>
      <c r="C54" s="305">
        <f>IF($B54="","",'UX + Dev'!B54)</f>
      </c>
      <c r="D54" s="305">
        <f>IF($B54="","",IF(TRIM('UX + Dev'!C54)="","(No theme assigned)",TRIM('UX + Dev'!C54)))</f>
      </c>
      <c r="E54" s="305">
        <f>IF($B54="","",TRIM('UX + Dev'!F54))</f>
      </c>
      <c r="F54" s="305">
        <f>IF($B54="","",'UX + Dev'!G54)</f>
      </c>
      <c r="G54" s="306">
        <f t="array" ref="G54">IF($B54="","",IF($T54=0,"",IFERROR(MIN(IF('UX + Dev'!$AB54:$DN54&lt;&gt;"",'UX + Dev'!$AB$1:$DN$1)),"")))</f>
      </c>
      <c r="H54" s="306">
        <f t="array" ref="H54">IF($B54="","",IF($T54=0,"",IFERROR(MAX(IF('UX + Dev'!$AB54:$DN54&lt;&gt;"",'UX + Dev'!$AB$1:$DN$1)),"")))</f>
      </c>
      <c r="I54" s="307">
        <f>IF($R54&lt;&gt;"",$R54,IF($S54&lt;&gt;"",$S54,""))</f>
      </c>
      <c r="J54" s="307">
        <f>IF($S54&lt;&gt;"",EOMONTH($S54,0),IF($R54&lt;&gt;"",EOMONTH($R54,0),""))</f>
      </c>
      <c r="K54" s="305">
        <f>IF($B54="","",IF(COUNTA('UX + Dev'!AA54)=0,"",TRIM('UX + Dev'!AA54)))</f>
      </c>
      <c r="L54" s="305">
        <f>IF($B54="","",IFERROR(MATCH($D54,Control!$E$4:$E$30,0),99))</f>
      </c>
      <c r="M54" s="305">
        <f>IF($B54="","",IFERROR(MATCH($F54,Control!$B$4:$B$30,0),99))</f>
      </c>
      <c r="N54" s="305">
        <f>IF($V54&lt;&gt;1,"",IF('Roadmap (Auto)'!$D$3="Status, then Theme",$M54*1000000+$L54*10000+ROW(),IF('Roadmap (Auto)'!$D$3="Dev start (earliest)",IF($I54="",99999999,$I54)*10000+ROW(),IF('Roadmap (Auto)'!$D$3="UX start (earliest)",IF($G54="",99999999,$G54)*10000+ROW(),IF('Roadmap (Auto)'!$D$3="Deliverable A-Z",$W54*10000+ROW(),$L54*1000000+$M54*10000+ROW())))))</f>
      </c>
      <c r="O54" s="305">
        <f>IF($N54="","",COUNTIF($N$2:$N$151,"&lt;"&amp;$N54)+1)</f>
      </c>
      <c r="P54" s="305">
        <f>IF($B54="","",IF(COUNTA('UX + Dev'!X54)=0,"",'UX + Dev'!X54))</f>
      </c>
      <c r="Q54" s="305">
        <f>IF($B54="","",IF(COUNTA('UX + Dev'!Y54)=0,"",'UX + Dev'!Y54))</f>
      </c>
      <c r="R54" s="307">
        <f>IF($P54="","",IF(ISNUMBER($P54),DATE(YEAR($P54),MONTH($P54),1),IFERROR(DATE(IFERROR(VALUE(RIGHT(TRIM($P54),4)),YEAR(TODAY())),(SEARCH(LEFT(TRIM($P54),3),"JanFebMarAprMayJunJulAugSepOctNovDec")+2)/3,1),"")))</f>
      </c>
      <c r="S54" s="307">
        <f>IF($Q54="","",IF(ISNUMBER($Q54),DATE(YEAR($Q54),MONTH($Q54),1),IFERROR(DATE(IFERROR(VALUE(RIGHT(TRIM($Q54),4)),YEAR(TODAY())),(SEARCH(LEFT(TRIM($Q54),3),"JanFebMarAprMayJunJulAugSepOctNovDec")+2)/3,1),"")))</f>
      </c>
      <c r="T54" s="305">
        <f>IF($B54="","",COUNTA('UX + Dev'!$AB54:$DN54))</f>
      </c>
      <c r="U54" s="305">
        <f>IF($B54="","",IFERROR(MATCH($D54,Control!$E$4:$E$30,0)+3,0))</f>
      </c>
      <c r="V54" s="305">
        <f>IF($B54="","",IF(AND(OR('Roadmap (Auto)'!$A$3="",'Roadmap (Auto)'!$A$3="(All)",ISNUMBER(SEARCH('Roadmap (Auto)'!$A$3,$C54&amp;""))),OR('Roadmap (Auto)'!$B$3="",'Roadmap (Auto)'!$B$3="(All)",$D54='Roadmap (Auto)'!$B$3,$X54='Roadmap (Auto)'!$B$3),OR('Roadmap (Auto)'!$C$3="",'Roadmap (Auto)'!$C$3="(All)",$F54='Roadmap (Auto)'!$C$3)),1,0))</f>
      </c>
      <c r="W54" s="305">
        <f>IF($B54="","",COUNTIF($Y$2:$Y$151,"&lt;"&amp;$Y54)+1)</f>
      </c>
      <c r="X54" s="305">
        <f>IF($B54="","",IF(TRIM('UX + Dev'!D54)="","",TRIM('UX + Dev'!D54)))</f>
      </c>
      <c r="Y54" s="305">
        <f>IF($B54="","",SUBSTITUTE(SUBSTITUTE(SUBSTITUTE(SUBSTITUTE(SUBSTITUTE(SUBSTITUTE(SUBSTITUTE(SUBSTITUTE(SUBSTITUTE(SUBSTITUTE(SUBSTITUTE(SUBSTITUTE(SUBSTITUTE(SUBSTITUTE(SUBSTITUTE(SUBSTITUTE(SUBSTITUTE(SUBSTITUTE(SUBSTITUTE(SUBSTITUTE(SUBSTITUTE(SUBSTITUTE(SUBSTITUTE(SUBSTITUTE(SUBSTITUTE(UPPER($B54)," ",""),"-",""),":",""),"/",""),"&amp;",""),"|",""),"'",""),"’",""),"&lt;",""),"&gt;",""),",",""),"$",""),".",""),"(",""),")",""),"*",""),"?",""),"~",""),"_",""),"+",""),"#",""),";",""),"!",""),"%",""),"@",""))</f>
      </c>
      <c r="AA54">
        <f>IF($B54="",0,COUNTIFS('UX + Dev'!$AB$1:$DN$1,"&gt;="&amp;AA$1,'UX + Dev'!$AB$1:$DN$1,"&lt;="&amp;EOMONTH(AA$1,0),'UX + Dev'!$AB54:$DN54,"&lt;&gt;"))</f>
      </c>
      <c r="AB54">
        <f>IF($B54="",0,COUNTIFS('UX + Dev'!$AB$1:$DN$1,"&gt;="&amp;AB$1,'UX + Dev'!$AB$1:$DN$1,"&lt;="&amp;EOMONTH(AB$1,0),'UX + Dev'!$AB54:$DN54,"&lt;&gt;"))</f>
      </c>
      <c r="AC54">
        <f>IF($B54="",0,COUNTIFS('UX + Dev'!$AB$1:$DN$1,"&gt;="&amp;AC$1,'UX + Dev'!$AB$1:$DN$1,"&lt;="&amp;EOMONTH(AC$1,0),'UX + Dev'!$AB54:$DN54,"&lt;&gt;"))</f>
      </c>
      <c r="AD54">
        <f>IF($B54="",0,COUNTIFS('UX + Dev'!$AB$1:$DN$1,"&gt;="&amp;AD$1,'UX + Dev'!$AB$1:$DN$1,"&lt;="&amp;EOMONTH(AD$1,0),'UX + Dev'!$AB54:$DN54,"&lt;&gt;"))</f>
      </c>
      <c r="AE54">
        <f>IF($B54="",0,COUNTIFS('UX + Dev'!$AB$1:$DN$1,"&gt;="&amp;AE$1,'UX + Dev'!$AB$1:$DN$1,"&lt;="&amp;EOMONTH(AE$1,0),'UX + Dev'!$AB54:$DN54,"&lt;&gt;"))</f>
      </c>
      <c r="AF54">
        <f>IF($B54="",0,COUNTIFS('UX + Dev'!$AB$1:$DN$1,"&gt;="&amp;AF$1,'UX + Dev'!$AB$1:$DN$1,"&lt;="&amp;EOMONTH(AF$1,0),'UX + Dev'!$AB54:$DN54,"&lt;&gt;"))</f>
      </c>
      <c r="AG54">
        <f>IF($B54="",0,COUNTIFS('UX + Dev'!$AB$1:$DN$1,"&gt;="&amp;AG$1,'UX + Dev'!$AB$1:$DN$1,"&lt;="&amp;EOMONTH(AG$1,0),'UX + Dev'!$AB54:$DN54,"&lt;&gt;"))</f>
      </c>
      <c r="AH54">
        <f>IF($B54="",0,COUNTIFS('UX + Dev'!$AB$1:$DN$1,"&gt;="&amp;AH$1,'UX + Dev'!$AB$1:$DN$1,"&lt;="&amp;EOMONTH(AH$1,0),'UX + Dev'!$AB54:$DN54,"&lt;&gt;"))</f>
      </c>
      <c r="AI54">
        <f>IF($B54="",0,COUNTIFS('UX + Dev'!$AB$1:$DN$1,"&gt;="&amp;AI$1,'UX + Dev'!$AB$1:$DN$1,"&lt;="&amp;EOMONTH(AI$1,0),'UX + Dev'!$AB54:$DN54,"&lt;&gt;"))</f>
      </c>
      <c r="AJ54">
        <f>IF($B54="",0,COUNTIFS('UX + Dev'!$AB$1:$DN$1,"&gt;="&amp;AJ$1,'UX + Dev'!$AB$1:$DN$1,"&lt;="&amp;EOMONTH(AJ$1,0),'UX + Dev'!$AB54:$DN54,"&lt;&gt;"))</f>
      </c>
      <c r="AK54">
        <f>IF($B54="",0,COUNTIFS('UX + Dev'!$AB$1:$DN$1,"&gt;="&amp;AK$1,'UX + Dev'!$AB$1:$DN$1,"&lt;="&amp;EOMONTH(AK$1,0),'UX + Dev'!$AB54:$DN54,"&lt;&gt;"))</f>
      </c>
      <c r="AL54">
        <f>IF($B54="",0,COUNTIFS('UX + Dev'!$AB$1:$DN$1,"&gt;="&amp;AL$1,'UX + Dev'!$AB$1:$DN$1,"&lt;="&amp;EOMONTH(AL$1,0),'UX + Dev'!$AB54:$DN54,"&lt;&gt;"))</f>
      </c>
      <c r="AM54">
        <f>IF($B54="",0,COUNTIFS('UX + Dev'!$AB$1:$DN$1,"&gt;="&amp;AM$1,'UX + Dev'!$AB$1:$DN$1,"&lt;="&amp;EOMONTH(AM$1,0),'UX + Dev'!$AB54:$DN54,"&lt;&gt;"))</f>
      </c>
      <c r="AN54">
        <f>IF($B54="",0,COUNTIFS('UX + Dev'!$AB$1:$DN$1,"&gt;="&amp;AN$1,'UX + Dev'!$AB$1:$DN$1,"&lt;="&amp;EOMONTH(AN$1,0),'UX + Dev'!$AB54:$DN54,"&lt;&gt;"))</f>
      </c>
      <c r="AO54">
        <f>IF($B54="",0,COUNTIFS('UX + Dev'!$AB$1:$DN$1,"&gt;="&amp;AO$1,'UX + Dev'!$AB$1:$DN$1,"&lt;="&amp;EOMONTH(AO$1,0),'UX + Dev'!$AB54:$DN54,"&lt;&gt;"))</f>
      </c>
      <c r="AP54">
        <f>IF($B54="",0,COUNTIFS('UX + Dev'!$AB$1:$DN$1,"&gt;="&amp;AP$1,'UX + Dev'!$AB$1:$DN$1,"&lt;="&amp;EOMONTH(AP$1,0),'UX + Dev'!$AB54:$DN54,"&lt;&gt;"))</f>
      </c>
      <c r="AQ54">
        <f>IF($B54="",0,COUNTIFS('UX + Dev'!$AB$1:$DN$1,"&gt;="&amp;AQ$1,'UX + Dev'!$AB$1:$DN$1,"&lt;="&amp;EOMONTH(AQ$1,0),'UX + Dev'!$AB54:$DN54,"&lt;&gt;"))</f>
      </c>
      <c r="AR54">
        <f>IF($B54="",0,COUNTIFS('UX + Dev'!$AB$1:$DN$1,"&gt;="&amp;AR$1,'UX + Dev'!$AB$1:$DN$1,"&lt;="&amp;EOMONTH(AR$1,0),'UX + Dev'!$AB54:$DN54,"&lt;&gt;"))</f>
      </c>
      <c r="AS54">
        <f>IF($B54="",0,COUNTIFS('UX + Dev'!$AB$1:$DN$1,"&gt;="&amp;AS$1,'UX + Dev'!$AB$1:$DN$1,"&lt;="&amp;EOMONTH(AS$1,0),'UX + Dev'!$AB54:$DN54,"&lt;&gt;"))</f>
      </c>
      <c r="AT54">
        <f>IF($B54="",0,COUNTIFS('UX + Dev'!$AB$1:$DN$1,"&gt;="&amp;AT$1,'UX + Dev'!$AB$1:$DN$1,"&lt;="&amp;EOMONTH(AT$1,0),'UX + Dev'!$AB54:$DN54,"&lt;&gt;"))</f>
      </c>
      <c r="AU54">
        <f>IF($B54="",0,COUNTIFS('UX + Dev'!$AB$1:$DN$1,"&gt;="&amp;AU$1,'UX + Dev'!$AB$1:$DN$1,"&lt;="&amp;EOMONTH(AU$1,0),'UX + Dev'!$AB54:$DN54,"&lt;&gt;"))</f>
      </c>
      <c r="AV54">
        <f>IF($B54="",0,COUNTIFS('UX + Dev'!$AB$1:$DN$1,"&gt;="&amp;AV$1,'UX + Dev'!$AB$1:$DN$1,"&lt;="&amp;EOMONTH(AV$1,0),'UX + Dev'!$AB54:$DN54,"&lt;&gt;"))</f>
      </c>
      <c r="AW54">
        <f>IF($B54="",0,COUNTIFS('UX + Dev'!$AB$1:$DN$1,"&gt;="&amp;AW$1,'UX + Dev'!$AB$1:$DN$1,"&lt;="&amp;EOMONTH(AW$1,0),'UX + Dev'!$AB54:$DN54,"&lt;&gt;"))</f>
      </c>
      <c r="AX54">
        <f>IF($B54="",0,COUNTIFS('UX + Dev'!$AB$1:$DN$1,"&gt;="&amp;AX$1,'UX + Dev'!$AB$1:$DN$1,"&lt;="&amp;EOMONTH(AX$1,0),'UX + Dev'!$AB54:$DN54,"&lt;&gt;"))</f>
      </c>
      <c r="BB54" s="308">
        <f>IF($B54="","",IF(COUNTA('UX + Dev'!U54)&gt;0,DATE(YEAR('UX + Dev'!U54),MONTH('UX + Dev'!U54),1),IF(COUNTA('UX + Dev'!V54)&gt;0,DATE(YEAR('UX + Dev'!V54),MONTH('UX + Dev'!V54),1),"")))</f>
      </c>
      <c r="BC54" s="308">
        <f>IF($B54="","",IF(COUNTA('UX + Dev'!V54)&gt;0,EOMONTH('UX + Dev'!V54,0),IF(COUNTA('UX + Dev'!U54)&gt;0,EOMONTH('UX + Dev'!U54,0),"")))</f>
      </c>
    </row>
    <row r="55">
      <c r="A55" s="305" t="n">
        <v>55</v>
      </c>
      <c r="B55" s="305">
        <f>IF(TRIM('UX + Dev'!E55)="","",TRIM('UX + Dev'!E55))</f>
      </c>
      <c r="C55" s="305">
        <f>IF($B55="","",'UX + Dev'!B55)</f>
      </c>
      <c r="D55" s="305">
        <f>IF($B55="","",IF(TRIM('UX + Dev'!C55)="","(No theme assigned)",TRIM('UX + Dev'!C55)))</f>
      </c>
      <c r="E55" s="305">
        <f>IF($B55="","",TRIM('UX + Dev'!F55))</f>
      </c>
      <c r="F55" s="305">
        <f>IF($B55="","",'UX + Dev'!G55)</f>
      </c>
      <c r="G55" s="306">
        <f t="array" ref="G55">IF($B55="","",IF($T55=0,"",IFERROR(MIN(IF('UX + Dev'!$AB55:$DN55&lt;&gt;"",'UX + Dev'!$AB$1:$DN$1)),"")))</f>
      </c>
      <c r="H55" s="306">
        <f t="array" ref="H55">IF($B55="","",IF($T55=0,"",IFERROR(MAX(IF('UX + Dev'!$AB55:$DN55&lt;&gt;"",'UX + Dev'!$AB$1:$DN$1)),"")))</f>
      </c>
      <c r="I55" s="307">
        <f>IF($R55&lt;&gt;"",$R55,IF($S55&lt;&gt;"",$S55,""))</f>
      </c>
      <c r="J55" s="307">
        <f>IF($S55&lt;&gt;"",EOMONTH($S55,0),IF($R55&lt;&gt;"",EOMONTH($R55,0),""))</f>
      </c>
      <c r="K55" s="305">
        <f>IF($B55="","",IF(COUNTA('UX + Dev'!AA55)=0,"",TRIM('UX + Dev'!AA55)))</f>
      </c>
      <c r="L55" s="305">
        <f>IF($B55="","",IFERROR(MATCH($D55,Control!$E$4:$E$30,0),99))</f>
      </c>
      <c r="M55" s="305">
        <f>IF($B55="","",IFERROR(MATCH($F55,Control!$B$4:$B$30,0),99))</f>
      </c>
      <c r="N55" s="305">
        <f>IF($V55&lt;&gt;1,"",IF('Roadmap (Auto)'!$D$3="Status, then Theme",$M55*1000000+$L55*10000+ROW(),IF('Roadmap (Auto)'!$D$3="Dev start (earliest)",IF($I55="",99999999,$I55)*10000+ROW(),IF('Roadmap (Auto)'!$D$3="UX start (earliest)",IF($G55="",99999999,$G55)*10000+ROW(),IF('Roadmap (Auto)'!$D$3="Deliverable A-Z",$W55*10000+ROW(),$L55*1000000+$M55*10000+ROW())))))</f>
      </c>
      <c r="O55" s="305">
        <f>IF($N55="","",COUNTIF($N$2:$N$151,"&lt;"&amp;$N55)+1)</f>
      </c>
      <c r="P55" s="305">
        <f>IF($B55="","",IF(COUNTA('UX + Dev'!X55)=0,"",'UX + Dev'!X55))</f>
      </c>
      <c r="Q55" s="305">
        <f>IF($B55="","",IF(COUNTA('UX + Dev'!Y55)=0,"",'UX + Dev'!Y55))</f>
      </c>
      <c r="R55" s="307">
        <f>IF($P55="","",IF(ISNUMBER($P55),DATE(YEAR($P55),MONTH($P55),1),IFERROR(DATE(IFERROR(VALUE(RIGHT(TRIM($P55),4)),YEAR(TODAY())),(SEARCH(LEFT(TRIM($P55),3),"JanFebMarAprMayJunJulAugSepOctNovDec")+2)/3,1),"")))</f>
      </c>
      <c r="S55" s="307">
        <f>IF($Q55="","",IF(ISNUMBER($Q55),DATE(YEAR($Q55),MONTH($Q55),1),IFERROR(DATE(IFERROR(VALUE(RIGHT(TRIM($Q55),4)),YEAR(TODAY())),(SEARCH(LEFT(TRIM($Q55),3),"JanFebMarAprMayJunJulAugSepOctNovDec")+2)/3,1),"")))</f>
      </c>
      <c r="T55" s="305">
        <f>IF($B55="","",COUNTA('UX + Dev'!$AB55:$DN55))</f>
      </c>
      <c r="U55" s="305">
        <f>IF($B55="","",IFERROR(MATCH($D55,Control!$E$4:$E$30,0)+3,0))</f>
      </c>
      <c r="V55" s="305">
        <f>IF($B55="","",IF(AND(OR('Roadmap (Auto)'!$A$3="",'Roadmap (Auto)'!$A$3="(All)",ISNUMBER(SEARCH('Roadmap (Auto)'!$A$3,$C55&amp;""))),OR('Roadmap (Auto)'!$B$3="",'Roadmap (Auto)'!$B$3="(All)",$D55='Roadmap (Auto)'!$B$3,$X55='Roadmap (Auto)'!$B$3),OR('Roadmap (Auto)'!$C$3="",'Roadmap (Auto)'!$C$3="(All)",$F55='Roadmap (Auto)'!$C$3)),1,0))</f>
      </c>
      <c r="W55" s="305">
        <f>IF($B55="","",COUNTIF($Y$2:$Y$151,"&lt;"&amp;$Y55)+1)</f>
      </c>
      <c r="X55" s="305">
        <f>IF($B55="","",IF(TRIM('UX + Dev'!D55)="","",TRIM('UX + Dev'!D55)))</f>
      </c>
      <c r="Y55" s="305">
        <f>IF($B55="","",SUBSTITUTE(SUBSTITUTE(SUBSTITUTE(SUBSTITUTE(SUBSTITUTE(SUBSTITUTE(SUBSTITUTE(SUBSTITUTE(SUBSTITUTE(SUBSTITUTE(SUBSTITUTE(SUBSTITUTE(SUBSTITUTE(SUBSTITUTE(SUBSTITUTE(SUBSTITUTE(SUBSTITUTE(SUBSTITUTE(SUBSTITUTE(SUBSTITUTE(SUBSTITUTE(SUBSTITUTE(SUBSTITUTE(SUBSTITUTE(SUBSTITUTE(UPPER($B55)," ",""),"-",""),":",""),"/",""),"&amp;",""),"|",""),"'",""),"’",""),"&lt;",""),"&gt;",""),",",""),"$",""),".",""),"(",""),")",""),"*",""),"?",""),"~",""),"_",""),"+",""),"#",""),";",""),"!",""),"%",""),"@",""))</f>
      </c>
      <c r="AA55">
        <f>IF($B55="",0,COUNTIFS('UX + Dev'!$AB$1:$DN$1,"&gt;="&amp;AA$1,'UX + Dev'!$AB$1:$DN$1,"&lt;="&amp;EOMONTH(AA$1,0),'UX + Dev'!$AB55:$DN55,"&lt;&gt;"))</f>
      </c>
      <c r="AB55">
        <f>IF($B55="",0,COUNTIFS('UX + Dev'!$AB$1:$DN$1,"&gt;="&amp;AB$1,'UX + Dev'!$AB$1:$DN$1,"&lt;="&amp;EOMONTH(AB$1,0),'UX + Dev'!$AB55:$DN55,"&lt;&gt;"))</f>
      </c>
      <c r="AC55">
        <f>IF($B55="",0,COUNTIFS('UX + Dev'!$AB$1:$DN$1,"&gt;="&amp;AC$1,'UX + Dev'!$AB$1:$DN$1,"&lt;="&amp;EOMONTH(AC$1,0),'UX + Dev'!$AB55:$DN55,"&lt;&gt;"))</f>
      </c>
      <c r="AD55">
        <f>IF($B55="",0,COUNTIFS('UX + Dev'!$AB$1:$DN$1,"&gt;="&amp;AD$1,'UX + Dev'!$AB$1:$DN$1,"&lt;="&amp;EOMONTH(AD$1,0),'UX + Dev'!$AB55:$DN55,"&lt;&gt;"))</f>
      </c>
      <c r="AE55">
        <f>IF($B55="",0,COUNTIFS('UX + Dev'!$AB$1:$DN$1,"&gt;="&amp;AE$1,'UX + Dev'!$AB$1:$DN$1,"&lt;="&amp;EOMONTH(AE$1,0),'UX + Dev'!$AB55:$DN55,"&lt;&gt;"))</f>
      </c>
      <c r="AF55">
        <f>IF($B55="",0,COUNTIFS('UX + Dev'!$AB$1:$DN$1,"&gt;="&amp;AF$1,'UX + Dev'!$AB$1:$DN$1,"&lt;="&amp;EOMONTH(AF$1,0),'UX + Dev'!$AB55:$DN55,"&lt;&gt;"))</f>
      </c>
      <c r="AG55">
        <f>IF($B55="",0,COUNTIFS('UX + Dev'!$AB$1:$DN$1,"&gt;="&amp;AG$1,'UX + Dev'!$AB$1:$DN$1,"&lt;="&amp;EOMONTH(AG$1,0),'UX + Dev'!$AB55:$DN55,"&lt;&gt;"))</f>
      </c>
      <c r="AH55">
        <f>IF($B55="",0,COUNTIFS('UX + Dev'!$AB$1:$DN$1,"&gt;="&amp;AH$1,'UX + Dev'!$AB$1:$DN$1,"&lt;="&amp;EOMONTH(AH$1,0),'UX + Dev'!$AB55:$DN55,"&lt;&gt;"))</f>
      </c>
      <c r="AI55">
        <f>IF($B55="",0,COUNTIFS('UX + Dev'!$AB$1:$DN$1,"&gt;="&amp;AI$1,'UX + Dev'!$AB$1:$DN$1,"&lt;="&amp;EOMONTH(AI$1,0),'UX + Dev'!$AB55:$DN55,"&lt;&gt;"))</f>
      </c>
      <c r="AJ55">
        <f>IF($B55="",0,COUNTIFS('UX + Dev'!$AB$1:$DN$1,"&gt;="&amp;AJ$1,'UX + Dev'!$AB$1:$DN$1,"&lt;="&amp;EOMONTH(AJ$1,0),'UX + Dev'!$AB55:$DN55,"&lt;&gt;"))</f>
      </c>
      <c r="AK55">
        <f>IF($B55="",0,COUNTIFS('UX + Dev'!$AB$1:$DN$1,"&gt;="&amp;AK$1,'UX + Dev'!$AB$1:$DN$1,"&lt;="&amp;EOMONTH(AK$1,0),'UX + Dev'!$AB55:$DN55,"&lt;&gt;"))</f>
      </c>
      <c r="AL55">
        <f>IF($B55="",0,COUNTIFS('UX + Dev'!$AB$1:$DN$1,"&gt;="&amp;AL$1,'UX + Dev'!$AB$1:$DN$1,"&lt;="&amp;EOMONTH(AL$1,0),'UX + Dev'!$AB55:$DN55,"&lt;&gt;"))</f>
      </c>
      <c r="AM55">
        <f>IF($B55="",0,COUNTIFS('UX + Dev'!$AB$1:$DN$1,"&gt;="&amp;AM$1,'UX + Dev'!$AB$1:$DN$1,"&lt;="&amp;EOMONTH(AM$1,0),'UX + Dev'!$AB55:$DN55,"&lt;&gt;"))</f>
      </c>
      <c r="AN55">
        <f>IF($B55="",0,COUNTIFS('UX + Dev'!$AB$1:$DN$1,"&gt;="&amp;AN$1,'UX + Dev'!$AB$1:$DN$1,"&lt;="&amp;EOMONTH(AN$1,0),'UX + Dev'!$AB55:$DN55,"&lt;&gt;"))</f>
      </c>
      <c r="AO55">
        <f>IF($B55="",0,COUNTIFS('UX + Dev'!$AB$1:$DN$1,"&gt;="&amp;AO$1,'UX + Dev'!$AB$1:$DN$1,"&lt;="&amp;EOMONTH(AO$1,0),'UX + Dev'!$AB55:$DN55,"&lt;&gt;"))</f>
      </c>
      <c r="AP55">
        <f>IF($B55="",0,COUNTIFS('UX + Dev'!$AB$1:$DN$1,"&gt;="&amp;AP$1,'UX + Dev'!$AB$1:$DN$1,"&lt;="&amp;EOMONTH(AP$1,0),'UX + Dev'!$AB55:$DN55,"&lt;&gt;"))</f>
      </c>
      <c r="AQ55">
        <f>IF($B55="",0,COUNTIFS('UX + Dev'!$AB$1:$DN$1,"&gt;="&amp;AQ$1,'UX + Dev'!$AB$1:$DN$1,"&lt;="&amp;EOMONTH(AQ$1,0),'UX + Dev'!$AB55:$DN55,"&lt;&gt;"))</f>
      </c>
      <c r="AR55">
        <f>IF($B55="",0,COUNTIFS('UX + Dev'!$AB$1:$DN$1,"&gt;="&amp;AR$1,'UX + Dev'!$AB$1:$DN$1,"&lt;="&amp;EOMONTH(AR$1,0),'UX + Dev'!$AB55:$DN55,"&lt;&gt;"))</f>
      </c>
      <c r="AS55">
        <f>IF($B55="",0,COUNTIFS('UX + Dev'!$AB$1:$DN$1,"&gt;="&amp;AS$1,'UX + Dev'!$AB$1:$DN$1,"&lt;="&amp;EOMONTH(AS$1,0),'UX + Dev'!$AB55:$DN55,"&lt;&gt;"))</f>
      </c>
      <c r="AT55">
        <f>IF($B55="",0,COUNTIFS('UX + Dev'!$AB$1:$DN$1,"&gt;="&amp;AT$1,'UX + Dev'!$AB$1:$DN$1,"&lt;="&amp;EOMONTH(AT$1,0),'UX + Dev'!$AB55:$DN55,"&lt;&gt;"))</f>
      </c>
      <c r="AU55">
        <f>IF($B55="",0,COUNTIFS('UX + Dev'!$AB$1:$DN$1,"&gt;="&amp;AU$1,'UX + Dev'!$AB$1:$DN$1,"&lt;="&amp;EOMONTH(AU$1,0),'UX + Dev'!$AB55:$DN55,"&lt;&gt;"))</f>
      </c>
      <c r="AV55">
        <f>IF($B55="",0,COUNTIFS('UX + Dev'!$AB$1:$DN$1,"&gt;="&amp;AV$1,'UX + Dev'!$AB$1:$DN$1,"&lt;="&amp;EOMONTH(AV$1,0),'UX + Dev'!$AB55:$DN55,"&lt;&gt;"))</f>
      </c>
      <c r="AW55">
        <f>IF($B55="",0,COUNTIFS('UX + Dev'!$AB$1:$DN$1,"&gt;="&amp;AW$1,'UX + Dev'!$AB$1:$DN$1,"&lt;="&amp;EOMONTH(AW$1,0),'UX + Dev'!$AB55:$DN55,"&lt;&gt;"))</f>
      </c>
      <c r="AX55">
        <f>IF($B55="",0,COUNTIFS('UX + Dev'!$AB$1:$DN$1,"&gt;="&amp;AX$1,'UX + Dev'!$AB$1:$DN$1,"&lt;="&amp;EOMONTH(AX$1,0),'UX + Dev'!$AB55:$DN55,"&lt;&gt;"))</f>
      </c>
      <c r="BB55" s="308">
        <f>IF($B55="","",IF(COUNTA('UX + Dev'!U55)&gt;0,DATE(YEAR('UX + Dev'!U55),MONTH('UX + Dev'!U55),1),IF(COUNTA('UX + Dev'!V55)&gt;0,DATE(YEAR('UX + Dev'!V55),MONTH('UX + Dev'!V55),1),"")))</f>
      </c>
      <c r="BC55" s="308">
        <f>IF($B55="","",IF(COUNTA('UX + Dev'!V55)&gt;0,EOMONTH('UX + Dev'!V55,0),IF(COUNTA('UX + Dev'!U55)&gt;0,EOMONTH('UX + Dev'!U55,0),"")))</f>
      </c>
    </row>
    <row r="56">
      <c r="A56" s="305" t="n">
        <v>56</v>
      </c>
      <c r="B56" s="305">
        <f>IF(TRIM('UX + Dev'!E56)="","",TRIM('UX + Dev'!E56))</f>
      </c>
      <c r="C56" s="305">
        <f>IF($B56="","",'UX + Dev'!B56)</f>
      </c>
      <c r="D56" s="305">
        <f>IF($B56="","",IF(TRIM('UX + Dev'!C56)="","(No theme assigned)",TRIM('UX + Dev'!C56)))</f>
      </c>
      <c r="E56" s="305">
        <f>IF($B56="","",TRIM('UX + Dev'!F56))</f>
      </c>
      <c r="F56" s="305">
        <f>IF($B56="","",'UX + Dev'!G56)</f>
      </c>
      <c r="G56" s="306">
        <f t="array" ref="G56">IF($B56="","",IF($T56=0,"",IFERROR(MIN(IF('UX + Dev'!$AB56:$DN56&lt;&gt;"",'UX + Dev'!$AB$1:$DN$1)),"")))</f>
      </c>
      <c r="H56" s="306">
        <f t="array" ref="H56">IF($B56="","",IF($T56=0,"",IFERROR(MAX(IF('UX + Dev'!$AB56:$DN56&lt;&gt;"",'UX + Dev'!$AB$1:$DN$1)),"")))</f>
      </c>
      <c r="I56" s="307">
        <f>IF($R56&lt;&gt;"",$R56,IF($S56&lt;&gt;"",$S56,""))</f>
      </c>
      <c r="J56" s="307">
        <f>IF($S56&lt;&gt;"",EOMONTH($S56,0),IF($R56&lt;&gt;"",EOMONTH($R56,0),""))</f>
      </c>
      <c r="K56" s="305">
        <f>IF($B56="","",IF(COUNTA('UX + Dev'!AA56)=0,"",TRIM('UX + Dev'!AA56)))</f>
      </c>
      <c r="L56" s="305">
        <f>IF($B56="","",IFERROR(MATCH($D56,Control!$E$4:$E$30,0),99))</f>
      </c>
      <c r="M56" s="305">
        <f>IF($B56="","",IFERROR(MATCH($F56,Control!$B$4:$B$30,0),99))</f>
      </c>
      <c r="N56" s="305">
        <f>IF($V56&lt;&gt;1,"",IF('Roadmap (Auto)'!$D$3="Status, then Theme",$M56*1000000+$L56*10000+ROW(),IF('Roadmap (Auto)'!$D$3="Dev start (earliest)",IF($I56="",99999999,$I56)*10000+ROW(),IF('Roadmap (Auto)'!$D$3="UX start (earliest)",IF($G56="",99999999,$G56)*10000+ROW(),IF('Roadmap (Auto)'!$D$3="Deliverable A-Z",$W56*10000+ROW(),$L56*1000000+$M56*10000+ROW())))))</f>
      </c>
      <c r="O56" s="305">
        <f>IF($N56="","",COUNTIF($N$2:$N$151,"&lt;"&amp;$N56)+1)</f>
      </c>
      <c r="P56" s="305">
        <f>IF($B56="","",IF(COUNTA('UX + Dev'!X56)=0,"",'UX + Dev'!X56))</f>
      </c>
      <c r="Q56" s="305">
        <f>IF($B56="","",IF(COUNTA('UX + Dev'!Y56)=0,"",'UX + Dev'!Y56))</f>
      </c>
      <c r="R56" s="307">
        <f>IF($P56="","",IF(ISNUMBER($P56),DATE(YEAR($P56),MONTH($P56),1),IFERROR(DATE(IFERROR(VALUE(RIGHT(TRIM($P56),4)),YEAR(TODAY())),(SEARCH(LEFT(TRIM($P56),3),"JanFebMarAprMayJunJulAugSepOctNovDec")+2)/3,1),"")))</f>
      </c>
      <c r="S56" s="307">
        <f>IF($Q56="","",IF(ISNUMBER($Q56),DATE(YEAR($Q56),MONTH($Q56),1),IFERROR(DATE(IFERROR(VALUE(RIGHT(TRIM($Q56),4)),YEAR(TODAY())),(SEARCH(LEFT(TRIM($Q56),3),"JanFebMarAprMayJunJulAugSepOctNovDec")+2)/3,1),"")))</f>
      </c>
      <c r="T56" s="305">
        <f>IF($B56="","",COUNTA('UX + Dev'!$AB56:$DN56))</f>
      </c>
      <c r="U56" s="305">
        <f>IF($B56="","",IFERROR(MATCH($D56,Control!$E$4:$E$30,0)+3,0))</f>
      </c>
      <c r="V56" s="305">
        <f>IF($B56="","",IF(AND(OR('Roadmap (Auto)'!$A$3="",'Roadmap (Auto)'!$A$3="(All)",ISNUMBER(SEARCH('Roadmap (Auto)'!$A$3,$C56&amp;""))),OR('Roadmap (Auto)'!$B$3="",'Roadmap (Auto)'!$B$3="(All)",$D56='Roadmap (Auto)'!$B$3,$X56='Roadmap (Auto)'!$B$3),OR('Roadmap (Auto)'!$C$3="",'Roadmap (Auto)'!$C$3="(All)",$F56='Roadmap (Auto)'!$C$3)),1,0))</f>
      </c>
      <c r="W56" s="305">
        <f>IF($B56="","",COUNTIF($Y$2:$Y$151,"&lt;"&amp;$Y56)+1)</f>
      </c>
      <c r="X56" s="305">
        <f>IF($B56="","",IF(TRIM('UX + Dev'!D56)="","",TRIM('UX + Dev'!D56)))</f>
      </c>
      <c r="Y56" s="305">
        <f>IF($B56="","",SUBSTITUTE(SUBSTITUTE(SUBSTITUTE(SUBSTITUTE(SUBSTITUTE(SUBSTITUTE(SUBSTITUTE(SUBSTITUTE(SUBSTITUTE(SUBSTITUTE(SUBSTITUTE(SUBSTITUTE(SUBSTITUTE(SUBSTITUTE(SUBSTITUTE(SUBSTITUTE(SUBSTITUTE(SUBSTITUTE(SUBSTITUTE(SUBSTITUTE(SUBSTITUTE(SUBSTITUTE(SUBSTITUTE(SUBSTITUTE(SUBSTITUTE(UPPER($B56)," ",""),"-",""),":",""),"/",""),"&amp;",""),"|",""),"'",""),"’",""),"&lt;",""),"&gt;",""),",",""),"$",""),".",""),"(",""),")",""),"*",""),"?",""),"~",""),"_",""),"+",""),"#",""),";",""),"!",""),"%",""),"@",""))</f>
      </c>
      <c r="AA56">
        <f>IF($B56="",0,COUNTIFS('UX + Dev'!$AB$1:$DN$1,"&gt;="&amp;AA$1,'UX + Dev'!$AB$1:$DN$1,"&lt;="&amp;EOMONTH(AA$1,0),'UX + Dev'!$AB56:$DN56,"&lt;&gt;"))</f>
      </c>
      <c r="AB56">
        <f>IF($B56="",0,COUNTIFS('UX + Dev'!$AB$1:$DN$1,"&gt;="&amp;AB$1,'UX + Dev'!$AB$1:$DN$1,"&lt;="&amp;EOMONTH(AB$1,0),'UX + Dev'!$AB56:$DN56,"&lt;&gt;"))</f>
      </c>
      <c r="AC56">
        <f>IF($B56="",0,COUNTIFS('UX + Dev'!$AB$1:$DN$1,"&gt;="&amp;AC$1,'UX + Dev'!$AB$1:$DN$1,"&lt;="&amp;EOMONTH(AC$1,0),'UX + Dev'!$AB56:$DN56,"&lt;&gt;"))</f>
      </c>
      <c r="AD56">
        <f>IF($B56="",0,COUNTIFS('UX + Dev'!$AB$1:$DN$1,"&gt;="&amp;AD$1,'UX + Dev'!$AB$1:$DN$1,"&lt;="&amp;EOMONTH(AD$1,0),'UX + Dev'!$AB56:$DN56,"&lt;&gt;"))</f>
      </c>
      <c r="AE56">
        <f>IF($B56="",0,COUNTIFS('UX + Dev'!$AB$1:$DN$1,"&gt;="&amp;AE$1,'UX + Dev'!$AB$1:$DN$1,"&lt;="&amp;EOMONTH(AE$1,0),'UX + Dev'!$AB56:$DN56,"&lt;&gt;"))</f>
      </c>
      <c r="AF56">
        <f>IF($B56="",0,COUNTIFS('UX + Dev'!$AB$1:$DN$1,"&gt;="&amp;AF$1,'UX + Dev'!$AB$1:$DN$1,"&lt;="&amp;EOMONTH(AF$1,0),'UX + Dev'!$AB56:$DN56,"&lt;&gt;"))</f>
      </c>
      <c r="AG56">
        <f>IF($B56="",0,COUNTIFS('UX + Dev'!$AB$1:$DN$1,"&gt;="&amp;AG$1,'UX + Dev'!$AB$1:$DN$1,"&lt;="&amp;EOMONTH(AG$1,0),'UX + Dev'!$AB56:$DN56,"&lt;&gt;"))</f>
      </c>
      <c r="AH56">
        <f>IF($B56="",0,COUNTIFS('UX + Dev'!$AB$1:$DN$1,"&gt;="&amp;AH$1,'UX + Dev'!$AB$1:$DN$1,"&lt;="&amp;EOMONTH(AH$1,0),'UX + Dev'!$AB56:$DN56,"&lt;&gt;"))</f>
      </c>
      <c r="AI56">
        <f>IF($B56="",0,COUNTIFS('UX + Dev'!$AB$1:$DN$1,"&gt;="&amp;AI$1,'UX + Dev'!$AB$1:$DN$1,"&lt;="&amp;EOMONTH(AI$1,0),'UX + Dev'!$AB56:$DN56,"&lt;&gt;"))</f>
      </c>
      <c r="AJ56">
        <f>IF($B56="",0,COUNTIFS('UX + Dev'!$AB$1:$DN$1,"&gt;="&amp;AJ$1,'UX + Dev'!$AB$1:$DN$1,"&lt;="&amp;EOMONTH(AJ$1,0),'UX + Dev'!$AB56:$DN56,"&lt;&gt;"))</f>
      </c>
      <c r="AK56">
        <f>IF($B56="",0,COUNTIFS('UX + Dev'!$AB$1:$DN$1,"&gt;="&amp;AK$1,'UX + Dev'!$AB$1:$DN$1,"&lt;="&amp;EOMONTH(AK$1,0),'UX + Dev'!$AB56:$DN56,"&lt;&gt;"))</f>
      </c>
      <c r="AL56">
        <f>IF($B56="",0,COUNTIFS('UX + Dev'!$AB$1:$DN$1,"&gt;="&amp;AL$1,'UX + Dev'!$AB$1:$DN$1,"&lt;="&amp;EOMONTH(AL$1,0),'UX + Dev'!$AB56:$DN56,"&lt;&gt;"))</f>
      </c>
      <c r="AM56">
        <f>IF($B56="",0,COUNTIFS('UX + Dev'!$AB$1:$DN$1,"&gt;="&amp;AM$1,'UX + Dev'!$AB$1:$DN$1,"&lt;="&amp;EOMONTH(AM$1,0),'UX + Dev'!$AB56:$DN56,"&lt;&gt;"))</f>
      </c>
      <c r="AN56">
        <f>IF($B56="",0,COUNTIFS('UX + Dev'!$AB$1:$DN$1,"&gt;="&amp;AN$1,'UX + Dev'!$AB$1:$DN$1,"&lt;="&amp;EOMONTH(AN$1,0),'UX + Dev'!$AB56:$DN56,"&lt;&gt;"))</f>
      </c>
      <c r="AO56">
        <f>IF($B56="",0,COUNTIFS('UX + Dev'!$AB$1:$DN$1,"&gt;="&amp;AO$1,'UX + Dev'!$AB$1:$DN$1,"&lt;="&amp;EOMONTH(AO$1,0),'UX + Dev'!$AB56:$DN56,"&lt;&gt;"))</f>
      </c>
      <c r="AP56">
        <f>IF($B56="",0,COUNTIFS('UX + Dev'!$AB$1:$DN$1,"&gt;="&amp;AP$1,'UX + Dev'!$AB$1:$DN$1,"&lt;="&amp;EOMONTH(AP$1,0),'UX + Dev'!$AB56:$DN56,"&lt;&gt;"))</f>
      </c>
      <c r="AQ56">
        <f>IF($B56="",0,COUNTIFS('UX + Dev'!$AB$1:$DN$1,"&gt;="&amp;AQ$1,'UX + Dev'!$AB$1:$DN$1,"&lt;="&amp;EOMONTH(AQ$1,0),'UX + Dev'!$AB56:$DN56,"&lt;&gt;"))</f>
      </c>
      <c r="AR56">
        <f>IF($B56="",0,COUNTIFS('UX + Dev'!$AB$1:$DN$1,"&gt;="&amp;AR$1,'UX + Dev'!$AB$1:$DN$1,"&lt;="&amp;EOMONTH(AR$1,0),'UX + Dev'!$AB56:$DN56,"&lt;&gt;"))</f>
      </c>
      <c r="AS56">
        <f>IF($B56="",0,COUNTIFS('UX + Dev'!$AB$1:$DN$1,"&gt;="&amp;AS$1,'UX + Dev'!$AB$1:$DN$1,"&lt;="&amp;EOMONTH(AS$1,0),'UX + Dev'!$AB56:$DN56,"&lt;&gt;"))</f>
      </c>
      <c r="AT56">
        <f>IF($B56="",0,COUNTIFS('UX + Dev'!$AB$1:$DN$1,"&gt;="&amp;AT$1,'UX + Dev'!$AB$1:$DN$1,"&lt;="&amp;EOMONTH(AT$1,0),'UX + Dev'!$AB56:$DN56,"&lt;&gt;"))</f>
      </c>
      <c r="AU56">
        <f>IF($B56="",0,COUNTIFS('UX + Dev'!$AB$1:$DN$1,"&gt;="&amp;AU$1,'UX + Dev'!$AB$1:$DN$1,"&lt;="&amp;EOMONTH(AU$1,0),'UX + Dev'!$AB56:$DN56,"&lt;&gt;"))</f>
      </c>
      <c r="AV56">
        <f>IF($B56="",0,COUNTIFS('UX + Dev'!$AB$1:$DN$1,"&gt;="&amp;AV$1,'UX + Dev'!$AB$1:$DN$1,"&lt;="&amp;EOMONTH(AV$1,0),'UX + Dev'!$AB56:$DN56,"&lt;&gt;"))</f>
      </c>
      <c r="AW56">
        <f>IF($B56="",0,COUNTIFS('UX + Dev'!$AB$1:$DN$1,"&gt;="&amp;AW$1,'UX + Dev'!$AB$1:$DN$1,"&lt;="&amp;EOMONTH(AW$1,0),'UX + Dev'!$AB56:$DN56,"&lt;&gt;"))</f>
      </c>
      <c r="AX56">
        <f>IF($B56="",0,COUNTIFS('UX + Dev'!$AB$1:$DN$1,"&gt;="&amp;AX$1,'UX + Dev'!$AB$1:$DN$1,"&lt;="&amp;EOMONTH(AX$1,0),'UX + Dev'!$AB56:$DN56,"&lt;&gt;"))</f>
      </c>
      <c r="BB56" s="308">
        <f>IF($B56="","",IF(COUNTA('UX + Dev'!U56)&gt;0,DATE(YEAR('UX + Dev'!U56),MONTH('UX + Dev'!U56),1),IF(COUNTA('UX + Dev'!V56)&gt;0,DATE(YEAR('UX + Dev'!V56),MONTH('UX + Dev'!V56),1),"")))</f>
      </c>
      <c r="BC56" s="308">
        <f>IF($B56="","",IF(COUNTA('UX + Dev'!V56)&gt;0,EOMONTH('UX + Dev'!V56,0),IF(COUNTA('UX + Dev'!U56)&gt;0,EOMONTH('UX + Dev'!U56,0),"")))</f>
      </c>
    </row>
    <row r="57">
      <c r="A57" s="305" t="n">
        <v>57</v>
      </c>
      <c r="B57" s="305">
        <f>IF(TRIM('UX + Dev'!E57)="","",TRIM('UX + Dev'!E57))</f>
      </c>
      <c r="C57" s="305">
        <f>IF($B57="","",'UX + Dev'!B57)</f>
      </c>
      <c r="D57" s="305">
        <f>IF($B57="","",IF(TRIM('UX + Dev'!C57)="","(No theme assigned)",TRIM('UX + Dev'!C57)))</f>
      </c>
      <c r="E57" s="305">
        <f>IF($B57="","",TRIM('UX + Dev'!F57))</f>
      </c>
      <c r="F57" s="305">
        <f>IF($B57="","",'UX + Dev'!G57)</f>
      </c>
      <c r="G57" s="306">
        <f t="array" ref="G57">IF($B57="","",IF($T57=0,"",IFERROR(MIN(IF('UX + Dev'!$AB57:$DN57&lt;&gt;"",'UX + Dev'!$AB$1:$DN$1)),"")))</f>
      </c>
      <c r="H57" s="306">
        <f t="array" ref="H57">IF($B57="","",IF($T57=0,"",IFERROR(MAX(IF('UX + Dev'!$AB57:$DN57&lt;&gt;"",'UX + Dev'!$AB$1:$DN$1)),"")))</f>
      </c>
      <c r="I57" s="307">
        <f>IF($R57&lt;&gt;"",$R57,IF($S57&lt;&gt;"",$S57,""))</f>
      </c>
      <c r="J57" s="307">
        <f>IF($S57&lt;&gt;"",EOMONTH($S57,0),IF($R57&lt;&gt;"",EOMONTH($R57,0),""))</f>
      </c>
      <c r="K57" s="305">
        <f>IF($B57="","",IF(COUNTA('UX + Dev'!AA57)=0,"",TRIM('UX + Dev'!AA57)))</f>
      </c>
      <c r="L57" s="305">
        <f>IF($B57="","",IFERROR(MATCH($D57,Control!$E$4:$E$30,0),99))</f>
      </c>
      <c r="M57" s="305">
        <f>IF($B57="","",IFERROR(MATCH($F57,Control!$B$4:$B$30,0),99))</f>
      </c>
      <c r="N57" s="305">
        <f>IF($V57&lt;&gt;1,"",IF('Roadmap (Auto)'!$D$3="Status, then Theme",$M57*1000000+$L57*10000+ROW(),IF('Roadmap (Auto)'!$D$3="Dev start (earliest)",IF($I57="",99999999,$I57)*10000+ROW(),IF('Roadmap (Auto)'!$D$3="UX start (earliest)",IF($G57="",99999999,$G57)*10000+ROW(),IF('Roadmap (Auto)'!$D$3="Deliverable A-Z",$W57*10000+ROW(),$L57*1000000+$M57*10000+ROW())))))</f>
      </c>
      <c r="O57" s="305">
        <f>IF($N57="","",COUNTIF($N$2:$N$151,"&lt;"&amp;$N57)+1)</f>
      </c>
      <c r="P57" s="305">
        <f>IF($B57="","",IF(COUNTA('UX + Dev'!X57)=0,"",'UX + Dev'!X57))</f>
      </c>
      <c r="Q57" s="305">
        <f>IF($B57="","",IF(COUNTA('UX + Dev'!Y57)=0,"",'UX + Dev'!Y57))</f>
      </c>
      <c r="R57" s="307">
        <f>IF($P57="","",IF(ISNUMBER($P57),DATE(YEAR($P57),MONTH($P57),1),IFERROR(DATE(IFERROR(VALUE(RIGHT(TRIM($P57),4)),YEAR(TODAY())),(SEARCH(LEFT(TRIM($P57),3),"JanFebMarAprMayJunJulAugSepOctNovDec")+2)/3,1),"")))</f>
      </c>
      <c r="S57" s="307">
        <f>IF($Q57="","",IF(ISNUMBER($Q57),DATE(YEAR($Q57),MONTH($Q57),1),IFERROR(DATE(IFERROR(VALUE(RIGHT(TRIM($Q57),4)),YEAR(TODAY())),(SEARCH(LEFT(TRIM($Q57),3),"JanFebMarAprMayJunJulAugSepOctNovDec")+2)/3,1),"")))</f>
      </c>
      <c r="T57" s="305">
        <f>IF($B57="","",COUNTA('UX + Dev'!$AB57:$DN57))</f>
      </c>
      <c r="U57" s="305">
        <f>IF($B57="","",IFERROR(MATCH($D57,Control!$E$4:$E$30,0)+3,0))</f>
      </c>
      <c r="V57" s="305">
        <f>IF($B57="","",IF(AND(OR('Roadmap (Auto)'!$A$3="",'Roadmap (Auto)'!$A$3="(All)",ISNUMBER(SEARCH('Roadmap (Auto)'!$A$3,$C57&amp;""))),OR('Roadmap (Auto)'!$B$3="",'Roadmap (Auto)'!$B$3="(All)",$D57='Roadmap (Auto)'!$B$3,$X57='Roadmap (Auto)'!$B$3),OR('Roadmap (Auto)'!$C$3="",'Roadmap (Auto)'!$C$3="(All)",$F57='Roadmap (Auto)'!$C$3)),1,0))</f>
      </c>
      <c r="W57" s="305">
        <f>IF($B57="","",COUNTIF($Y$2:$Y$151,"&lt;"&amp;$Y57)+1)</f>
      </c>
      <c r="X57" s="305">
        <f>IF($B57="","",IF(TRIM('UX + Dev'!D57)="","",TRIM('UX + Dev'!D57)))</f>
      </c>
      <c r="Y57" s="305">
        <f>IF($B57="","",SUBSTITUTE(SUBSTITUTE(SUBSTITUTE(SUBSTITUTE(SUBSTITUTE(SUBSTITUTE(SUBSTITUTE(SUBSTITUTE(SUBSTITUTE(SUBSTITUTE(SUBSTITUTE(SUBSTITUTE(SUBSTITUTE(SUBSTITUTE(SUBSTITUTE(SUBSTITUTE(SUBSTITUTE(SUBSTITUTE(SUBSTITUTE(SUBSTITUTE(SUBSTITUTE(SUBSTITUTE(SUBSTITUTE(SUBSTITUTE(SUBSTITUTE(UPPER($B57)," ",""),"-",""),":",""),"/",""),"&amp;",""),"|",""),"'",""),"’",""),"&lt;",""),"&gt;",""),",",""),"$",""),".",""),"(",""),")",""),"*",""),"?",""),"~",""),"_",""),"+",""),"#",""),";",""),"!",""),"%",""),"@",""))</f>
      </c>
      <c r="AA57">
        <f>IF($B57="",0,COUNTIFS('UX + Dev'!$AB$1:$DN$1,"&gt;="&amp;AA$1,'UX + Dev'!$AB$1:$DN$1,"&lt;="&amp;EOMONTH(AA$1,0),'UX + Dev'!$AB57:$DN57,"&lt;&gt;"))</f>
      </c>
      <c r="AB57">
        <f>IF($B57="",0,COUNTIFS('UX + Dev'!$AB$1:$DN$1,"&gt;="&amp;AB$1,'UX + Dev'!$AB$1:$DN$1,"&lt;="&amp;EOMONTH(AB$1,0),'UX + Dev'!$AB57:$DN57,"&lt;&gt;"))</f>
      </c>
      <c r="AC57">
        <f>IF($B57="",0,COUNTIFS('UX + Dev'!$AB$1:$DN$1,"&gt;="&amp;AC$1,'UX + Dev'!$AB$1:$DN$1,"&lt;="&amp;EOMONTH(AC$1,0),'UX + Dev'!$AB57:$DN57,"&lt;&gt;"))</f>
      </c>
      <c r="AD57">
        <f>IF($B57="",0,COUNTIFS('UX + Dev'!$AB$1:$DN$1,"&gt;="&amp;AD$1,'UX + Dev'!$AB$1:$DN$1,"&lt;="&amp;EOMONTH(AD$1,0),'UX + Dev'!$AB57:$DN57,"&lt;&gt;"))</f>
      </c>
      <c r="AE57">
        <f>IF($B57="",0,COUNTIFS('UX + Dev'!$AB$1:$DN$1,"&gt;="&amp;AE$1,'UX + Dev'!$AB$1:$DN$1,"&lt;="&amp;EOMONTH(AE$1,0),'UX + Dev'!$AB57:$DN57,"&lt;&gt;"))</f>
      </c>
      <c r="AF57">
        <f>IF($B57="",0,COUNTIFS('UX + Dev'!$AB$1:$DN$1,"&gt;="&amp;AF$1,'UX + Dev'!$AB$1:$DN$1,"&lt;="&amp;EOMONTH(AF$1,0),'UX + Dev'!$AB57:$DN57,"&lt;&gt;"))</f>
      </c>
      <c r="AG57">
        <f>IF($B57="",0,COUNTIFS('UX + Dev'!$AB$1:$DN$1,"&gt;="&amp;AG$1,'UX + Dev'!$AB$1:$DN$1,"&lt;="&amp;EOMONTH(AG$1,0),'UX + Dev'!$AB57:$DN57,"&lt;&gt;"))</f>
      </c>
      <c r="AH57">
        <f>IF($B57="",0,COUNTIFS('UX + Dev'!$AB$1:$DN$1,"&gt;="&amp;AH$1,'UX + Dev'!$AB$1:$DN$1,"&lt;="&amp;EOMONTH(AH$1,0),'UX + Dev'!$AB57:$DN57,"&lt;&gt;"))</f>
      </c>
      <c r="AI57">
        <f>IF($B57="",0,COUNTIFS('UX + Dev'!$AB$1:$DN$1,"&gt;="&amp;AI$1,'UX + Dev'!$AB$1:$DN$1,"&lt;="&amp;EOMONTH(AI$1,0),'UX + Dev'!$AB57:$DN57,"&lt;&gt;"))</f>
      </c>
      <c r="AJ57">
        <f>IF($B57="",0,COUNTIFS('UX + Dev'!$AB$1:$DN$1,"&gt;="&amp;AJ$1,'UX + Dev'!$AB$1:$DN$1,"&lt;="&amp;EOMONTH(AJ$1,0),'UX + Dev'!$AB57:$DN57,"&lt;&gt;"))</f>
      </c>
      <c r="AK57">
        <f>IF($B57="",0,COUNTIFS('UX + Dev'!$AB$1:$DN$1,"&gt;="&amp;AK$1,'UX + Dev'!$AB$1:$DN$1,"&lt;="&amp;EOMONTH(AK$1,0),'UX + Dev'!$AB57:$DN57,"&lt;&gt;"))</f>
      </c>
      <c r="AL57">
        <f>IF($B57="",0,COUNTIFS('UX + Dev'!$AB$1:$DN$1,"&gt;="&amp;AL$1,'UX + Dev'!$AB$1:$DN$1,"&lt;="&amp;EOMONTH(AL$1,0),'UX + Dev'!$AB57:$DN57,"&lt;&gt;"))</f>
      </c>
      <c r="AM57">
        <f>IF($B57="",0,COUNTIFS('UX + Dev'!$AB$1:$DN$1,"&gt;="&amp;AM$1,'UX + Dev'!$AB$1:$DN$1,"&lt;="&amp;EOMONTH(AM$1,0),'UX + Dev'!$AB57:$DN57,"&lt;&gt;"))</f>
      </c>
      <c r="AN57">
        <f>IF($B57="",0,COUNTIFS('UX + Dev'!$AB$1:$DN$1,"&gt;="&amp;AN$1,'UX + Dev'!$AB$1:$DN$1,"&lt;="&amp;EOMONTH(AN$1,0),'UX + Dev'!$AB57:$DN57,"&lt;&gt;"))</f>
      </c>
      <c r="AO57">
        <f>IF($B57="",0,COUNTIFS('UX + Dev'!$AB$1:$DN$1,"&gt;="&amp;AO$1,'UX + Dev'!$AB$1:$DN$1,"&lt;="&amp;EOMONTH(AO$1,0),'UX + Dev'!$AB57:$DN57,"&lt;&gt;"))</f>
      </c>
      <c r="AP57">
        <f>IF($B57="",0,COUNTIFS('UX + Dev'!$AB$1:$DN$1,"&gt;="&amp;AP$1,'UX + Dev'!$AB$1:$DN$1,"&lt;="&amp;EOMONTH(AP$1,0),'UX + Dev'!$AB57:$DN57,"&lt;&gt;"))</f>
      </c>
      <c r="AQ57">
        <f>IF($B57="",0,COUNTIFS('UX + Dev'!$AB$1:$DN$1,"&gt;="&amp;AQ$1,'UX + Dev'!$AB$1:$DN$1,"&lt;="&amp;EOMONTH(AQ$1,0),'UX + Dev'!$AB57:$DN57,"&lt;&gt;"))</f>
      </c>
      <c r="AR57">
        <f>IF($B57="",0,COUNTIFS('UX + Dev'!$AB$1:$DN$1,"&gt;="&amp;AR$1,'UX + Dev'!$AB$1:$DN$1,"&lt;="&amp;EOMONTH(AR$1,0),'UX + Dev'!$AB57:$DN57,"&lt;&gt;"))</f>
      </c>
      <c r="AS57">
        <f>IF($B57="",0,COUNTIFS('UX + Dev'!$AB$1:$DN$1,"&gt;="&amp;AS$1,'UX + Dev'!$AB$1:$DN$1,"&lt;="&amp;EOMONTH(AS$1,0),'UX + Dev'!$AB57:$DN57,"&lt;&gt;"))</f>
      </c>
      <c r="AT57">
        <f>IF($B57="",0,COUNTIFS('UX + Dev'!$AB$1:$DN$1,"&gt;="&amp;AT$1,'UX + Dev'!$AB$1:$DN$1,"&lt;="&amp;EOMONTH(AT$1,0),'UX + Dev'!$AB57:$DN57,"&lt;&gt;"))</f>
      </c>
      <c r="AU57">
        <f>IF($B57="",0,COUNTIFS('UX + Dev'!$AB$1:$DN$1,"&gt;="&amp;AU$1,'UX + Dev'!$AB$1:$DN$1,"&lt;="&amp;EOMONTH(AU$1,0),'UX + Dev'!$AB57:$DN57,"&lt;&gt;"))</f>
      </c>
      <c r="AV57">
        <f>IF($B57="",0,COUNTIFS('UX + Dev'!$AB$1:$DN$1,"&gt;="&amp;AV$1,'UX + Dev'!$AB$1:$DN$1,"&lt;="&amp;EOMONTH(AV$1,0),'UX + Dev'!$AB57:$DN57,"&lt;&gt;"))</f>
      </c>
      <c r="AW57">
        <f>IF($B57="",0,COUNTIFS('UX + Dev'!$AB$1:$DN$1,"&gt;="&amp;AW$1,'UX + Dev'!$AB$1:$DN$1,"&lt;="&amp;EOMONTH(AW$1,0),'UX + Dev'!$AB57:$DN57,"&lt;&gt;"))</f>
      </c>
      <c r="AX57">
        <f>IF($B57="",0,COUNTIFS('UX + Dev'!$AB$1:$DN$1,"&gt;="&amp;AX$1,'UX + Dev'!$AB$1:$DN$1,"&lt;="&amp;EOMONTH(AX$1,0),'UX + Dev'!$AB57:$DN57,"&lt;&gt;"))</f>
      </c>
      <c r="BB57" s="308">
        <f>IF($B57="","",IF(COUNTA('UX + Dev'!U57)&gt;0,DATE(YEAR('UX + Dev'!U57),MONTH('UX + Dev'!U57),1),IF(COUNTA('UX + Dev'!V57)&gt;0,DATE(YEAR('UX + Dev'!V57),MONTH('UX + Dev'!V57),1),"")))</f>
      </c>
      <c r="BC57" s="308">
        <f>IF($B57="","",IF(COUNTA('UX + Dev'!V57)&gt;0,EOMONTH('UX + Dev'!V57,0),IF(COUNTA('UX + Dev'!U57)&gt;0,EOMONTH('UX + Dev'!U57,0),"")))</f>
      </c>
    </row>
    <row r="58">
      <c r="A58" s="305" t="n">
        <v>58</v>
      </c>
      <c r="B58" s="305">
        <f>IF(TRIM('UX + Dev'!E58)="","",TRIM('UX + Dev'!E58))</f>
      </c>
      <c r="C58" s="305">
        <f>IF($B58="","",'UX + Dev'!B58)</f>
      </c>
      <c r="D58" s="305">
        <f>IF($B58="","",IF(TRIM('UX + Dev'!C58)="","(No theme assigned)",TRIM('UX + Dev'!C58)))</f>
      </c>
      <c r="E58" s="305">
        <f>IF($B58="","",TRIM('UX + Dev'!F58))</f>
      </c>
      <c r="F58" s="305">
        <f>IF($B58="","",'UX + Dev'!G58)</f>
      </c>
      <c r="G58" s="306">
        <f t="array" ref="G58">IF($B58="","",IF($T58=0,"",IFERROR(MIN(IF('UX + Dev'!$AB58:$DN58&lt;&gt;"",'UX + Dev'!$AB$1:$DN$1)),"")))</f>
      </c>
      <c r="H58" s="306">
        <f t="array" ref="H58">IF($B58="","",IF($T58=0,"",IFERROR(MAX(IF('UX + Dev'!$AB58:$DN58&lt;&gt;"",'UX + Dev'!$AB$1:$DN$1)),"")))</f>
      </c>
      <c r="I58" s="307">
        <f>IF($R58&lt;&gt;"",$R58,IF($S58&lt;&gt;"",$S58,""))</f>
      </c>
      <c r="J58" s="307">
        <f>IF($S58&lt;&gt;"",EOMONTH($S58,0),IF($R58&lt;&gt;"",EOMONTH($R58,0),""))</f>
      </c>
      <c r="K58" s="305">
        <f>IF($B58="","",IF(COUNTA('UX + Dev'!AA58)=0,"",TRIM('UX + Dev'!AA58)))</f>
      </c>
      <c r="L58" s="305">
        <f>IF($B58="","",IFERROR(MATCH($D58,Control!$E$4:$E$30,0),99))</f>
      </c>
      <c r="M58" s="305">
        <f>IF($B58="","",IFERROR(MATCH($F58,Control!$B$4:$B$30,0),99))</f>
      </c>
      <c r="N58" s="305">
        <f>IF($V58&lt;&gt;1,"",IF('Roadmap (Auto)'!$D$3="Status, then Theme",$M58*1000000+$L58*10000+ROW(),IF('Roadmap (Auto)'!$D$3="Dev start (earliest)",IF($I58="",99999999,$I58)*10000+ROW(),IF('Roadmap (Auto)'!$D$3="UX start (earliest)",IF($G58="",99999999,$G58)*10000+ROW(),IF('Roadmap (Auto)'!$D$3="Deliverable A-Z",$W58*10000+ROW(),$L58*1000000+$M58*10000+ROW())))))</f>
      </c>
      <c r="O58" s="305">
        <f>IF($N58="","",COUNTIF($N$2:$N$151,"&lt;"&amp;$N58)+1)</f>
      </c>
      <c r="P58" s="305">
        <f>IF($B58="","",IF(COUNTA('UX + Dev'!X58)=0,"",'UX + Dev'!X58))</f>
      </c>
      <c r="Q58" s="305">
        <f>IF($B58="","",IF(COUNTA('UX + Dev'!Y58)=0,"",'UX + Dev'!Y58))</f>
      </c>
      <c r="R58" s="307">
        <f>IF($P58="","",IF(ISNUMBER($P58),DATE(YEAR($P58),MONTH($P58),1),IFERROR(DATE(IFERROR(VALUE(RIGHT(TRIM($P58),4)),YEAR(TODAY())),(SEARCH(LEFT(TRIM($P58),3),"JanFebMarAprMayJunJulAugSepOctNovDec")+2)/3,1),"")))</f>
      </c>
      <c r="S58" s="307">
        <f>IF($Q58="","",IF(ISNUMBER($Q58),DATE(YEAR($Q58),MONTH($Q58),1),IFERROR(DATE(IFERROR(VALUE(RIGHT(TRIM($Q58),4)),YEAR(TODAY())),(SEARCH(LEFT(TRIM($Q58),3),"JanFebMarAprMayJunJulAugSepOctNovDec")+2)/3,1),"")))</f>
      </c>
      <c r="T58" s="305">
        <f>IF($B58="","",COUNTA('UX + Dev'!$AB58:$DN58))</f>
      </c>
      <c r="U58" s="305">
        <f>IF($B58="","",IFERROR(MATCH($D58,Control!$E$4:$E$30,0)+3,0))</f>
      </c>
      <c r="V58" s="305">
        <f>IF($B58="","",IF(AND(OR('Roadmap (Auto)'!$A$3="",'Roadmap (Auto)'!$A$3="(All)",ISNUMBER(SEARCH('Roadmap (Auto)'!$A$3,$C58&amp;""))),OR('Roadmap (Auto)'!$B$3="",'Roadmap (Auto)'!$B$3="(All)",$D58='Roadmap (Auto)'!$B$3,$X58='Roadmap (Auto)'!$B$3),OR('Roadmap (Auto)'!$C$3="",'Roadmap (Auto)'!$C$3="(All)",$F58='Roadmap (Auto)'!$C$3)),1,0))</f>
      </c>
      <c r="W58" s="305">
        <f>IF($B58="","",COUNTIF($Y$2:$Y$151,"&lt;"&amp;$Y58)+1)</f>
      </c>
      <c r="X58" s="305">
        <f>IF($B58="","",IF(TRIM('UX + Dev'!D58)="","",TRIM('UX + Dev'!D58)))</f>
      </c>
      <c r="Y58" s="305">
        <f>IF($B58="","",SUBSTITUTE(SUBSTITUTE(SUBSTITUTE(SUBSTITUTE(SUBSTITUTE(SUBSTITUTE(SUBSTITUTE(SUBSTITUTE(SUBSTITUTE(SUBSTITUTE(SUBSTITUTE(SUBSTITUTE(SUBSTITUTE(SUBSTITUTE(SUBSTITUTE(SUBSTITUTE(SUBSTITUTE(SUBSTITUTE(SUBSTITUTE(SUBSTITUTE(SUBSTITUTE(SUBSTITUTE(SUBSTITUTE(SUBSTITUTE(SUBSTITUTE(UPPER($B58)," ",""),"-",""),":",""),"/",""),"&amp;",""),"|",""),"'",""),"’",""),"&lt;",""),"&gt;",""),",",""),"$",""),".",""),"(",""),")",""),"*",""),"?",""),"~",""),"_",""),"+",""),"#",""),";",""),"!",""),"%",""),"@",""))</f>
      </c>
      <c r="AA58">
        <f>IF($B58="",0,COUNTIFS('UX + Dev'!$AB$1:$DN$1,"&gt;="&amp;AA$1,'UX + Dev'!$AB$1:$DN$1,"&lt;="&amp;EOMONTH(AA$1,0),'UX + Dev'!$AB58:$DN58,"&lt;&gt;"))</f>
      </c>
      <c r="AB58">
        <f>IF($B58="",0,COUNTIFS('UX + Dev'!$AB$1:$DN$1,"&gt;="&amp;AB$1,'UX + Dev'!$AB$1:$DN$1,"&lt;="&amp;EOMONTH(AB$1,0),'UX + Dev'!$AB58:$DN58,"&lt;&gt;"))</f>
      </c>
      <c r="AC58">
        <f>IF($B58="",0,COUNTIFS('UX + Dev'!$AB$1:$DN$1,"&gt;="&amp;AC$1,'UX + Dev'!$AB$1:$DN$1,"&lt;="&amp;EOMONTH(AC$1,0),'UX + Dev'!$AB58:$DN58,"&lt;&gt;"))</f>
      </c>
      <c r="AD58">
        <f>IF($B58="",0,COUNTIFS('UX + Dev'!$AB$1:$DN$1,"&gt;="&amp;AD$1,'UX + Dev'!$AB$1:$DN$1,"&lt;="&amp;EOMONTH(AD$1,0),'UX + Dev'!$AB58:$DN58,"&lt;&gt;"))</f>
      </c>
      <c r="AE58">
        <f>IF($B58="",0,COUNTIFS('UX + Dev'!$AB$1:$DN$1,"&gt;="&amp;AE$1,'UX + Dev'!$AB$1:$DN$1,"&lt;="&amp;EOMONTH(AE$1,0),'UX + Dev'!$AB58:$DN58,"&lt;&gt;"))</f>
      </c>
      <c r="AF58">
        <f>IF($B58="",0,COUNTIFS('UX + Dev'!$AB$1:$DN$1,"&gt;="&amp;AF$1,'UX + Dev'!$AB$1:$DN$1,"&lt;="&amp;EOMONTH(AF$1,0),'UX + Dev'!$AB58:$DN58,"&lt;&gt;"))</f>
      </c>
      <c r="AG58">
        <f>IF($B58="",0,COUNTIFS('UX + Dev'!$AB$1:$DN$1,"&gt;="&amp;AG$1,'UX + Dev'!$AB$1:$DN$1,"&lt;="&amp;EOMONTH(AG$1,0),'UX + Dev'!$AB58:$DN58,"&lt;&gt;"))</f>
      </c>
      <c r="AH58">
        <f>IF($B58="",0,COUNTIFS('UX + Dev'!$AB$1:$DN$1,"&gt;="&amp;AH$1,'UX + Dev'!$AB$1:$DN$1,"&lt;="&amp;EOMONTH(AH$1,0),'UX + Dev'!$AB58:$DN58,"&lt;&gt;"))</f>
      </c>
      <c r="AI58">
        <f>IF($B58="",0,COUNTIFS('UX + Dev'!$AB$1:$DN$1,"&gt;="&amp;AI$1,'UX + Dev'!$AB$1:$DN$1,"&lt;="&amp;EOMONTH(AI$1,0),'UX + Dev'!$AB58:$DN58,"&lt;&gt;"))</f>
      </c>
      <c r="AJ58">
        <f>IF($B58="",0,COUNTIFS('UX + Dev'!$AB$1:$DN$1,"&gt;="&amp;AJ$1,'UX + Dev'!$AB$1:$DN$1,"&lt;="&amp;EOMONTH(AJ$1,0),'UX + Dev'!$AB58:$DN58,"&lt;&gt;"))</f>
      </c>
      <c r="AK58">
        <f>IF($B58="",0,COUNTIFS('UX + Dev'!$AB$1:$DN$1,"&gt;="&amp;AK$1,'UX + Dev'!$AB$1:$DN$1,"&lt;="&amp;EOMONTH(AK$1,0),'UX + Dev'!$AB58:$DN58,"&lt;&gt;"))</f>
      </c>
      <c r="AL58">
        <f>IF($B58="",0,COUNTIFS('UX + Dev'!$AB$1:$DN$1,"&gt;="&amp;AL$1,'UX + Dev'!$AB$1:$DN$1,"&lt;="&amp;EOMONTH(AL$1,0),'UX + Dev'!$AB58:$DN58,"&lt;&gt;"))</f>
      </c>
      <c r="AM58">
        <f>IF($B58="",0,COUNTIFS('UX + Dev'!$AB$1:$DN$1,"&gt;="&amp;AM$1,'UX + Dev'!$AB$1:$DN$1,"&lt;="&amp;EOMONTH(AM$1,0),'UX + Dev'!$AB58:$DN58,"&lt;&gt;"))</f>
      </c>
      <c r="AN58">
        <f>IF($B58="",0,COUNTIFS('UX + Dev'!$AB$1:$DN$1,"&gt;="&amp;AN$1,'UX + Dev'!$AB$1:$DN$1,"&lt;="&amp;EOMONTH(AN$1,0),'UX + Dev'!$AB58:$DN58,"&lt;&gt;"))</f>
      </c>
      <c r="AO58">
        <f>IF($B58="",0,COUNTIFS('UX + Dev'!$AB$1:$DN$1,"&gt;="&amp;AO$1,'UX + Dev'!$AB$1:$DN$1,"&lt;="&amp;EOMONTH(AO$1,0),'UX + Dev'!$AB58:$DN58,"&lt;&gt;"))</f>
      </c>
      <c r="AP58">
        <f>IF($B58="",0,COUNTIFS('UX + Dev'!$AB$1:$DN$1,"&gt;="&amp;AP$1,'UX + Dev'!$AB$1:$DN$1,"&lt;="&amp;EOMONTH(AP$1,0),'UX + Dev'!$AB58:$DN58,"&lt;&gt;"))</f>
      </c>
      <c r="AQ58">
        <f>IF($B58="",0,COUNTIFS('UX + Dev'!$AB$1:$DN$1,"&gt;="&amp;AQ$1,'UX + Dev'!$AB$1:$DN$1,"&lt;="&amp;EOMONTH(AQ$1,0),'UX + Dev'!$AB58:$DN58,"&lt;&gt;"))</f>
      </c>
      <c r="AR58">
        <f>IF($B58="",0,COUNTIFS('UX + Dev'!$AB$1:$DN$1,"&gt;="&amp;AR$1,'UX + Dev'!$AB$1:$DN$1,"&lt;="&amp;EOMONTH(AR$1,0),'UX + Dev'!$AB58:$DN58,"&lt;&gt;"))</f>
      </c>
      <c r="AS58">
        <f>IF($B58="",0,COUNTIFS('UX + Dev'!$AB$1:$DN$1,"&gt;="&amp;AS$1,'UX + Dev'!$AB$1:$DN$1,"&lt;="&amp;EOMONTH(AS$1,0),'UX + Dev'!$AB58:$DN58,"&lt;&gt;"))</f>
      </c>
      <c r="AT58">
        <f>IF($B58="",0,COUNTIFS('UX + Dev'!$AB$1:$DN$1,"&gt;="&amp;AT$1,'UX + Dev'!$AB$1:$DN$1,"&lt;="&amp;EOMONTH(AT$1,0),'UX + Dev'!$AB58:$DN58,"&lt;&gt;"))</f>
      </c>
      <c r="AU58">
        <f>IF($B58="",0,COUNTIFS('UX + Dev'!$AB$1:$DN$1,"&gt;="&amp;AU$1,'UX + Dev'!$AB$1:$DN$1,"&lt;="&amp;EOMONTH(AU$1,0),'UX + Dev'!$AB58:$DN58,"&lt;&gt;"))</f>
      </c>
      <c r="AV58">
        <f>IF($B58="",0,COUNTIFS('UX + Dev'!$AB$1:$DN$1,"&gt;="&amp;AV$1,'UX + Dev'!$AB$1:$DN$1,"&lt;="&amp;EOMONTH(AV$1,0),'UX + Dev'!$AB58:$DN58,"&lt;&gt;"))</f>
      </c>
      <c r="AW58">
        <f>IF($B58="",0,COUNTIFS('UX + Dev'!$AB$1:$DN$1,"&gt;="&amp;AW$1,'UX + Dev'!$AB$1:$DN$1,"&lt;="&amp;EOMONTH(AW$1,0),'UX + Dev'!$AB58:$DN58,"&lt;&gt;"))</f>
      </c>
      <c r="AX58">
        <f>IF($B58="",0,COUNTIFS('UX + Dev'!$AB$1:$DN$1,"&gt;="&amp;AX$1,'UX + Dev'!$AB$1:$DN$1,"&lt;="&amp;EOMONTH(AX$1,0),'UX + Dev'!$AB58:$DN58,"&lt;&gt;"))</f>
      </c>
      <c r="BB58" s="308">
        <f>IF($B58="","",IF(COUNTA('UX + Dev'!U58)&gt;0,DATE(YEAR('UX + Dev'!U58),MONTH('UX + Dev'!U58),1),IF(COUNTA('UX + Dev'!V58)&gt;0,DATE(YEAR('UX + Dev'!V58),MONTH('UX + Dev'!V58),1),"")))</f>
      </c>
      <c r="BC58" s="308">
        <f>IF($B58="","",IF(COUNTA('UX + Dev'!V58)&gt;0,EOMONTH('UX + Dev'!V58,0),IF(COUNTA('UX + Dev'!U58)&gt;0,EOMONTH('UX + Dev'!U58,0),"")))</f>
      </c>
    </row>
    <row r="59">
      <c r="A59" s="305" t="n">
        <v>59</v>
      </c>
      <c r="B59" s="305">
        <f>IF(TRIM('UX + Dev'!E59)="","",TRIM('UX + Dev'!E59))</f>
      </c>
      <c r="C59" s="305">
        <f>IF($B59="","",'UX + Dev'!B59)</f>
      </c>
      <c r="D59" s="305">
        <f>IF($B59="","",IF(TRIM('UX + Dev'!C59)="","(No theme assigned)",TRIM('UX + Dev'!C59)))</f>
      </c>
      <c r="E59" s="305">
        <f>IF($B59="","",TRIM('UX + Dev'!F59))</f>
      </c>
      <c r="F59" s="305">
        <f>IF($B59="","",'UX + Dev'!G59)</f>
      </c>
      <c r="G59" s="306">
        <f t="array" ref="G59">IF($B59="","",IF($T59=0,"",IFERROR(MIN(IF('UX + Dev'!$AB59:$DN59&lt;&gt;"",'UX + Dev'!$AB$1:$DN$1)),"")))</f>
      </c>
      <c r="H59" s="306">
        <f t="array" ref="H59">IF($B59="","",IF($T59=0,"",IFERROR(MAX(IF('UX + Dev'!$AB59:$DN59&lt;&gt;"",'UX + Dev'!$AB$1:$DN$1)),"")))</f>
      </c>
      <c r="I59" s="307">
        <f>IF($R59&lt;&gt;"",$R59,IF($S59&lt;&gt;"",$S59,""))</f>
      </c>
      <c r="J59" s="307">
        <f>IF($S59&lt;&gt;"",EOMONTH($S59,0),IF($R59&lt;&gt;"",EOMONTH($R59,0),""))</f>
      </c>
      <c r="K59" s="305">
        <f>IF($B59="","",IF(COUNTA('UX + Dev'!AA59)=0,"",TRIM('UX + Dev'!AA59)))</f>
      </c>
      <c r="L59" s="305">
        <f>IF($B59="","",IFERROR(MATCH($D59,Control!$E$4:$E$30,0),99))</f>
      </c>
      <c r="M59" s="305">
        <f>IF($B59="","",IFERROR(MATCH($F59,Control!$B$4:$B$30,0),99))</f>
      </c>
      <c r="N59" s="305">
        <f>IF($V59&lt;&gt;1,"",IF('Roadmap (Auto)'!$D$3="Status, then Theme",$M59*1000000+$L59*10000+ROW(),IF('Roadmap (Auto)'!$D$3="Dev start (earliest)",IF($I59="",99999999,$I59)*10000+ROW(),IF('Roadmap (Auto)'!$D$3="UX start (earliest)",IF($G59="",99999999,$G59)*10000+ROW(),IF('Roadmap (Auto)'!$D$3="Deliverable A-Z",$W59*10000+ROW(),$L59*1000000+$M59*10000+ROW())))))</f>
      </c>
      <c r="O59" s="305">
        <f>IF($N59="","",COUNTIF($N$2:$N$151,"&lt;"&amp;$N59)+1)</f>
      </c>
      <c r="P59" s="305">
        <f>IF($B59="","",IF(COUNTA('UX + Dev'!X59)=0,"",'UX + Dev'!X59))</f>
      </c>
      <c r="Q59" s="305">
        <f>IF($B59="","",IF(COUNTA('UX + Dev'!Y59)=0,"",'UX + Dev'!Y59))</f>
      </c>
      <c r="R59" s="307">
        <f>IF($P59="","",IF(ISNUMBER($P59),DATE(YEAR($P59),MONTH($P59),1),IFERROR(DATE(IFERROR(VALUE(RIGHT(TRIM($P59),4)),YEAR(TODAY())),(SEARCH(LEFT(TRIM($P59),3),"JanFebMarAprMayJunJulAugSepOctNovDec")+2)/3,1),"")))</f>
      </c>
      <c r="S59" s="307">
        <f>IF($Q59="","",IF(ISNUMBER($Q59),DATE(YEAR($Q59),MONTH($Q59),1),IFERROR(DATE(IFERROR(VALUE(RIGHT(TRIM($Q59),4)),YEAR(TODAY())),(SEARCH(LEFT(TRIM($Q59),3),"JanFebMarAprMayJunJulAugSepOctNovDec")+2)/3,1),"")))</f>
      </c>
      <c r="T59" s="305">
        <f>IF($B59="","",COUNTA('UX + Dev'!$AB59:$DN59))</f>
      </c>
      <c r="U59" s="305">
        <f>IF($B59="","",IFERROR(MATCH($D59,Control!$E$4:$E$30,0)+3,0))</f>
      </c>
      <c r="V59" s="305">
        <f>IF($B59="","",IF(AND(OR('Roadmap (Auto)'!$A$3="",'Roadmap (Auto)'!$A$3="(All)",ISNUMBER(SEARCH('Roadmap (Auto)'!$A$3,$C59&amp;""))),OR('Roadmap (Auto)'!$B$3="",'Roadmap (Auto)'!$B$3="(All)",$D59='Roadmap (Auto)'!$B$3,$X59='Roadmap (Auto)'!$B$3),OR('Roadmap (Auto)'!$C$3="",'Roadmap (Auto)'!$C$3="(All)",$F59='Roadmap (Auto)'!$C$3)),1,0))</f>
      </c>
      <c r="W59" s="305">
        <f>IF($B59="","",COUNTIF($Y$2:$Y$151,"&lt;"&amp;$Y59)+1)</f>
      </c>
      <c r="X59" s="305">
        <f>IF($B59="","",IF(TRIM('UX + Dev'!D59)="","",TRIM('UX + Dev'!D59)))</f>
      </c>
      <c r="Y59" s="305">
        <f>IF($B59="","",SUBSTITUTE(SUBSTITUTE(SUBSTITUTE(SUBSTITUTE(SUBSTITUTE(SUBSTITUTE(SUBSTITUTE(SUBSTITUTE(SUBSTITUTE(SUBSTITUTE(SUBSTITUTE(SUBSTITUTE(SUBSTITUTE(SUBSTITUTE(SUBSTITUTE(SUBSTITUTE(SUBSTITUTE(SUBSTITUTE(SUBSTITUTE(SUBSTITUTE(SUBSTITUTE(SUBSTITUTE(SUBSTITUTE(SUBSTITUTE(SUBSTITUTE(UPPER($B59)," ",""),"-",""),":",""),"/",""),"&amp;",""),"|",""),"'",""),"’",""),"&lt;",""),"&gt;",""),",",""),"$",""),".",""),"(",""),")",""),"*",""),"?",""),"~",""),"_",""),"+",""),"#",""),";",""),"!",""),"%",""),"@",""))</f>
      </c>
      <c r="AA59">
        <f>IF($B59="",0,COUNTIFS('UX + Dev'!$AB$1:$DN$1,"&gt;="&amp;AA$1,'UX + Dev'!$AB$1:$DN$1,"&lt;="&amp;EOMONTH(AA$1,0),'UX + Dev'!$AB59:$DN59,"&lt;&gt;"))</f>
      </c>
      <c r="AB59">
        <f>IF($B59="",0,COUNTIFS('UX + Dev'!$AB$1:$DN$1,"&gt;="&amp;AB$1,'UX + Dev'!$AB$1:$DN$1,"&lt;="&amp;EOMONTH(AB$1,0),'UX + Dev'!$AB59:$DN59,"&lt;&gt;"))</f>
      </c>
      <c r="AC59">
        <f>IF($B59="",0,COUNTIFS('UX + Dev'!$AB$1:$DN$1,"&gt;="&amp;AC$1,'UX + Dev'!$AB$1:$DN$1,"&lt;="&amp;EOMONTH(AC$1,0),'UX + Dev'!$AB59:$DN59,"&lt;&gt;"))</f>
      </c>
      <c r="AD59">
        <f>IF($B59="",0,COUNTIFS('UX + Dev'!$AB$1:$DN$1,"&gt;="&amp;AD$1,'UX + Dev'!$AB$1:$DN$1,"&lt;="&amp;EOMONTH(AD$1,0),'UX + Dev'!$AB59:$DN59,"&lt;&gt;"))</f>
      </c>
      <c r="AE59">
        <f>IF($B59="",0,COUNTIFS('UX + Dev'!$AB$1:$DN$1,"&gt;="&amp;AE$1,'UX + Dev'!$AB$1:$DN$1,"&lt;="&amp;EOMONTH(AE$1,0),'UX + Dev'!$AB59:$DN59,"&lt;&gt;"))</f>
      </c>
      <c r="AF59">
        <f>IF($B59="",0,COUNTIFS('UX + Dev'!$AB$1:$DN$1,"&gt;="&amp;AF$1,'UX + Dev'!$AB$1:$DN$1,"&lt;="&amp;EOMONTH(AF$1,0),'UX + Dev'!$AB59:$DN59,"&lt;&gt;"))</f>
      </c>
      <c r="AG59">
        <f>IF($B59="",0,COUNTIFS('UX + Dev'!$AB$1:$DN$1,"&gt;="&amp;AG$1,'UX + Dev'!$AB$1:$DN$1,"&lt;="&amp;EOMONTH(AG$1,0),'UX + Dev'!$AB59:$DN59,"&lt;&gt;"))</f>
      </c>
      <c r="AH59">
        <f>IF($B59="",0,COUNTIFS('UX + Dev'!$AB$1:$DN$1,"&gt;="&amp;AH$1,'UX + Dev'!$AB$1:$DN$1,"&lt;="&amp;EOMONTH(AH$1,0),'UX + Dev'!$AB59:$DN59,"&lt;&gt;"))</f>
      </c>
      <c r="AI59">
        <f>IF($B59="",0,COUNTIFS('UX + Dev'!$AB$1:$DN$1,"&gt;="&amp;AI$1,'UX + Dev'!$AB$1:$DN$1,"&lt;="&amp;EOMONTH(AI$1,0),'UX + Dev'!$AB59:$DN59,"&lt;&gt;"))</f>
      </c>
      <c r="AJ59">
        <f>IF($B59="",0,COUNTIFS('UX + Dev'!$AB$1:$DN$1,"&gt;="&amp;AJ$1,'UX + Dev'!$AB$1:$DN$1,"&lt;="&amp;EOMONTH(AJ$1,0),'UX + Dev'!$AB59:$DN59,"&lt;&gt;"))</f>
      </c>
      <c r="AK59">
        <f>IF($B59="",0,COUNTIFS('UX + Dev'!$AB$1:$DN$1,"&gt;="&amp;AK$1,'UX + Dev'!$AB$1:$DN$1,"&lt;="&amp;EOMONTH(AK$1,0),'UX + Dev'!$AB59:$DN59,"&lt;&gt;"))</f>
      </c>
      <c r="AL59">
        <f>IF($B59="",0,COUNTIFS('UX + Dev'!$AB$1:$DN$1,"&gt;="&amp;AL$1,'UX + Dev'!$AB$1:$DN$1,"&lt;="&amp;EOMONTH(AL$1,0),'UX + Dev'!$AB59:$DN59,"&lt;&gt;"))</f>
      </c>
      <c r="AM59">
        <f>IF($B59="",0,COUNTIFS('UX + Dev'!$AB$1:$DN$1,"&gt;="&amp;AM$1,'UX + Dev'!$AB$1:$DN$1,"&lt;="&amp;EOMONTH(AM$1,0),'UX + Dev'!$AB59:$DN59,"&lt;&gt;"))</f>
      </c>
      <c r="AN59">
        <f>IF($B59="",0,COUNTIFS('UX + Dev'!$AB$1:$DN$1,"&gt;="&amp;AN$1,'UX + Dev'!$AB$1:$DN$1,"&lt;="&amp;EOMONTH(AN$1,0),'UX + Dev'!$AB59:$DN59,"&lt;&gt;"))</f>
      </c>
      <c r="AO59">
        <f>IF($B59="",0,COUNTIFS('UX + Dev'!$AB$1:$DN$1,"&gt;="&amp;AO$1,'UX + Dev'!$AB$1:$DN$1,"&lt;="&amp;EOMONTH(AO$1,0),'UX + Dev'!$AB59:$DN59,"&lt;&gt;"))</f>
      </c>
      <c r="AP59">
        <f>IF($B59="",0,COUNTIFS('UX + Dev'!$AB$1:$DN$1,"&gt;="&amp;AP$1,'UX + Dev'!$AB$1:$DN$1,"&lt;="&amp;EOMONTH(AP$1,0),'UX + Dev'!$AB59:$DN59,"&lt;&gt;"))</f>
      </c>
      <c r="AQ59">
        <f>IF($B59="",0,COUNTIFS('UX + Dev'!$AB$1:$DN$1,"&gt;="&amp;AQ$1,'UX + Dev'!$AB$1:$DN$1,"&lt;="&amp;EOMONTH(AQ$1,0),'UX + Dev'!$AB59:$DN59,"&lt;&gt;"))</f>
      </c>
      <c r="AR59">
        <f>IF($B59="",0,COUNTIFS('UX + Dev'!$AB$1:$DN$1,"&gt;="&amp;AR$1,'UX + Dev'!$AB$1:$DN$1,"&lt;="&amp;EOMONTH(AR$1,0),'UX + Dev'!$AB59:$DN59,"&lt;&gt;"))</f>
      </c>
      <c r="AS59">
        <f>IF($B59="",0,COUNTIFS('UX + Dev'!$AB$1:$DN$1,"&gt;="&amp;AS$1,'UX + Dev'!$AB$1:$DN$1,"&lt;="&amp;EOMONTH(AS$1,0),'UX + Dev'!$AB59:$DN59,"&lt;&gt;"))</f>
      </c>
      <c r="AT59">
        <f>IF($B59="",0,COUNTIFS('UX + Dev'!$AB$1:$DN$1,"&gt;="&amp;AT$1,'UX + Dev'!$AB$1:$DN$1,"&lt;="&amp;EOMONTH(AT$1,0),'UX + Dev'!$AB59:$DN59,"&lt;&gt;"))</f>
      </c>
      <c r="AU59">
        <f>IF($B59="",0,COUNTIFS('UX + Dev'!$AB$1:$DN$1,"&gt;="&amp;AU$1,'UX + Dev'!$AB$1:$DN$1,"&lt;="&amp;EOMONTH(AU$1,0),'UX + Dev'!$AB59:$DN59,"&lt;&gt;"))</f>
      </c>
      <c r="AV59">
        <f>IF($B59="",0,COUNTIFS('UX + Dev'!$AB$1:$DN$1,"&gt;="&amp;AV$1,'UX + Dev'!$AB$1:$DN$1,"&lt;="&amp;EOMONTH(AV$1,0),'UX + Dev'!$AB59:$DN59,"&lt;&gt;"))</f>
      </c>
      <c r="AW59">
        <f>IF($B59="",0,COUNTIFS('UX + Dev'!$AB$1:$DN$1,"&gt;="&amp;AW$1,'UX + Dev'!$AB$1:$DN$1,"&lt;="&amp;EOMONTH(AW$1,0),'UX + Dev'!$AB59:$DN59,"&lt;&gt;"))</f>
      </c>
      <c r="AX59">
        <f>IF($B59="",0,COUNTIFS('UX + Dev'!$AB$1:$DN$1,"&gt;="&amp;AX$1,'UX + Dev'!$AB$1:$DN$1,"&lt;="&amp;EOMONTH(AX$1,0),'UX + Dev'!$AB59:$DN59,"&lt;&gt;"))</f>
      </c>
      <c r="BB59" s="308">
        <f>IF($B59="","",IF(COUNTA('UX + Dev'!U59)&gt;0,DATE(YEAR('UX + Dev'!U59),MONTH('UX + Dev'!U59),1),IF(COUNTA('UX + Dev'!V59)&gt;0,DATE(YEAR('UX + Dev'!V59),MONTH('UX + Dev'!V59),1),"")))</f>
      </c>
      <c r="BC59" s="308">
        <f>IF($B59="","",IF(COUNTA('UX + Dev'!V59)&gt;0,EOMONTH('UX + Dev'!V59,0),IF(COUNTA('UX + Dev'!U59)&gt;0,EOMONTH('UX + Dev'!U59,0),"")))</f>
      </c>
    </row>
    <row r="60">
      <c r="A60" s="305" t="n">
        <v>60</v>
      </c>
      <c r="B60" s="305">
        <f>IF(TRIM('UX + Dev'!E60)="","",TRIM('UX + Dev'!E60))</f>
      </c>
      <c r="C60" s="305">
        <f>IF($B60="","",'UX + Dev'!B60)</f>
      </c>
      <c r="D60" s="305">
        <f>IF($B60="","",IF(TRIM('UX + Dev'!C60)="","(No theme assigned)",TRIM('UX + Dev'!C60)))</f>
      </c>
      <c r="E60" s="305">
        <f>IF($B60="","",TRIM('UX + Dev'!F60))</f>
      </c>
      <c r="F60" s="305">
        <f>IF($B60="","",'UX + Dev'!G60)</f>
      </c>
      <c r="G60" s="306">
        <f t="array" ref="G60">IF($B60="","",IF($T60=0,"",IFERROR(MIN(IF('UX + Dev'!$AB60:$DN60&lt;&gt;"",'UX + Dev'!$AB$1:$DN$1)),"")))</f>
      </c>
      <c r="H60" s="306">
        <f t="array" ref="H60">IF($B60="","",IF($T60=0,"",IFERROR(MAX(IF('UX + Dev'!$AB60:$DN60&lt;&gt;"",'UX + Dev'!$AB$1:$DN$1)),"")))</f>
      </c>
      <c r="I60" s="307">
        <f>IF($R60&lt;&gt;"",$R60,IF($S60&lt;&gt;"",$S60,""))</f>
      </c>
      <c r="J60" s="307">
        <f>IF($S60&lt;&gt;"",EOMONTH($S60,0),IF($R60&lt;&gt;"",EOMONTH($R60,0),""))</f>
      </c>
      <c r="K60" s="305">
        <f>IF($B60="","",IF(COUNTA('UX + Dev'!AA60)=0,"",TRIM('UX + Dev'!AA60)))</f>
      </c>
      <c r="L60" s="305">
        <f>IF($B60="","",IFERROR(MATCH($D60,Control!$E$4:$E$30,0),99))</f>
      </c>
      <c r="M60" s="305">
        <f>IF($B60="","",IFERROR(MATCH($F60,Control!$B$4:$B$30,0),99))</f>
      </c>
      <c r="N60" s="305">
        <f>IF($V60&lt;&gt;1,"",IF('Roadmap (Auto)'!$D$3="Status, then Theme",$M60*1000000+$L60*10000+ROW(),IF('Roadmap (Auto)'!$D$3="Dev start (earliest)",IF($I60="",99999999,$I60)*10000+ROW(),IF('Roadmap (Auto)'!$D$3="UX start (earliest)",IF($G60="",99999999,$G60)*10000+ROW(),IF('Roadmap (Auto)'!$D$3="Deliverable A-Z",$W60*10000+ROW(),$L60*1000000+$M60*10000+ROW())))))</f>
      </c>
      <c r="O60" s="305">
        <f>IF($N60="","",COUNTIF($N$2:$N$151,"&lt;"&amp;$N60)+1)</f>
      </c>
      <c r="P60" s="305">
        <f>IF($B60="","",IF(COUNTA('UX + Dev'!X60)=0,"",'UX + Dev'!X60))</f>
      </c>
      <c r="Q60" s="305">
        <f>IF($B60="","",IF(COUNTA('UX + Dev'!Y60)=0,"",'UX + Dev'!Y60))</f>
      </c>
      <c r="R60" s="307">
        <f>IF($P60="","",IF(ISNUMBER($P60),DATE(YEAR($P60),MONTH($P60),1),IFERROR(DATE(IFERROR(VALUE(RIGHT(TRIM($P60),4)),YEAR(TODAY())),(SEARCH(LEFT(TRIM($P60),3),"JanFebMarAprMayJunJulAugSepOctNovDec")+2)/3,1),"")))</f>
      </c>
      <c r="S60" s="307">
        <f>IF($Q60="","",IF(ISNUMBER($Q60),DATE(YEAR($Q60),MONTH($Q60),1),IFERROR(DATE(IFERROR(VALUE(RIGHT(TRIM($Q60),4)),YEAR(TODAY())),(SEARCH(LEFT(TRIM($Q60),3),"JanFebMarAprMayJunJulAugSepOctNovDec")+2)/3,1),"")))</f>
      </c>
      <c r="T60" s="305">
        <f>IF($B60="","",COUNTA('UX + Dev'!$AB60:$DN60))</f>
      </c>
      <c r="U60" s="305">
        <f>IF($B60="","",IFERROR(MATCH($D60,Control!$E$4:$E$30,0)+3,0))</f>
      </c>
      <c r="V60" s="305">
        <f>IF($B60="","",IF(AND(OR('Roadmap (Auto)'!$A$3="",'Roadmap (Auto)'!$A$3="(All)",ISNUMBER(SEARCH('Roadmap (Auto)'!$A$3,$C60&amp;""))),OR('Roadmap (Auto)'!$B$3="",'Roadmap (Auto)'!$B$3="(All)",$D60='Roadmap (Auto)'!$B$3,$X60='Roadmap (Auto)'!$B$3),OR('Roadmap (Auto)'!$C$3="",'Roadmap (Auto)'!$C$3="(All)",$F60='Roadmap (Auto)'!$C$3)),1,0))</f>
      </c>
      <c r="W60" s="305">
        <f>IF($B60="","",COUNTIF($Y$2:$Y$151,"&lt;"&amp;$Y60)+1)</f>
      </c>
      <c r="X60" s="305">
        <f>IF($B60="","",IF(TRIM('UX + Dev'!D60)="","",TRIM('UX + Dev'!D60)))</f>
      </c>
      <c r="Y60" s="305">
        <f>IF($B60="","",SUBSTITUTE(SUBSTITUTE(SUBSTITUTE(SUBSTITUTE(SUBSTITUTE(SUBSTITUTE(SUBSTITUTE(SUBSTITUTE(SUBSTITUTE(SUBSTITUTE(SUBSTITUTE(SUBSTITUTE(SUBSTITUTE(SUBSTITUTE(SUBSTITUTE(SUBSTITUTE(SUBSTITUTE(SUBSTITUTE(SUBSTITUTE(SUBSTITUTE(SUBSTITUTE(SUBSTITUTE(SUBSTITUTE(SUBSTITUTE(SUBSTITUTE(UPPER($B60)," ",""),"-",""),":",""),"/",""),"&amp;",""),"|",""),"'",""),"’",""),"&lt;",""),"&gt;",""),",",""),"$",""),".",""),"(",""),")",""),"*",""),"?",""),"~",""),"_",""),"+",""),"#",""),";",""),"!",""),"%",""),"@",""))</f>
      </c>
      <c r="AA60">
        <f>IF($B60="",0,COUNTIFS('UX + Dev'!$AB$1:$DN$1,"&gt;="&amp;AA$1,'UX + Dev'!$AB$1:$DN$1,"&lt;="&amp;EOMONTH(AA$1,0),'UX + Dev'!$AB60:$DN60,"&lt;&gt;"))</f>
      </c>
      <c r="AB60">
        <f>IF($B60="",0,COUNTIFS('UX + Dev'!$AB$1:$DN$1,"&gt;="&amp;AB$1,'UX + Dev'!$AB$1:$DN$1,"&lt;="&amp;EOMONTH(AB$1,0),'UX + Dev'!$AB60:$DN60,"&lt;&gt;"))</f>
      </c>
      <c r="AC60">
        <f>IF($B60="",0,COUNTIFS('UX + Dev'!$AB$1:$DN$1,"&gt;="&amp;AC$1,'UX + Dev'!$AB$1:$DN$1,"&lt;="&amp;EOMONTH(AC$1,0),'UX + Dev'!$AB60:$DN60,"&lt;&gt;"))</f>
      </c>
      <c r="AD60">
        <f>IF($B60="",0,COUNTIFS('UX + Dev'!$AB$1:$DN$1,"&gt;="&amp;AD$1,'UX + Dev'!$AB$1:$DN$1,"&lt;="&amp;EOMONTH(AD$1,0),'UX + Dev'!$AB60:$DN60,"&lt;&gt;"))</f>
      </c>
      <c r="AE60">
        <f>IF($B60="",0,COUNTIFS('UX + Dev'!$AB$1:$DN$1,"&gt;="&amp;AE$1,'UX + Dev'!$AB$1:$DN$1,"&lt;="&amp;EOMONTH(AE$1,0),'UX + Dev'!$AB60:$DN60,"&lt;&gt;"))</f>
      </c>
      <c r="AF60">
        <f>IF($B60="",0,COUNTIFS('UX + Dev'!$AB$1:$DN$1,"&gt;="&amp;AF$1,'UX + Dev'!$AB$1:$DN$1,"&lt;="&amp;EOMONTH(AF$1,0),'UX + Dev'!$AB60:$DN60,"&lt;&gt;"))</f>
      </c>
      <c r="AG60">
        <f>IF($B60="",0,COUNTIFS('UX + Dev'!$AB$1:$DN$1,"&gt;="&amp;AG$1,'UX + Dev'!$AB$1:$DN$1,"&lt;="&amp;EOMONTH(AG$1,0),'UX + Dev'!$AB60:$DN60,"&lt;&gt;"))</f>
      </c>
      <c r="AH60">
        <f>IF($B60="",0,COUNTIFS('UX + Dev'!$AB$1:$DN$1,"&gt;="&amp;AH$1,'UX + Dev'!$AB$1:$DN$1,"&lt;="&amp;EOMONTH(AH$1,0),'UX + Dev'!$AB60:$DN60,"&lt;&gt;"))</f>
      </c>
      <c r="AI60">
        <f>IF($B60="",0,COUNTIFS('UX + Dev'!$AB$1:$DN$1,"&gt;="&amp;AI$1,'UX + Dev'!$AB$1:$DN$1,"&lt;="&amp;EOMONTH(AI$1,0),'UX + Dev'!$AB60:$DN60,"&lt;&gt;"))</f>
      </c>
      <c r="AJ60">
        <f>IF($B60="",0,COUNTIFS('UX + Dev'!$AB$1:$DN$1,"&gt;="&amp;AJ$1,'UX + Dev'!$AB$1:$DN$1,"&lt;="&amp;EOMONTH(AJ$1,0),'UX + Dev'!$AB60:$DN60,"&lt;&gt;"))</f>
      </c>
      <c r="AK60">
        <f>IF($B60="",0,COUNTIFS('UX + Dev'!$AB$1:$DN$1,"&gt;="&amp;AK$1,'UX + Dev'!$AB$1:$DN$1,"&lt;="&amp;EOMONTH(AK$1,0),'UX + Dev'!$AB60:$DN60,"&lt;&gt;"))</f>
      </c>
      <c r="AL60">
        <f>IF($B60="",0,COUNTIFS('UX + Dev'!$AB$1:$DN$1,"&gt;="&amp;AL$1,'UX + Dev'!$AB$1:$DN$1,"&lt;="&amp;EOMONTH(AL$1,0),'UX + Dev'!$AB60:$DN60,"&lt;&gt;"))</f>
      </c>
      <c r="AM60">
        <f>IF($B60="",0,COUNTIFS('UX + Dev'!$AB$1:$DN$1,"&gt;="&amp;AM$1,'UX + Dev'!$AB$1:$DN$1,"&lt;="&amp;EOMONTH(AM$1,0),'UX + Dev'!$AB60:$DN60,"&lt;&gt;"))</f>
      </c>
      <c r="AN60">
        <f>IF($B60="",0,COUNTIFS('UX + Dev'!$AB$1:$DN$1,"&gt;="&amp;AN$1,'UX + Dev'!$AB$1:$DN$1,"&lt;="&amp;EOMONTH(AN$1,0),'UX + Dev'!$AB60:$DN60,"&lt;&gt;"))</f>
      </c>
      <c r="AO60">
        <f>IF($B60="",0,COUNTIFS('UX + Dev'!$AB$1:$DN$1,"&gt;="&amp;AO$1,'UX + Dev'!$AB$1:$DN$1,"&lt;="&amp;EOMONTH(AO$1,0),'UX + Dev'!$AB60:$DN60,"&lt;&gt;"))</f>
      </c>
      <c r="AP60">
        <f>IF($B60="",0,COUNTIFS('UX + Dev'!$AB$1:$DN$1,"&gt;="&amp;AP$1,'UX + Dev'!$AB$1:$DN$1,"&lt;="&amp;EOMONTH(AP$1,0),'UX + Dev'!$AB60:$DN60,"&lt;&gt;"))</f>
      </c>
      <c r="AQ60">
        <f>IF($B60="",0,COUNTIFS('UX + Dev'!$AB$1:$DN$1,"&gt;="&amp;AQ$1,'UX + Dev'!$AB$1:$DN$1,"&lt;="&amp;EOMONTH(AQ$1,0),'UX + Dev'!$AB60:$DN60,"&lt;&gt;"))</f>
      </c>
      <c r="AR60">
        <f>IF($B60="",0,COUNTIFS('UX + Dev'!$AB$1:$DN$1,"&gt;="&amp;AR$1,'UX + Dev'!$AB$1:$DN$1,"&lt;="&amp;EOMONTH(AR$1,0),'UX + Dev'!$AB60:$DN60,"&lt;&gt;"))</f>
      </c>
      <c r="AS60">
        <f>IF($B60="",0,COUNTIFS('UX + Dev'!$AB$1:$DN$1,"&gt;="&amp;AS$1,'UX + Dev'!$AB$1:$DN$1,"&lt;="&amp;EOMONTH(AS$1,0),'UX + Dev'!$AB60:$DN60,"&lt;&gt;"))</f>
      </c>
      <c r="AT60">
        <f>IF($B60="",0,COUNTIFS('UX + Dev'!$AB$1:$DN$1,"&gt;="&amp;AT$1,'UX + Dev'!$AB$1:$DN$1,"&lt;="&amp;EOMONTH(AT$1,0),'UX + Dev'!$AB60:$DN60,"&lt;&gt;"))</f>
      </c>
      <c r="AU60">
        <f>IF($B60="",0,COUNTIFS('UX + Dev'!$AB$1:$DN$1,"&gt;="&amp;AU$1,'UX + Dev'!$AB$1:$DN$1,"&lt;="&amp;EOMONTH(AU$1,0),'UX + Dev'!$AB60:$DN60,"&lt;&gt;"))</f>
      </c>
      <c r="AV60">
        <f>IF($B60="",0,COUNTIFS('UX + Dev'!$AB$1:$DN$1,"&gt;="&amp;AV$1,'UX + Dev'!$AB$1:$DN$1,"&lt;="&amp;EOMONTH(AV$1,0),'UX + Dev'!$AB60:$DN60,"&lt;&gt;"))</f>
      </c>
      <c r="AW60">
        <f>IF($B60="",0,COUNTIFS('UX + Dev'!$AB$1:$DN$1,"&gt;="&amp;AW$1,'UX + Dev'!$AB$1:$DN$1,"&lt;="&amp;EOMONTH(AW$1,0),'UX + Dev'!$AB60:$DN60,"&lt;&gt;"))</f>
      </c>
      <c r="AX60">
        <f>IF($B60="",0,COUNTIFS('UX + Dev'!$AB$1:$DN$1,"&gt;="&amp;AX$1,'UX + Dev'!$AB$1:$DN$1,"&lt;="&amp;EOMONTH(AX$1,0),'UX + Dev'!$AB60:$DN60,"&lt;&gt;"))</f>
      </c>
      <c r="BB60" s="308">
        <f>IF($B60="","",IF(COUNTA('UX + Dev'!U60)&gt;0,DATE(YEAR('UX + Dev'!U60),MONTH('UX + Dev'!U60),1),IF(COUNTA('UX + Dev'!V60)&gt;0,DATE(YEAR('UX + Dev'!V60),MONTH('UX + Dev'!V60),1),"")))</f>
      </c>
      <c r="BC60" s="308">
        <f>IF($B60="","",IF(COUNTA('UX + Dev'!V60)&gt;0,EOMONTH('UX + Dev'!V60,0),IF(COUNTA('UX + Dev'!U60)&gt;0,EOMONTH('UX + Dev'!U60,0),"")))</f>
      </c>
    </row>
    <row r="61">
      <c r="A61" s="305" t="n">
        <v>61</v>
      </c>
      <c r="B61" s="305">
        <f>IF(TRIM('UX + Dev'!E61)="","",TRIM('UX + Dev'!E61))</f>
      </c>
      <c r="C61" s="305">
        <f>IF($B61="","",'UX + Dev'!B61)</f>
      </c>
      <c r="D61" s="305">
        <f>IF($B61="","",IF(TRIM('UX + Dev'!C61)="","(No theme assigned)",TRIM('UX + Dev'!C61)))</f>
      </c>
      <c r="E61" s="305">
        <f>IF($B61="","",TRIM('UX + Dev'!F61))</f>
      </c>
      <c r="F61" s="305">
        <f>IF($B61="","",'UX + Dev'!G61)</f>
      </c>
      <c r="G61" s="306">
        <f t="array" ref="G61">IF($B61="","",IF($T61=0,"",IFERROR(MIN(IF('UX + Dev'!$AB61:$DN61&lt;&gt;"",'UX + Dev'!$AB$1:$DN$1)),"")))</f>
      </c>
      <c r="H61" s="306">
        <f t="array" ref="H61">IF($B61="","",IF($T61=0,"",IFERROR(MAX(IF('UX + Dev'!$AB61:$DN61&lt;&gt;"",'UX + Dev'!$AB$1:$DN$1)),"")))</f>
      </c>
      <c r="I61" s="307">
        <f>IF($R61&lt;&gt;"",$R61,IF($S61&lt;&gt;"",$S61,""))</f>
      </c>
      <c r="J61" s="307">
        <f>IF($S61&lt;&gt;"",EOMONTH($S61,0),IF($R61&lt;&gt;"",EOMONTH($R61,0),""))</f>
      </c>
      <c r="K61" s="305">
        <f>IF($B61="","",IF(COUNTA('UX + Dev'!AA61)=0,"",TRIM('UX + Dev'!AA61)))</f>
      </c>
      <c r="L61" s="305">
        <f>IF($B61="","",IFERROR(MATCH($D61,Control!$E$4:$E$30,0),99))</f>
      </c>
      <c r="M61" s="305">
        <f>IF($B61="","",IFERROR(MATCH($F61,Control!$B$4:$B$30,0),99))</f>
      </c>
      <c r="N61" s="305">
        <f>IF($V61&lt;&gt;1,"",IF('Roadmap (Auto)'!$D$3="Status, then Theme",$M61*1000000+$L61*10000+ROW(),IF('Roadmap (Auto)'!$D$3="Dev start (earliest)",IF($I61="",99999999,$I61)*10000+ROW(),IF('Roadmap (Auto)'!$D$3="UX start (earliest)",IF($G61="",99999999,$G61)*10000+ROW(),IF('Roadmap (Auto)'!$D$3="Deliverable A-Z",$W61*10000+ROW(),$L61*1000000+$M61*10000+ROW())))))</f>
      </c>
      <c r="O61" s="305">
        <f>IF($N61="","",COUNTIF($N$2:$N$151,"&lt;"&amp;$N61)+1)</f>
      </c>
      <c r="P61" s="305">
        <f>IF($B61="","",IF(COUNTA('UX + Dev'!X61)=0,"",'UX + Dev'!X61))</f>
      </c>
      <c r="Q61" s="305">
        <f>IF($B61="","",IF(COUNTA('UX + Dev'!Y61)=0,"",'UX + Dev'!Y61))</f>
      </c>
      <c r="R61" s="307">
        <f>IF($P61="","",IF(ISNUMBER($P61),DATE(YEAR($P61),MONTH($P61),1),IFERROR(DATE(IFERROR(VALUE(RIGHT(TRIM($P61),4)),YEAR(TODAY())),(SEARCH(LEFT(TRIM($P61),3),"JanFebMarAprMayJunJulAugSepOctNovDec")+2)/3,1),"")))</f>
      </c>
      <c r="S61" s="307">
        <f>IF($Q61="","",IF(ISNUMBER($Q61),DATE(YEAR($Q61),MONTH($Q61),1),IFERROR(DATE(IFERROR(VALUE(RIGHT(TRIM($Q61),4)),YEAR(TODAY())),(SEARCH(LEFT(TRIM($Q61),3),"JanFebMarAprMayJunJulAugSepOctNovDec")+2)/3,1),"")))</f>
      </c>
      <c r="T61" s="305">
        <f>IF($B61="","",COUNTA('UX + Dev'!$AB61:$DN61))</f>
      </c>
      <c r="U61" s="305">
        <f>IF($B61="","",IFERROR(MATCH($D61,Control!$E$4:$E$30,0)+3,0))</f>
      </c>
      <c r="V61" s="305">
        <f>IF($B61="","",IF(AND(OR('Roadmap (Auto)'!$A$3="",'Roadmap (Auto)'!$A$3="(All)",ISNUMBER(SEARCH('Roadmap (Auto)'!$A$3,$C61&amp;""))),OR('Roadmap (Auto)'!$B$3="",'Roadmap (Auto)'!$B$3="(All)",$D61='Roadmap (Auto)'!$B$3,$X61='Roadmap (Auto)'!$B$3),OR('Roadmap (Auto)'!$C$3="",'Roadmap (Auto)'!$C$3="(All)",$F61='Roadmap (Auto)'!$C$3)),1,0))</f>
      </c>
      <c r="W61" s="305">
        <f>IF($B61="","",COUNTIF($Y$2:$Y$151,"&lt;"&amp;$Y61)+1)</f>
      </c>
      <c r="X61" s="305">
        <f>IF($B61="","",IF(TRIM('UX + Dev'!D61)="","",TRIM('UX + Dev'!D61)))</f>
      </c>
      <c r="Y61" s="305">
        <f>IF($B61="","",SUBSTITUTE(SUBSTITUTE(SUBSTITUTE(SUBSTITUTE(SUBSTITUTE(SUBSTITUTE(SUBSTITUTE(SUBSTITUTE(SUBSTITUTE(SUBSTITUTE(SUBSTITUTE(SUBSTITUTE(SUBSTITUTE(SUBSTITUTE(SUBSTITUTE(SUBSTITUTE(SUBSTITUTE(SUBSTITUTE(SUBSTITUTE(SUBSTITUTE(SUBSTITUTE(SUBSTITUTE(SUBSTITUTE(SUBSTITUTE(SUBSTITUTE(UPPER($B61)," ",""),"-",""),":",""),"/",""),"&amp;",""),"|",""),"'",""),"’",""),"&lt;",""),"&gt;",""),",",""),"$",""),".",""),"(",""),")",""),"*",""),"?",""),"~",""),"_",""),"+",""),"#",""),";",""),"!",""),"%",""),"@",""))</f>
      </c>
      <c r="AA61">
        <f>IF($B61="",0,COUNTIFS('UX + Dev'!$AB$1:$DN$1,"&gt;="&amp;AA$1,'UX + Dev'!$AB$1:$DN$1,"&lt;="&amp;EOMONTH(AA$1,0),'UX + Dev'!$AB61:$DN61,"&lt;&gt;"))</f>
      </c>
      <c r="AB61">
        <f>IF($B61="",0,COUNTIFS('UX + Dev'!$AB$1:$DN$1,"&gt;="&amp;AB$1,'UX + Dev'!$AB$1:$DN$1,"&lt;="&amp;EOMONTH(AB$1,0),'UX + Dev'!$AB61:$DN61,"&lt;&gt;"))</f>
      </c>
      <c r="AC61">
        <f>IF($B61="",0,COUNTIFS('UX + Dev'!$AB$1:$DN$1,"&gt;="&amp;AC$1,'UX + Dev'!$AB$1:$DN$1,"&lt;="&amp;EOMONTH(AC$1,0),'UX + Dev'!$AB61:$DN61,"&lt;&gt;"))</f>
      </c>
      <c r="AD61">
        <f>IF($B61="",0,COUNTIFS('UX + Dev'!$AB$1:$DN$1,"&gt;="&amp;AD$1,'UX + Dev'!$AB$1:$DN$1,"&lt;="&amp;EOMONTH(AD$1,0),'UX + Dev'!$AB61:$DN61,"&lt;&gt;"))</f>
      </c>
      <c r="AE61">
        <f>IF($B61="",0,COUNTIFS('UX + Dev'!$AB$1:$DN$1,"&gt;="&amp;AE$1,'UX + Dev'!$AB$1:$DN$1,"&lt;="&amp;EOMONTH(AE$1,0),'UX + Dev'!$AB61:$DN61,"&lt;&gt;"))</f>
      </c>
      <c r="AF61">
        <f>IF($B61="",0,COUNTIFS('UX + Dev'!$AB$1:$DN$1,"&gt;="&amp;AF$1,'UX + Dev'!$AB$1:$DN$1,"&lt;="&amp;EOMONTH(AF$1,0),'UX + Dev'!$AB61:$DN61,"&lt;&gt;"))</f>
      </c>
      <c r="AG61">
        <f>IF($B61="",0,COUNTIFS('UX + Dev'!$AB$1:$DN$1,"&gt;="&amp;AG$1,'UX + Dev'!$AB$1:$DN$1,"&lt;="&amp;EOMONTH(AG$1,0),'UX + Dev'!$AB61:$DN61,"&lt;&gt;"))</f>
      </c>
      <c r="AH61">
        <f>IF($B61="",0,COUNTIFS('UX + Dev'!$AB$1:$DN$1,"&gt;="&amp;AH$1,'UX + Dev'!$AB$1:$DN$1,"&lt;="&amp;EOMONTH(AH$1,0),'UX + Dev'!$AB61:$DN61,"&lt;&gt;"))</f>
      </c>
      <c r="AI61">
        <f>IF($B61="",0,COUNTIFS('UX + Dev'!$AB$1:$DN$1,"&gt;="&amp;AI$1,'UX + Dev'!$AB$1:$DN$1,"&lt;="&amp;EOMONTH(AI$1,0),'UX + Dev'!$AB61:$DN61,"&lt;&gt;"))</f>
      </c>
      <c r="AJ61">
        <f>IF($B61="",0,COUNTIFS('UX + Dev'!$AB$1:$DN$1,"&gt;="&amp;AJ$1,'UX + Dev'!$AB$1:$DN$1,"&lt;="&amp;EOMONTH(AJ$1,0),'UX + Dev'!$AB61:$DN61,"&lt;&gt;"))</f>
      </c>
      <c r="AK61">
        <f>IF($B61="",0,COUNTIFS('UX + Dev'!$AB$1:$DN$1,"&gt;="&amp;AK$1,'UX + Dev'!$AB$1:$DN$1,"&lt;="&amp;EOMONTH(AK$1,0),'UX + Dev'!$AB61:$DN61,"&lt;&gt;"))</f>
      </c>
      <c r="AL61">
        <f>IF($B61="",0,COUNTIFS('UX + Dev'!$AB$1:$DN$1,"&gt;="&amp;AL$1,'UX + Dev'!$AB$1:$DN$1,"&lt;="&amp;EOMONTH(AL$1,0),'UX + Dev'!$AB61:$DN61,"&lt;&gt;"))</f>
      </c>
      <c r="AM61">
        <f>IF($B61="",0,COUNTIFS('UX + Dev'!$AB$1:$DN$1,"&gt;="&amp;AM$1,'UX + Dev'!$AB$1:$DN$1,"&lt;="&amp;EOMONTH(AM$1,0),'UX + Dev'!$AB61:$DN61,"&lt;&gt;"))</f>
      </c>
      <c r="AN61">
        <f>IF($B61="",0,COUNTIFS('UX + Dev'!$AB$1:$DN$1,"&gt;="&amp;AN$1,'UX + Dev'!$AB$1:$DN$1,"&lt;="&amp;EOMONTH(AN$1,0),'UX + Dev'!$AB61:$DN61,"&lt;&gt;"))</f>
      </c>
      <c r="AO61">
        <f>IF($B61="",0,COUNTIFS('UX + Dev'!$AB$1:$DN$1,"&gt;="&amp;AO$1,'UX + Dev'!$AB$1:$DN$1,"&lt;="&amp;EOMONTH(AO$1,0),'UX + Dev'!$AB61:$DN61,"&lt;&gt;"))</f>
      </c>
      <c r="AP61">
        <f>IF($B61="",0,COUNTIFS('UX + Dev'!$AB$1:$DN$1,"&gt;="&amp;AP$1,'UX + Dev'!$AB$1:$DN$1,"&lt;="&amp;EOMONTH(AP$1,0),'UX + Dev'!$AB61:$DN61,"&lt;&gt;"))</f>
      </c>
      <c r="AQ61">
        <f>IF($B61="",0,COUNTIFS('UX + Dev'!$AB$1:$DN$1,"&gt;="&amp;AQ$1,'UX + Dev'!$AB$1:$DN$1,"&lt;="&amp;EOMONTH(AQ$1,0),'UX + Dev'!$AB61:$DN61,"&lt;&gt;"))</f>
      </c>
      <c r="AR61">
        <f>IF($B61="",0,COUNTIFS('UX + Dev'!$AB$1:$DN$1,"&gt;="&amp;AR$1,'UX + Dev'!$AB$1:$DN$1,"&lt;="&amp;EOMONTH(AR$1,0),'UX + Dev'!$AB61:$DN61,"&lt;&gt;"))</f>
      </c>
      <c r="AS61">
        <f>IF($B61="",0,COUNTIFS('UX + Dev'!$AB$1:$DN$1,"&gt;="&amp;AS$1,'UX + Dev'!$AB$1:$DN$1,"&lt;="&amp;EOMONTH(AS$1,0),'UX + Dev'!$AB61:$DN61,"&lt;&gt;"))</f>
      </c>
      <c r="AT61">
        <f>IF($B61="",0,COUNTIFS('UX + Dev'!$AB$1:$DN$1,"&gt;="&amp;AT$1,'UX + Dev'!$AB$1:$DN$1,"&lt;="&amp;EOMONTH(AT$1,0),'UX + Dev'!$AB61:$DN61,"&lt;&gt;"))</f>
      </c>
      <c r="AU61">
        <f>IF($B61="",0,COUNTIFS('UX + Dev'!$AB$1:$DN$1,"&gt;="&amp;AU$1,'UX + Dev'!$AB$1:$DN$1,"&lt;="&amp;EOMONTH(AU$1,0),'UX + Dev'!$AB61:$DN61,"&lt;&gt;"))</f>
      </c>
      <c r="AV61">
        <f>IF($B61="",0,COUNTIFS('UX + Dev'!$AB$1:$DN$1,"&gt;="&amp;AV$1,'UX + Dev'!$AB$1:$DN$1,"&lt;="&amp;EOMONTH(AV$1,0),'UX + Dev'!$AB61:$DN61,"&lt;&gt;"))</f>
      </c>
      <c r="AW61">
        <f>IF($B61="",0,COUNTIFS('UX + Dev'!$AB$1:$DN$1,"&gt;="&amp;AW$1,'UX + Dev'!$AB$1:$DN$1,"&lt;="&amp;EOMONTH(AW$1,0),'UX + Dev'!$AB61:$DN61,"&lt;&gt;"))</f>
      </c>
      <c r="AX61">
        <f>IF($B61="",0,COUNTIFS('UX + Dev'!$AB$1:$DN$1,"&gt;="&amp;AX$1,'UX + Dev'!$AB$1:$DN$1,"&lt;="&amp;EOMONTH(AX$1,0),'UX + Dev'!$AB61:$DN61,"&lt;&gt;"))</f>
      </c>
      <c r="BB61" s="308">
        <f>IF($B61="","",IF(COUNTA('UX + Dev'!U61)&gt;0,DATE(YEAR('UX + Dev'!U61),MONTH('UX + Dev'!U61),1),IF(COUNTA('UX + Dev'!V61)&gt;0,DATE(YEAR('UX + Dev'!V61),MONTH('UX + Dev'!V61),1),"")))</f>
      </c>
      <c r="BC61" s="308">
        <f>IF($B61="","",IF(COUNTA('UX + Dev'!V61)&gt;0,EOMONTH('UX + Dev'!V61,0),IF(COUNTA('UX + Dev'!U61)&gt;0,EOMONTH('UX + Dev'!U61,0),"")))</f>
      </c>
    </row>
    <row r="62">
      <c r="A62" s="305" t="n">
        <v>62</v>
      </c>
      <c r="B62" s="305">
        <f>IF(TRIM('UX + Dev'!E62)="","",TRIM('UX + Dev'!E62))</f>
      </c>
      <c r="C62" s="305">
        <f>IF($B62="","",'UX + Dev'!B62)</f>
      </c>
      <c r="D62" s="305">
        <f>IF($B62="","",IF(TRIM('UX + Dev'!C62)="","(No theme assigned)",TRIM('UX + Dev'!C62)))</f>
      </c>
      <c r="E62" s="305">
        <f>IF($B62="","",TRIM('UX + Dev'!F62))</f>
      </c>
      <c r="F62" s="305">
        <f>IF($B62="","",'UX + Dev'!G62)</f>
      </c>
      <c r="G62" s="306">
        <f t="array" ref="G62">IF($B62="","",IF($T62=0,"",IFERROR(MIN(IF('UX + Dev'!$AB62:$DN62&lt;&gt;"",'UX + Dev'!$AB$1:$DN$1)),"")))</f>
      </c>
      <c r="H62" s="306">
        <f t="array" ref="H62">IF($B62="","",IF($T62=0,"",IFERROR(MAX(IF('UX + Dev'!$AB62:$DN62&lt;&gt;"",'UX + Dev'!$AB$1:$DN$1)),"")))</f>
      </c>
      <c r="I62" s="307">
        <f>IF($R62&lt;&gt;"",$R62,IF($S62&lt;&gt;"",$S62,""))</f>
      </c>
      <c r="J62" s="307">
        <f>IF($S62&lt;&gt;"",EOMONTH($S62,0),IF($R62&lt;&gt;"",EOMONTH($R62,0),""))</f>
      </c>
      <c r="K62" s="305">
        <f>IF($B62="","",IF(COUNTA('UX + Dev'!AA62)=0,"",TRIM('UX + Dev'!AA62)))</f>
      </c>
      <c r="L62" s="305">
        <f>IF($B62="","",IFERROR(MATCH($D62,Control!$E$4:$E$30,0),99))</f>
      </c>
      <c r="M62" s="305">
        <f>IF($B62="","",IFERROR(MATCH($F62,Control!$B$4:$B$30,0),99))</f>
      </c>
      <c r="N62" s="305">
        <f>IF($V62&lt;&gt;1,"",IF('Roadmap (Auto)'!$D$3="Status, then Theme",$M62*1000000+$L62*10000+ROW(),IF('Roadmap (Auto)'!$D$3="Dev start (earliest)",IF($I62="",99999999,$I62)*10000+ROW(),IF('Roadmap (Auto)'!$D$3="UX start (earliest)",IF($G62="",99999999,$G62)*10000+ROW(),IF('Roadmap (Auto)'!$D$3="Deliverable A-Z",$W62*10000+ROW(),$L62*1000000+$M62*10000+ROW())))))</f>
      </c>
      <c r="O62" s="305">
        <f>IF($N62="","",COUNTIF($N$2:$N$151,"&lt;"&amp;$N62)+1)</f>
      </c>
      <c r="P62" s="305">
        <f>IF($B62="","",IF(COUNTA('UX + Dev'!X62)=0,"",'UX + Dev'!X62))</f>
      </c>
      <c r="Q62" s="305">
        <f>IF($B62="","",IF(COUNTA('UX + Dev'!Y62)=0,"",'UX + Dev'!Y62))</f>
      </c>
      <c r="R62" s="307">
        <f>IF($P62="","",IF(ISNUMBER($P62),DATE(YEAR($P62),MONTH($P62),1),IFERROR(DATE(IFERROR(VALUE(RIGHT(TRIM($P62),4)),YEAR(TODAY())),(SEARCH(LEFT(TRIM($P62),3),"JanFebMarAprMayJunJulAugSepOctNovDec")+2)/3,1),"")))</f>
      </c>
      <c r="S62" s="307">
        <f>IF($Q62="","",IF(ISNUMBER($Q62),DATE(YEAR($Q62),MONTH($Q62),1),IFERROR(DATE(IFERROR(VALUE(RIGHT(TRIM($Q62),4)),YEAR(TODAY())),(SEARCH(LEFT(TRIM($Q62),3),"JanFebMarAprMayJunJulAugSepOctNovDec")+2)/3,1),"")))</f>
      </c>
      <c r="T62" s="305">
        <f>IF($B62="","",COUNTA('UX + Dev'!$AB62:$DN62))</f>
      </c>
      <c r="U62" s="305">
        <f>IF($B62="","",IFERROR(MATCH($D62,Control!$E$4:$E$30,0)+3,0))</f>
      </c>
      <c r="V62" s="305">
        <f>IF($B62="","",IF(AND(OR('Roadmap (Auto)'!$A$3="",'Roadmap (Auto)'!$A$3="(All)",ISNUMBER(SEARCH('Roadmap (Auto)'!$A$3,$C62&amp;""))),OR('Roadmap (Auto)'!$B$3="",'Roadmap (Auto)'!$B$3="(All)",$D62='Roadmap (Auto)'!$B$3,$X62='Roadmap (Auto)'!$B$3),OR('Roadmap (Auto)'!$C$3="",'Roadmap (Auto)'!$C$3="(All)",$F62='Roadmap (Auto)'!$C$3)),1,0))</f>
      </c>
      <c r="W62" s="305">
        <f>IF($B62="","",COUNTIF($Y$2:$Y$151,"&lt;"&amp;$Y62)+1)</f>
      </c>
      <c r="X62" s="305">
        <f>IF($B62="","",IF(TRIM('UX + Dev'!D62)="","",TRIM('UX + Dev'!D62)))</f>
      </c>
      <c r="Y62" s="305">
        <f>IF($B62="","",SUBSTITUTE(SUBSTITUTE(SUBSTITUTE(SUBSTITUTE(SUBSTITUTE(SUBSTITUTE(SUBSTITUTE(SUBSTITUTE(SUBSTITUTE(SUBSTITUTE(SUBSTITUTE(SUBSTITUTE(SUBSTITUTE(SUBSTITUTE(SUBSTITUTE(SUBSTITUTE(SUBSTITUTE(SUBSTITUTE(SUBSTITUTE(SUBSTITUTE(SUBSTITUTE(SUBSTITUTE(SUBSTITUTE(SUBSTITUTE(SUBSTITUTE(UPPER($B62)," ",""),"-",""),":",""),"/",""),"&amp;",""),"|",""),"'",""),"’",""),"&lt;",""),"&gt;",""),",",""),"$",""),".",""),"(",""),")",""),"*",""),"?",""),"~",""),"_",""),"+",""),"#",""),";",""),"!",""),"%",""),"@",""))</f>
      </c>
      <c r="AA62">
        <f>IF($B62="",0,COUNTIFS('UX + Dev'!$AB$1:$DN$1,"&gt;="&amp;AA$1,'UX + Dev'!$AB$1:$DN$1,"&lt;="&amp;EOMONTH(AA$1,0),'UX + Dev'!$AB62:$DN62,"&lt;&gt;"))</f>
      </c>
      <c r="AB62">
        <f>IF($B62="",0,COUNTIFS('UX + Dev'!$AB$1:$DN$1,"&gt;="&amp;AB$1,'UX + Dev'!$AB$1:$DN$1,"&lt;="&amp;EOMONTH(AB$1,0),'UX + Dev'!$AB62:$DN62,"&lt;&gt;"))</f>
      </c>
      <c r="AC62">
        <f>IF($B62="",0,COUNTIFS('UX + Dev'!$AB$1:$DN$1,"&gt;="&amp;AC$1,'UX + Dev'!$AB$1:$DN$1,"&lt;="&amp;EOMONTH(AC$1,0),'UX + Dev'!$AB62:$DN62,"&lt;&gt;"))</f>
      </c>
      <c r="AD62">
        <f>IF($B62="",0,COUNTIFS('UX + Dev'!$AB$1:$DN$1,"&gt;="&amp;AD$1,'UX + Dev'!$AB$1:$DN$1,"&lt;="&amp;EOMONTH(AD$1,0),'UX + Dev'!$AB62:$DN62,"&lt;&gt;"))</f>
      </c>
      <c r="AE62">
        <f>IF($B62="",0,COUNTIFS('UX + Dev'!$AB$1:$DN$1,"&gt;="&amp;AE$1,'UX + Dev'!$AB$1:$DN$1,"&lt;="&amp;EOMONTH(AE$1,0),'UX + Dev'!$AB62:$DN62,"&lt;&gt;"))</f>
      </c>
      <c r="AF62">
        <f>IF($B62="",0,COUNTIFS('UX + Dev'!$AB$1:$DN$1,"&gt;="&amp;AF$1,'UX + Dev'!$AB$1:$DN$1,"&lt;="&amp;EOMONTH(AF$1,0),'UX + Dev'!$AB62:$DN62,"&lt;&gt;"))</f>
      </c>
      <c r="AG62">
        <f>IF($B62="",0,COUNTIFS('UX + Dev'!$AB$1:$DN$1,"&gt;="&amp;AG$1,'UX + Dev'!$AB$1:$DN$1,"&lt;="&amp;EOMONTH(AG$1,0),'UX + Dev'!$AB62:$DN62,"&lt;&gt;"))</f>
      </c>
      <c r="AH62">
        <f>IF($B62="",0,COUNTIFS('UX + Dev'!$AB$1:$DN$1,"&gt;="&amp;AH$1,'UX + Dev'!$AB$1:$DN$1,"&lt;="&amp;EOMONTH(AH$1,0),'UX + Dev'!$AB62:$DN62,"&lt;&gt;"))</f>
      </c>
      <c r="AI62">
        <f>IF($B62="",0,COUNTIFS('UX + Dev'!$AB$1:$DN$1,"&gt;="&amp;AI$1,'UX + Dev'!$AB$1:$DN$1,"&lt;="&amp;EOMONTH(AI$1,0),'UX + Dev'!$AB62:$DN62,"&lt;&gt;"))</f>
      </c>
      <c r="AJ62">
        <f>IF($B62="",0,COUNTIFS('UX + Dev'!$AB$1:$DN$1,"&gt;="&amp;AJ$1,'UX + Dev'!$AB$1:$DN$1,"&lt;="&amp;EOMONTH(AJ$1,0),'UX + Dev'!$AB62:$DN62,"&lt;&gt;"))</f>
      </c>
      <c r="AK62">
        <f>IF($B62="",0,COUNTIFS('UX + Dev'!$AB$1:$DN$1,"&gt;="&amp;AK$1,'UX + Dev'!$AB$1:$DN$1,"&lt;="&amp;EOMONTH(AK$1,0),'UX + Dev'!$AB62:$DN62,"&lt;&gt;"))</f>
      </c>
      <c r="AL62">
        <f>IF($B62="",0,COUNTIFS('UX + Dev'!$AB$1:$DN$1,"&gt;="&amp;AL$1,'UX + Dev'!$AB$1:$DN$1,"&lt;="&amp;EOMONTH(AL$1,0),'UX + Dev'!$AB62:$DN62,"&lt;&gt;"))</f>
      </c>
      <c r="AM62">
        <f>IF($B62="",0,COUNTIFS('UX + Dev'!$AB$1:$DN$1,"&gt;="&amp;AM$1,'UX + Dev'!$AB$1:$DN$1,"&lt;="&amp;EOMONTH(AM$1,0),'UX + Dev'!$AB62:$DN62,"&lt;&gt;"))</f>
      </c>
      <c r="AN62">
        <f>IF($B62="",0,COUNTIFS('UX + Dev'!$AB$1:$DN$1,"&gt;="&amp;AN$1,'UX + Dev'!$AB$1:$DN$1,"&lt;="&amp;EOMONTH(AN$1,0),'UX + Dev'!$AB62:$DN62,"&lt;&gt;"))</f>
      </c>
      <c r="AO62">
        <f>IF($B62="",0,COUNTIFS('UX + Dev'!$AB$1:$DN$1,"&gt;="&amp;AO$1,'UX + Dev'!$AB$1:$DN$1,"&lt;="&amp;EOMONTH(AO$1,0),'UX + Dev'!$AB62:$DN62,"&lt;&gt;"))</f>
      </c>
      <c r="AP62">
        <f>IF($B62="",0,COUNTIFS('UX + Dev'!$AB$1:$DN$1,"&gt;="&amp;AP$1,'UX + Dev'!$AB$1:$DN$1,"&lt;="&amp;EOMONTH(AP$1,0),'UX + Dev'!$AB62:$DN62,"&lt;&gt;"))</f>
      </c>
      <c r="AQ62">
        <f>IF($B62="",0,COUNTIFS('UX + Dev'!$AB$1:$DN$1,"&gt;="&amp;AQ$1,'UX + Dev'!$AB$1:$DN$1,"&lt;="&amp;EOMONTH(AQ$1,0),'UX + Dev'!$AB62:$DN62,"&lt;&gt;"))</f>
      </c>
      <c r="AR62">
        <f>IF($B62="",0,COUNTIFS('UX + Dev'!$AB$1:$DN$1,"&gt;="&amp;AR$1,'UX + Dev'!$AB$1:$DN$1,"&lt;="&amp;EOMONTH(AR$1,0),'UX + Dev'!$AB62:$DN62,"&lt;&gt;"))</f>
      </c>
      <c r="AS62">
        <f>IF($B62="",0,COUNTIFS('UX + Dev'!$AB$1:$DN$1,"&gt;="&amp;AS$1,'UX + Dev'!$AB$1:$DN$1,"&lt;="&amp;EOMONTH(AS$1,0),'UX + Dev'!$AB62:$DN62,"&lt;&gt;"))</f>
      </c>
      <c r="AT62">
        <f>IF($B62="",0,COUNTIFS('UX + Dev'!$AB$1:$DN$1,"&gt;="&amp;AT$1,'UX + Dev'!$AB$1:$DN$1,"&lt;="&amp;EOMONTH(AT$1,0),'UX + Dev'!$AB62:$DN62,"&lt;&gt;"))</f>
      </c>
      <c r="AU62">
        <f>IF($B62="",0,COUNTIFS('UX + Dev'!$AB$1:$DN$1,"&gt;="&amp;AU$1,'UX + Dev'!$AB$1:$DN$1,"&lt;="&amp;EOMONTH(AU$1,0),'UX + Dev'!$AB62:$DN62,"&lt;&gt;"))</f>
      </c>
      <c r="AV62">
        <f>IF($B62="",0,COUNTIFS('UX + Dev'!$AB$1:$DN$1,"&gt;="&amp;AV$1,'UX + Dev'!$AB$1:$DN$1,"&lt;="&amp;EOMONTH(AV$1,0),'UX + Dev'!$AB62:$DN62,"&lt;&gt;"))</f>
      </c>
      <c r="AW62">
        <f>IF($B62="",0,COUNTIFS('UX + Dev'!$AB$1:$DN$1,"&gt;="&amp;AW$1,'UX + Dev'!$AB$1:$DN$1,"&lt;="&amp;EOMONTH(AW$1,0),'UX + Dev'!$AB62:$DN62,"&lt;&gt;"))</f>
      </c>
      <c r="AX62">
        <f>IF($B62="",0,COUNTIFS('UX + Dev'!$AB$1:$DN$1,"&gt;="&amp;AX$1,'UX + Dev'!$AB$1:$DN$1,"&lt;="&amp;EOMONTH(AX$1,0),'UX + Dev'!$AB62:$DN62,"&lt;&gt;"))</f>
      </c>
      <c r="BB62" s="308">
        <f>IF($B62="","",IF(COUNTA('UX + Dev'!U62)&gt;0,DATE(YEAR('UX + Dev'!U62),MONTH('UX + Dev'!U62),1),IF(COUNTA('UX + Dev'!V62)&gt;0,DATE(YEAR('UX + Dev'!V62),MONTH('UX + Dev'!V62),1),"")))</f>
      </c>
      <c r="BC62" s="308">
        <f>IF($B62="","",IF(COUNTA('UX + Dev'!V62)&gt;0,EOMONTH('UX + Dev'!V62,0),IF(COUNTA('UX + Dev'!U62)&gt;0,EOMONTH('UX + Dev'!U62,0),"")))</f>
      </c>
    </row>
    <row r="63">
      <c r="A63" s="305" t="n">
        <v>63</v>
      </c>
      <c r="B63" s="305">
        <f>IF(TRIM('UX + Dev'!E63)="","",TRIM('UX + Dev'!E63))</f>
      </c>
      <c r="C63" s="305">
        <f>IF($B63="","",'UX + Dev'!B63)</f>
      </c>
      <c r="D63" s="305">
        <f>IF($B63="","",IF(TRIM('UX + Dev'!C63)="","(No theme assigned)",TRIM('UX + Dev'!C63)))</f>
      </c>
      <c r="E63" s="305">
        <f>IF($B63="","",TRIM('UX + Dev'!F63))</f>
      </c>
      <c r="F63" s="305">
        <f>IF($B63="","",'UX + Dev'!G63)</f>
      </c>
      <c r="G63" s="306">
        <f t="array" ref="G63">IF($B63="","",IF($T63=0,"",IFERROR(MIN(IF('UX + Dev'!$AB63:$DN63&lt;&gt;"",'UX + Dev'!$AB$1:$DN$1)),"")))</f>
      </c>
      <c r="H63" s="306">
        <f t="array" ref="H63">IF($B63="","",IF($T63=0,"",IFERROR(MAX(IF('UX + Dev'!$AB63:$DN63&lt;&gt;"",'UX + Dev'!$AB$1:$DN$1)),"")))</f>
      </c>
      <c r="I63" s="307">
        <f>IF($R63&lt;&gt;"",$R63,IF($S63&lt;&gt;"",$S63,""))</f>
      </c>
      <c r="J63" s="307">
        <f>IF($S63&lt;&gt;"",EOMONTH($S63,0),IF($R63&lt;&gt;"",EOMONTH($R63,0),""))</f>
      </c>
      <c r="K63" s="305">
        <f>IF($B63="","",IF(COUNTA('UX + Dev'!AA63)=0,"",TRIM('UX + Dev'!AA63)))</f>
      </c>
      <c r="L63" s="305">
        <f>IF($B63="","",IFERROR(MATCH($D63,Control!$E$4:$E$30,0),99))</f>
      </c>
      <c r="M63" s="305">
        <f>IF($B63="","",IFERROR(MATCH($F63,Control!$B$4:$B$30,0),99))</f>
      </c>
      <c r="N63" s="305">
        <f>IF($V63&lt;&gt;1,"",IF('Roadmap (Auto)'!$D$3="Status, then Theme",$M63*1000000+$L63*10000+ROW(),IF('Roadmap (Auto)'!$D$3="Dev start (earliest)",IF($I63="",99999999,$I63)*10000+ROW(),IF('Roadmap (Auto)'!$D$3="UX start (earliest)",IF($G63="",99999999,$G63)*10000+ROW(),IF('Roadmap (Auto)'!$D$3="Deliverable A-Z",$W63*10000+ROW(),$L63*1000000+$M63*10000+ROW())))))</f>
      </c>
      <c r="O63" s="305">
        <f>IF($N63="","",COUNTIF($N$2:$N$151,"&lt;"&amp;$N63)+1)</f>
      </c>
      <c r="P63" s="305">
        <f>IF($B63="","",IF(COUNTA('UX + Dev'!X63)=0,"",'UX + Dev'!X63))</f>
      </c>
      <c r="Q63" s="305">
        <f>IF($B63="","",IF(COUNTA('UX + Dev'!Y63)=0,"",'UX + Dev'!Y63))</f>
      </c>
      <c r="R63" s="307">
        <f>IF($P63="","",IF(ISNUMBER($P63),DATE(YEAR($P63),MONTH($P63),1),IFERROR(DATE(IFERROR(VALUE(RIGHT(TRIM($P63),4)),YEAR(TODAY())),(SEARCH(LEFT(TRIM($P63),3),"JanFebMarAprMayJunJulAugSepOctNovDec")+2)/3,1),"")))</f>
      </c>
      <c r="S63" s="307">
        <f>IF($Q63="","",IF(ISNUMBER($Q63),DATE(YEAR($Q63),MONTH($Q63),1),IFERROR(DATE(IFERROR(VALUE(RIGHT(TRIM($Q63),4)),YEAR(TODAY())),(SEARCH(LEFT(TRIM($Q63),3),"JanFebMarAprMayJunJulAugSepOctNovDec")+2)/3,1),"")))</f>
      </c>
      <c r="T63" s="305">
        <f>IF($B63="","",COUNTA('UX + Dev'!$AB63:$DN63))</f>
      </c>
      <c r="U63" s="305">
        <f>IF($B63="","",IFERROR(MATCH($D63,Control!$E$4:$E$30,0)+3,0))</f>
      </c>
      <c r="V63" s="305">
        <f>IF($B63="","",IF(AND(OR('Roadmap (Auto)'!$A$3="",'Roadmap (Auto)'!$A$3="(All)",ISNUMBER(SEARCH('Roadmap (Auto)'!$A$3,$C63&amp;""))),OR('Roadmap (Auto)'!$B$3="",'Roadmap (Auto)'!$B$3="(All)",$D63='Roadmap (Auto)'!$B$3,$X63='Roadmap (Auto)'!$B$3),OR('Roadmap (Auto)'!$C$3="",'Roadmap (Auto)'!$C$3="(All)",$F63='Roadmap (Auto)'!$C$3)),1,0))</f>
      </c>
      <c r="W63" s="305">
        <f>IF($B63="","",COUNTIF($Y$2:$Y$151,"&lt;"&amp;$Y63)+1)</f>
      </c>
      <c r="X63" s="305">
        <f>IF($B63="","",IF(TRIM('UX + Dev'!D63)="","",TRIM('UX + Dev'!D63)))</f>
      </c>
      <c r="Y63" s="305">
        <f>IF($B63="","",SUBSTITUTE(SUBSTITUTE(SUBSTITUTE(SUBSTITUTE(SUBSTITUTE(SUBSTITUTE(SUBSTITUTE(SUBSTITUTE(SUBSTITUTE(SUBSTITUTE(SUBSTITUTE(SUBSTITUTE(SUBSTITUTE(SUBSTITUTE(SUBSTITUTE(SUBSTITUTE(SUBSTITUTE(SUBSTITUTE(SUBSTITUTE(SUBSTITUTE(SUBSTITUTE(SUBSTITUTE(SUBSTITUTE(SUBSTITUTE(SUBSTITUTE(UPPER($B63)," ",""),"-",""),":",""),"/",""),"&amp;",""),"|",""),"'",""),"’",""),"&lt;",""),"&gt;",""),",",""),"$",""),".",""),"(",""),")",""),"*",""),"?",""),"~",""),"_",""),"+",""),"#",""),";",""),"!",""),"%",""),"@",""))</f>
      </c>
      <c r="AA63">
        <f>IF($B63="",0,COUNTIFS('UX + Dev'!$AB$1:$DN$1,"&gt;="&amp;AA$1,'UX + Dev'!$AB$1:$DN$1,"&lt;="&amp;EOMONTH(AA$1,0),'UX + Dev'!$AB63:$DN63,"&lt;&gt;"))</f>
      </c>
      <c r="AB63">
        <f>IF($B63="",0,COUNTIFS('UX + Dev'!$AB$1:$DN$1,"&gt;="&amp;AB$1,'UX + Dev'!$AB$1:$DN$1,"&lt;="&amp;EOMONTH(AB$1,0),'UX + Dev'!$AB63:$DN63,"&lt;&gt;"))</f>
      </c>
      <c r="AC63">
        <f>IF($B63="",0,COUNTIFS('UX + Dev'!$AB$1:$DN$1,"&gt;="&amp;AC$1,'UX + Dev'!$AB$1:$DN$1,"&lt;="&amp;EOMONTH(AC$1,0),'UX + Dev'!$AB63:$DN63,"&lt;&gt;"))</f>
      </c>
      <c r="AD63">
        <f>IF($B63="",0,COUNTIFS('UX + Dev'!$AB$1:$DN$1,"&gt;="&amp;AD$1,'UX + Dev'!$AB$1:$DN$1,"&lt;="&amp;EOMONTH(AD$1,0),'UX + Dev'!$AB63:$DN63,"&lt;&gt;"))</f>
      </c>
      <c r="AE63">
        <f>IF($B63="",0,COUNTIFS('UX + Dev'!$AB$1:$DN$1,"&gt;="&amp;AE$1,'UX + Dev'!$AB$1:$DN$1,"&lt;="&amp;EOMONTH(AE$1,0),'UX + Dev'!$AB63:$DN63,"&lt;&gt;"))</f>
      </c>
      <c r="AF63">
        <f>IF($B63="",0,COUNTIFS('UX + Dev'!$AB$1:$DN$1,"&gt;="&amp;AF$1,'UX + Dev'!$AB$1:$DN$1,"&lt;="&amp;EOMONTH(AF$1,0),'UX + Dev'!$AB63:$DN63,"&lt;&gt;"))</f>
      </c>
      <c r="AG63">
        <f>IF($B63="",0,COUNTIFS('UX + Dev'!$AB$1:$DN$1,"&gt;="&amp;AG$1,'UX + Dev'!$AB$1:$DN$1,"&lt;="&amp;EOMONTH(AG$1,0),'UX + Dev'!$AB63:$DN63,"&lt;&gt;"))</f>
      </c>
      <c r="AH63">
        <f>IF($B63="",0,COUNTIFS('UX + Dev'!$AB$1:$DN$1,"&gt;="&amp;AH$1,'UX + Dev'!$AB$1:$DN$1,"&lt;="&amp;EOMONTH(AH$1,0),'UX + Dev'!$AB63:$DN63,"&lt;&gt;"))</f>
      </c>
      <c r="AI63">
        <f>IF($B63="",0,COUNTIFS('UX + Dev'!$AB$1:$DN$1,"&gt;="&amp;AI$1,'UX + Dev'!$AB$1:$DN$1,"&lt;="&amp;EOMONTH(AI$1,0),'UX + Dev'!$AB63:$DN63,"&lt;&gt;"))</f>
      </c>
      <c r="AJ63">
        <f>IF($B63="",0,COUNTIFS('UX + Dev'!$AB$1:$DN$1,"&gt;="&amp;AJ$1,'UX + Dev'!$AB$1:$DN$1,"&lt;="&amp;EOMONTH(AJ$1,0),'UX + Dev'!$AB63:$DN63,"&lt;&gt;"))</f>
      </c>
      <c r="AK63">
        <f>IF($B63="",0,COUNTIFS('UX + Dev'!$AB$1:$DN$1,"&gt;="&amp;AK$1,'UX + Dev'!$AB$1:$DN$1,"&lt;="&amp;EOMONTH(AK$1,0),'UX + Dev'!$AB63:$DN63,"&lt;&gt;"))</f>
      </c>
      <c r="AL63">
        <f>IF($B63="",0,COUNTIFS('UX + Dev'!$AB$1:$DN$1,"&gt;="&amp;AL$1,'UX + Dev'!$AB$1:$DN$1,"&lt;="&amp;EOMONTH(AL$1,0),'UX + Dev'!$AB63:$DN63,"&lt;&gt;"))</f>
      </c>
      <c r="AM63">
        <f>IF($B63="",0,COUNTIFS('UX + Dev'!$AB$1:$DN$1,"&gt;="&amp;AM$1,'UX + Dev'!$AB$1:$DN$1,"&lt;="&amp;EOMONTH(AM$1,0),'UX + Dev'!$AB63:$DN63,"&lt;&gt;"))</f>
      </c>
      <c r="AN63">
        <f>IF($B63="",0,COUNTIFS('UX + Dev'!$AB$1:$DN$1,"&gt;="&amp;AN$1,'UX + Dev'!$AB$1:$DN$1,"&lt;="&amp;EOMONTH(AN$1,0),'UX + Dev'!$AB63:$DN63,"&lt;&gt;"))</f>
      </c>
      <c r="AO63">
        <f>IF($B63="",0,COUNTIFS('UX + Dev'!$AB$1:$DN$1,"&gt;="&amp;AO$1,'UX + Dev'!$AB$1:$DN$1,"&lt;="&amp;EOMONTH(AO$1,0),'UX + Dev'!$AB63:$DN63,"&lt;&gt;"))</f>
      </c>
      <c r="AP63">
        <f>IF($B63="",0,COUNTIFS('UX + Dev'!$AB$1:$DN$1,"&gt;="&amp;AP$1,'UX + Dev'!$AB$1:$DN$1,"&lt;="&amp;EOMONTH(AP$1,0),'UX + Dev'!$AB63:$DN63,"&lt;&gt;"))</f>
      </c>
      <c r="AQ63">
        <f>IF($B63="",0,COUNTIFS('UX + Dev'!$AB$1:$DN$1,"&gt;="&amp;AQ$1,'UX + Dev'!$AB$1:$DN$1,"&lt;="&amp;EOMONTH(AQ$1,0),'UX + Dev'!$AB63:$DN63,"&lt;&gt;"))</f>
      </c>
      <c r="AR63">
        <f>IF($B63="",0,COUNTIFS('UX + Dev'!$AB$1:$DN$1,"&gt;="&amp;AR$1,'UX + Dev'!$AB$1:$DN$1,"&lt;="&amp;EOMONTH(AR$1,0),'UX + Dev'!$AB63:$DN63,"&lt;&gt;"))</f>
      </c>
      <c r="AS63">
        <f>IF($B63="",0,COUNTIFS('UX + Dev'!$AB$1:$DN$1,"&gt;="&amp;AS$1,'UX + Dev'!$AB$1:$DN$1,"&lt;="&amp;EOMONTH(AS$1,0),'UX + Dev'!$AB63:$DN63,"&lt;&gt;"))</f>
      </c>
      <c r="AT63">
        <f>IF($B63="",0,COUNTIFS('UX + Dev'!$AB$1:$DN$1,"&gt;="&amp;AT$1,'UX + Dev'!$AB$1:$DN$1,"&lt;="&amp;EOMONTH(AT$1,0),'UX + Dev'!$AB63:$DN63,"&lt;&gt;"))</f>
      </c>
      <c r="AU63">
        <f>IF($B63="",0,COUNTIFS('UX + Dev'!$AB$1:$DN$1,"&gt;="&amp;AU$1,'UX + Dev'!$AB$1:$DN$1,"&lt;="&amp;EOMONTH(AU$1,0),'UX + Dev'!$AB63:$DN63,"&lt;&gt;"))</f>
      </c>
      <c r="AV63">
        <f>IF($B63="",0,COUNTIFS('UX + Dev'!$AB$1:$DN$1,"&gt;="&amp;AV$1,'UX + Dev'!$AB$1:$DN$1,"&lt;="&amp;EOMONTH(AV$1,0),'UX + Dev'!$AB63:$DN63,"&lt;&gt;"))</f>
      </c>
      <c r="AW63">
        <f>IF($B63="",0,COUNTIFS('UX + Dev'!$AB$1:$DN$1,"&gt;="&amp;AW$1,'UX + Dev'!$AB$1:$DN$1,"&lt;="&amp;EOMONTH(AW$1,0),'UX + Dev'!$AB63:$DN63,"&lt;&gt;"))</f>
      </c>
      <c r="AX63">
        <f>IF($B63="",0,COUNTIFS('UX + Dev'!$AB$1:$DN$1,"&gt;="&amp;AX$1,'UX + Dev'!$AB$1:$DN$1,"&lt;="&amp;EOMONTH(AX$1,0),'UX + Dev'!$AB63:$DN63,"&lt;&gt;"))</f>
      </c>
      <c r="BB63" s="308">
        <f>IF($B63="","",IF(COUNTA('UX + Dev'!U63)&gt;0,DATE(YEAR('UX + Dev'!U63),MONTH('UX + Dev'!U63),1),IF(COUNTA('UX + Dev'!V63)&gt;0,DATE(YEAR('UX + Dev'!V63),MONTH('UX + Dev'!V63),1),"")))</f>
      </c>
      <c r="BC63" s="308">
        <f>IF($B63="","",IF(COUNTA('UX + Dev'!V63)&gt;0,EOMONTH('UX + Dev'!V63,0),IF(COUNTA('UX + Dev'!U63)&gt;0,EOMONTH('UX + Dev'!U63,0),"")))</f>
      </c>
    </row>
    <row r="64">
      <c r="A64" s="305" t="n">
        <v>64</v>
      </c>
      <c r="B64" s="305">
        <f>IF(TRIM('UX + Dev'!E64)="","",TRIM('UX + Dev'!E64))</f>
      </c>
      <c r="C64" s="305">
        <f>IF($B64="","",'UX + Dev'!B64)</f>
      </c>
      <c r="D64" s="305">
        <f>IF($B64="","",IF(TRIM('UX + Dev'!C64)="","(No theme assigned)",TRIM('UX + Dev'!C64)))</f>
      </c>
      <c r="E64" s="305">
        <f>IF($B64="","",TRIM('UX + Dev'!F64))</f>
      </c>
      <c r="F64" s="305">
        <f>IF($B64="","",'UX + Dev'!G64)</f>
      </c>
      <c r="G64" s="306">
        <f t="array" ref="G64">IF($B64="","",IF($T64=0,"",IFERROR(MIN(IF('UX + Dev'!$AB64:$DN64&lt;&gt;"",'UX + Dev'!$AB$1:$DN$1)),"")))</f>
      </c>
      <c r="H64" s="306">
        <f t="array" ref="H64">IF($B64="","",IF($T64=0,"",IFERROR(MAX(IF('UX + Dev'!$AB64:$DN64&lt;&gt;"",'UX + Dev'!$AB$1:$DN$1)),"")))</f>
      </c>
      <c r="I64" s="307">
        <f>IF($R64&lt;&gt;"",$R64,IF($S64&lt;&gt;"",$S64,""))</f>
      </c>
      <c r="J64" s="307">
        <f>IF($S64&lt;&gt;"",EOMONTH($S64,0),IF($R64&lt;&gt;"",EOMONTH($R64,0),""))</f>
      </c>
      <c r="K64" s="305">
        <f>IF($B64="","",IF(COUNTA('UX + Dev'!AA64)=0,"",TRIM('UX + Dev'!AA64)))</f>
      </c>
      <c r="L64" s="305">
        <f>IF($B64="","",IFERROR(MATCH($D64,Control!$E$4:$E$30,0),99))</f>
      </c>
      <c r="M64" s="305">
        <f>IF($B64="","",IFERROR(MATCH($F64,Control!$B$4:$B$30,0),99))</f>
      </c>
      <c r="N64" s="305">
        <f>IF($V64&lt;&gt;1,"",IF('Roadmap (Auto)'!$D$3="Status, then Theme",$M64*1000000+$L64*10000+ROW(),IF('Roadmap (Auto)'!$D$3="Dev start (earliest)",IF($I64="",99999999,$I64)*10000+ROW(),IF('Roadmap (Auto)'!$D$3="UX start (earliest)",IF($G64="",99999999,$G64)*10000+ROW(),IF('Roadmap (Auto)'!$D$3="Deliverable A-Z",$W64*10000+ROW(),$L64*1000000+$M64*10000+ROW())))))</f>
      </c>
      <c r="O64" s="305">
        <f>IF($N64="","",COUNTIF($N$2:$N$151,"&lt;"&amp;$N64)+1)</f>
      </c>
      <c r="P64" s="305">
        <f>IF($B64="","",IF(COUNTA('UX + Dev'!X64)=0,"",'UX + Dev'!X64))</f>
      </c>
      <c r="Q64" s="305">
        <f>IF($B64="","",IF(COUNTA('UX + Dev'!Y64)=0,"",'UX + Dev'!Y64))</f>
      </c>
      <c r="R64" s="307">
        <f>IF($P64="","",IF(ISNUMBER($P64),DATE(YEAR($P64),MONTH($P64),1),IFERROR(DATE(IFERROR(VALUE(RIGHT(TRIM($P64),4)),YEAR(TODAY())),(SEARCH(LEFT(TRIM($P64),3),"JanFebMarAprMayJunJulAugSepOctNovDec")+2)/3,1),"")))</f>
      </c>
      <c r="S64" s="307">
        <f>IF($Q64="","",IF(ISNUMBER($Q64),DATE(YEAR($Q64),MONTH($Q64),1),IFERROR(DATE(IFERROR(VALUE(RIGHT(TRIM($Q64),4)),YEAR(TODAY())),(SEARCH(LEFT(TRIM($Q64),3),"JanFebMarAprMayJunJulAugSepOctNovDec")+2)/3,1),"")))</f>
      </c>
      <c r="T64" s="305">
        <f>IF($B64="","",COUNTA('UX + Dev'!$AB64:$DN64))</f>
      </c>
      <c r="U64" s="305">
        <f>IF($B64="","",IFERROR(MATCH($D64,Control!$E$4:$E$30,0)+3,0))</f>
      </c>
      <c r="V64" s="305">
        <f>IF($B64="","",IF(AND(OR('Roadmap (Auto)'!$A$3="",'Roadmap (Auto)'!$A$3="(All)",ISNUMBER(SEARCH('Roadmap (Auto)'!$A$3,$C64&amp;""))),OR('Roadmap (Auto)'!$B$3="",'Roadmap (Auto)'!$B$3="(All)",$D64='Roadmap (Auto)'!$B$3,$X64='Roadmap (Auto)'!$B$3),OR('Roadmap (Auto)'!$C$3="",'Roadmap (Auto)'!$C$3="(All)",$F64='Roadmap (Auto)'!$C$3)),1,0))</f>
      </c>
      <c r="W64" s="305">
        <f>IF($B64="","",COUNTIF($Y$2:$Y$151,"&lt;"&amp;$Y64)+1)</f>
      </c>
      <c r="X64" s="305">
        <f>IF($B64="","",IF(TRIM('UX + Dev'!D64)="","",TRIM('UX + Dev'!D64)))</f>
      </c>
      <c r="Y64" s="305">
        <f>IF($B64="","",SUBSTITUTE(SUBSTITUTE(SUBSTITUTE(SUBSTITUTE(SUBSTITUTE(SUBSTITUTE(SUBSTITUTE(SUBSTITUTE(SUBSTITUTE(SUBSTITUTE(SUBSTITUTE(SUBSTITUTE(SUBSTITUTE(SUBSTITUTE(SUBSTITUTE(SUBSTITUTE(SUBSTITUTE(SUBSTITUTE(SUBSTITUTE(SUBSTITUTE(SUBSTITUTE(SUBSTITUTE(SUBSTITUTE(SUBSTITUTE(SUBSTITUTE(UPPER($B64)," ",""),"-",""),":",""),"/",""),"&amp;",""),"|",""),"'",""),"’",""),"&lt;",""),"&gt;",""),",",""),"$",""),".",""),"(",""),")",""),"*",""),"?",""),"~",""),"_",""),"+",""),"#",""),";",""),"!",""),"%",""),"@",""))</f>
      </c>
      <c r="AA64">
        <f>IF($B64="",0,COUNTIFS('UX + Dev'!$AB$1:$DN$1,"&gt;="&amp;AA$1,'UX + Dev'!$AB$1:$DN$1,"&lt;="&amp;EOMONTH(AA$1,0),'UX + Dev'!$AB64:$DN64,"&lt;&gt;"))</f>
      </c>
      <c r="AB64">
        <f>IF($B64="",0,COUNTIFS('UX + Dev'!$AB$1:$DN$1,"&gt;="&amp;AB$1,'UX + Dev'!$AB$1:$DN$1,"&lt;="&amp;EOMONTH(AB$1,0),'UX + Dev'!$AB64:$DN64,"&lt;&gt;"))</f>
      </c>
      <c r="AC64">
        <f>IF($B64="",0,COUNTIFS('UX + Dev'!$AB$1:$DN$1,"&gt;="&amp;AC$1,'UX + Dev'!$AB$1:$DN$1,"&lt;="&amp;EOMONTH(AC$1,0),'UX + Dev'!$AB64:$DN64,"&lt;&gt;"))</f>
      </c>
      <c r="AD64">
        <f>IF($B64="",0,COUNTIFS('UX + Dev'!$AB$1:$DN$1,"&gt;="&amp;AD$1,'UX + Dev'!$AB$1:$DN$1,"&lt;="&amp;EOMONTH(AD$1,0),'UX + Dev'!$AB64:$DN64,"&lt;&gt;"))</f>
      </c>
      <c r="AE64">
        <f>IF($B64="",0,COUNTIFS('UX + Dev'!$AB$1:$DN$1,"&gt;="&amp;AE$1,'UX + Dev'!$AB$1:$DN$1,"&lt;="&amp;EOMONTH(AE$1,0),'UX + Dev'!$AB64:$DN64,"&lt;&gt;"))</f>
      </c>
      <c r="AF64">
        <f>IF($B64="",0,COUNTIFS('UX + Dev'!$AB$1:$DN$1,"&gt;="&amp;AF$1,'UX + Dev'!$AB$1:$DN$1,"&lt;="&amp;EOMONTH(AF$1,0),'UX + Dev'!$AB64:$DN64,"&lt;&gt;"))</f>
      </c>
      <c r="AG64">
        <f>IF($B64="",0,COUNTIFS('UX + Dev'!$AB$1:$DN$1,"&gt;="&amp;AG$1,'UX + Dev'!$AB$1:$DN$1,"&lt;="&amp;EOMONTH(AG$1,0),'UX + Dev'!$AB64:$DN64,"&lt;&gt;"))</f>
      </c>
      <c r="AH64">
        <f>IF($B64="",0,COUNTIFS('UX + Dev'!$AB$1:$DN$1,"&gt;="&amp;AH$1,'UX + Dev'!$AB$1:$DN$1,"&lt;="&amp;EOMONTH(AH$1,0),'UX + Dev'!$AB64:$DN64,"&lt;&gt;"))</f>
      </c>
      <c r="AI64">
        <f>IF($B64="",0,COUNTIFS('UX + Dev'!$AB$1:$DN$1,"&gt;="&amp;AI$1,'UX + Dev'!$AB$1:$DN$1,"&lt;="&amp;EOMONTH(AI$1,0),'UX + Dev'!$AB64:$DN64,"&lt;&gt;"))</f>
      </c>
      <c r="AJ64">
        <f>IF($B64="",0,COUNTIFS('UX + Dev'!$AB$1:$DN$1,"&gt;="&amp;AJ$1,'UX + Dev'!$AB$1:$DN$1,"&lt;="&amp;EOMONTH(AJ$1,0),'UX + Dev'!$AB64:$DN64,"&lt;&gt;"))</f>
      </c>
      <c r="AK64">
        <f>IF($B64="",0,COUNTIFS('UX + Dev'!$AB$1:$DN$1,"&gt;="&amp;AK$1,'UX + Dev'!$AB$1:$DN$1,"&lt;="&amp;EOMONTH(AK$1,0),'UX + Dev'!$AB64:$DN64,"&lt;&gt;"))</f>
      </c>
      <c r="AL64">
        <f>IF($B64="",0,COUNTIFS('UX + Dev'!$AB$1:$DN$1,"&gt;="&amp;AL$1,'UX + Dev'!$AB$1:$DN$1,"&lt;="&amp;EOMONTH(AL$1,0),'UX + Dev'!$AB64:$DN64,"&lt;&gt;"))</f>
      </c>
      <c r="AM64">
        <f>IF($B64="",0,COUNTIFS('UX + Dev'!$AB$1:$DN$1,"&gt;="&amp;AM$1,'UX + Dev'!$AB$1:$DN$1,"&lt;="&amp;EOMONTH(AM$1,0),'UX + Dev'!$AB64:$DN64,"&lt;&gt;"))</f>
      </c>
      <c r="AN64">
        <f>IF($B64="",0,COUNTIFS('UX + Dev'!$AB$1:$DN$1,"&gt;="&amp;AN$1,'UX + Dev'!$AB$1:$DN$1,"&lt;="&amp;EOMONTH(AN$1,0),'UX + Dev'!$AB64:$DN64,"&lt;&gt;"))</f>
      </c>
      <c r="AO64">
        <f>IF($B64="",0,COUNTIFS('UX + Dev'!$AB$1:$DN$1,"&gt;="&amp;AO$1,'UX + Dev'!$AB$1:$DN$1,"&lt;="&amp;EOMONTH(AO$1,0),'UX + Dev'!$AB64:$DN64,"&lt;&gt;"))</f>
      </c>
      <c r="AP64">
        <f>IF($B64="",0,COUNTIFS('UX + Dev'!$AB$1:$DN$1,"&gt;="&amp;AP$1,'UX + Dev'!$AB$1:$DN$1,"&lt;="&amp;EOMONTH(AP$1,0),'UX + Dev'!$AB64:$DN64,"&lt;&gt;"))</f>
      </c>
      <c r="AQ64">
        <f>IF($B64="",0,COUNTIFS('UX + Dev'!$AB$1:$DN$1,"&gt;="&amp;AQ$1,'UX + Dev'!$AB$1:$DN$1,"&lt;="&amp;EOMONTH(AQ$1,0),'UX + Dev'!$AB64:$DN64,"&lt;&gt;"))</f>
      </c>
      <c r="AR64">
        <f>IF($B64="",0,COUNTIFS('UX + Dev'!$AB$1:$DN$1,"&gt;="&amp;AR$1,'UX + Dev'!$AB$1:$DN$1,"&lt;="&amp;EOMONTH(AR$1,0),'UX + Dev'!$AB64:$DN64,"&lt;&gt;"))</f>
      </c>
      <c r="AS64">
        <f>IF($B64="",0,COUNTIFS('UX + Dev'!$AB$1:$DN$1,"&gt;="&amp;AS$1,'UX + Dev'!$AB$1:$DN$1,"&lt;="&amp;EOMONTH(AS$1,0),'UX + Dev'!$AB64:$DN64,"&lt;&gt;"))</f>
      </c>
      <c r="AT64">
        <f>IF($B64="",0,COUNTIFS('UX + Dev'!$AB$1:$DN$1,"&gt;="&amp;AT$1,'UX + Dev'!$AB$1:$DN$1,"&lt;="&amp;EOMONTH(AT$1,0),'UX + Dev'!$AB64:$DN64,"&lt;&gt;"))</f>
      </c>
      <c r="AU64">
        <f>IF($B64="",0,COUNTIFS('UX + Dev'!$AB$1:$DN$1,"&gt;="&amp;AU$1,'UX + Dev'!$AB$1:$DN$1,"&lt;="&amp;EOMONTH(AU$1,0),'UX + Dev'!$AB64:$DN64,"&lt;&gt;"))</f>
      </c>
      <c r="AV64">
        <f>IF($B64="",0,COUNTIFS('UX + Dev'!$AB$1:$DN$1,"&gt;="&amp;AV$1,'UX + Dev'!$AB$1:$DN$1,"&lt;="&amp;EOMONTH(AV$1,0),'UX + Dev'!$AB64:$DN64,"&lt;&gt;"))</f>
      </c>
      <c r="AW64">
        <f>IF($B64="",0,COUNTIFS('UX + Dev'!$AB$1:$DN$1,"&gt;="&amp;AW$1,'UX + Dev'!$AB$1:$DN$1,"&lt;="&amp;EOMONTH(AW$1,0),'UX + Dev'!$AB64:$DN64,"&lt;&gt;"))</f>
      </c>
      <c r="AX64">
        <f>IF($B64="",0,COUNTIFS('UX + Dev'!$AB$1:$DN$1,"&gt;="&amp;AX$1,'UX + Dev'!$AB$1:$DN$1,"&lt;="&amp;EOMONTH(AX$1,0),'UX + Dev'!$AB64:$DN64,"&lt;&gt;"))</f>
      </c>
      <c r="BB64" s="308">
        <f>IF($B64="","",IF(COUNTA('UX + Dev'!U64)&gt;0,DATE(YEAR('UX + Dev'!U64),MONTH('UX + Dev'!U64),1),IF(COUNTA('UX + Dev'!V64)&gt;0,DATE(YEAR('UX + Dev'!V64),MONTH('UX + Dev'!V64),1),"")))</f>
      </c>
      <c r="BC64" s="308">
        <f>IF($B64="","",IF(COUNTA('UX + Dev'!V64)&gt;0,EOMONTH('UX + Dev'!V64,0),IF(COUNTA('UX + Dev'!U64)&gt;0,EOMONTH('UX + Dev'!U64,0),"")))</f>
      </c>
    </row>
    <row r="65">
      <c r="A65" s="305" t="n">
        <v>65</v>
      </c>
      <c r="B65" s="305">
        <f>IF(TRIM('UX + Dev'!E65)="","",TRIM('UX + Dev'!E65))</f>
      </c>
      <c r="C65" s="305">
        <f>IF($B65="","",'UX + Dev'!B65)</f>
      </c>
      <c r="D65" s="305">
        <f>IF($B65="","",IF(TRIM('UX + Dev'!C65)="","(No theme assigned)",TRIM('UX + Dev'!C65)))</f>
      </c>
      <c r="E65" s="305">
        <f>IF($B65="","",TRIM('UX + Dev'!F65))</f>
      </c>
      <c r="F65" s="305">
        <f>IF($B65="","",'UX + Dev'!G65)</f>
      </c>
      <c r="G65" s="306">
        <f t="array" ref="G65">IF($B65="","",IF($T65=0,"",IFERROR(MIN(IF('UX + Dev'!$AB65:$DN65&lt;&gt;"",'UX + Dev'!$AB$1:$DN$1)),"")))</f>
      </c>
      <c r="H65" s="306">
        <f t="array" ref="H65">IF($B65="","",IF($T65=0,"",IFERROR(MAX(IF('UX + Dev'!$AB65:$DN65&lt;&gt;"",'UX + Dev'!$AB$1:$DN$1)),"")))</f>
      </c>
      <c r="I65" s="307">
        <f>IF($R65&lt;&gt;"",$R65,IF($S65&lt;&gt;"",$S65,""))</f>
      </c>
      <c r="J65" s="307">
        <f>IF($S65&lt;&gt;"",EOMONTH($S65,0),IF($R65&lt;&gt;"",EOMONTH($R65,0),""))</f>
      </c>
      <c r="K65" s="305">
        <f>IF($B65="","",IF(COUNTA('UX + Dev'!AA65)=0,"",TRIM('UX + Dev'!AA65)))</f>
      </c>
      <c r="L65" s="305">
        <f>IF($B65="","",IFERROR(MATCH($D65,Control!$E$4:$E$30,0),99))</f>
      </c>
      <c r="M65" s="305">
        <f>IF($B65="","",IFERROR(MATCH($F65,Control!$B$4:$B$30,0),99))</f>
      </c>
      <c r="N65" s="305">
        <f>IF($V65&lt;&gt;1,"",IF('Roadmap (Auto)'!$D$3="Status, then Theme",$M65*1000000+$L65*10000+ROW(),IF('Roadmap (Auto)'!$D$3="Dev start (earliest)",IF($I65="",99999999,$I65)*10000+ROW(),IF('Roadmap (Auto)'!$D$3="UX start (earliest)",IF($G65="",99999999,$G65)*10000+ROW(),IF('Roadmap (Auto)'!$D$3="Deliverable A-Z",$W65*10000+ROW(),$L65*1000000+$M65*10000+ROW())))))</f>
      </c>
      <c r="O65" s="305">
        <f>IF($N65="","",COUNTIF($N$2:$N$151,"&lt;"&amp;$N65)+1)</f>
      </c>
      <c r="P65" s="305">
        <f>IF($B65="","",IF(COUNTA('UX + Dev'!X65)=0,"",'UX + Dev'!X65))</f>
      </c>
      <c r="Q65" s="305">
        <f>IF($B65="","",IF(COUNTA('UX + Dev'!Y65)=0,"",'UX + Dev'!Y65))</f>
      </c>
      <c r="R65" s="307">
        <f>IF($P65="","",IF(ISNUMBER($P65),DATE(YEAR($P65),MONTH($P65),1),IFERROR(DATE(IFERROR(VALUE(RIGHT(TRIM($P65),4)),YEAR(TODAY())),(SEARCH(LEFT(TRIM($P65),3),"JanFebMarAprMayJunJulAugSepOctNovDec")+2)/3,1),"")))</f>
      </c>
      <c r="S65" s="307">
        <f>IF($Q65="","",IF(ISNUMBER($Q65),DATE(YEAR($Q65),MONTH($Q65),1),IFERROR(DATE(IFERROR(VALUE(RIGHT(TRIM($Q65),4)),YEAR(TODAY())),(SEARCH(LEFT(TRIM($Q65),3),"JanFebMarAprMayJunJulAugSepOctNovDec")+2)/3,1),"")))</f>
      </c>
      <c r="T65" s="305">
        <f>IF($B65="","",COUNTA('UX + Dev'!$AB65:$DN65))</f>
      </c>
      <c r="U65" s="305">
        <f>IF($B65="","",IFERROR(MATCH($D65,Control!$E$4:$E$30,0)+3,0))</f>
      </c>
      <c r="V65" s="305">
        <f>IF($B65="","",IF(AND(OR('Roadmap (Auto)'!$A$3="",'Roadmap (Auto)'!$A$3="(All)",ISNUMBER(SEARCH('Roadmap (Auto)'!$A$3,$C65&amp;""))),OR('Roadmap (Auto)'!$B$3="",'Roadmap (Auto)'!$B$3="(All)",$D65='Roadmap (Auto)'!$B$3,$X65='Roadmap (Auto)'!$B$3),OR('Roadmap (Auto)'!$C$3="",'Roadmap (Auto)'!$C$3="(All)",$F65='Roadmap (Auto)'!$C$3)),1,0))</f>
      </c>
      <c r="W65" s="305">
        <f>IF($B65="","",COUNTIF($Y$2:$Y$151,"&lt;"&amp;$Y65)+1)</f>
      </c>
      <c r="X65" s="305">
        <f>IF($B65="","",IF(TRIM('UX + Dev'!D65)="","",TRIM('UX + Dev'!D65)))</f>
      </c>
      <c r="Y65" s="305">
        <f>IF($B65="","",SUBSTITUTE(SUBSTITUTE(SUBSTITUTE(SUBSTITUTE(SUBSTITUTE(SUBSTITUTE(SUBSTITUTE(SUBSTITUTE(SUBSTITUTE(SUBSTITUTE(SUBSTITUTE(SUBSTITUTE(SUBSTITUTE(SUBSTITUTE(SUBSTITUTE(SUBSTITUTE(SUBSTITUTE(SUBSTITUTE(SUBSTITUTE(SUBSTITUTE(SUBSTITUTE(SUBSTITUTE(SUBSTITUTE(SUBSTITUTE(SUBSTITUTE(UPPER($B65)," ",""),"-",""),":",""),"/",""),"&amp;",""),"|",""),"'",""),"’",""),"&lt;",""),"&gt;",""),",",""),"$",""),".",""),"(",""),")",""),"*",""),"?",""),"~",""),"_",""),"+",""),"#",""),";",""),"!",""),"%",""),"@",""))</f>
      </c>
      <c r="AA65">
        <f>IF($B65="",0,COUNTIFS('UX + Dev'!$AB$1:$DN$1,"&gt;="&amp;AA$1,'UX + Dev'!$AB$1:$DN$1,"&lt;="&amp;EOMONTH(AA$1,0),'UX + Dev'!$AB65:$DN65,"&lt;&gt;"))</f>
      </c>
      <c r="AB65">
        <f>IF($B65="",0,COUNTIFS('UX + Dev'!$AB$1:$DN$1,"&gt;="&amp;AB$1,'UX + Dev'!$AB$1:$DN$1,"&lt;="&amp;EOMONTH(AB$1,0),'UX + Dev'!$AB65:$DN65,"&lt;&gt;"))</f>
      </c>
      <c r="AC65">
        <f>IF($B65="",0,COUNTIFS('UX + Dev'!$AB$1:$DN$1,"&gt;="&amp;AC$1,'UX + Dev'!$AB$1:$DN$1,"&lt;="&amp;EOMONTH(AC$1,0),'UX + Dev'!$AB65:$DN65,"&lt;&gt;"))</f>
      </c>
      <c r="AD65">
        <f>IF($B65="",0,COUNTIFS('UX + Dev'!$AB$1:$DN$1,"&gt;="&amp;AD$1,'UX + Dev'!$AB$1:$DN$1,"&lt;="&amp;EOMONTH(AD$1,0),'UX + Dev'!$AB65:$DN65,"&lt;&gt;"))</f>
      </c>
      <c r="AE65">
        <f>IF($B65="",0,COUNTIFS('UX + Dev'!$AB$1:$DN$1,"&gt;="&amp;AE$1,'UX + Dev'!$AB$1:$DN$1,"&lt;="&amp;EOMONTH(AE$1,0),'UX + Dev'!$AB65:$DN65,"&lt;&gt;"))</f>
      </c>
      <c r="AF65">
        <f>IF($B65="",0,COUNTIFS('UX + Dev'!$AB$1:$DN$1,"&gt;="&amp;AF$1,'UX + Dev'!$AB$1:$DN$1,"&lt;="&amp;EOMONTH(AF$1,0),'UX + Dev'!$AB65:$DN65,"&lt;&gt;"))</f>
      </c>
      <c r="AG65">
        <f>IF($B65="",0,COUNTIFS('UX + Dev'!$AB$1:$DN$1,"&gt;="&amp;AG$1,'UX + Dev'!$AB$1:$DN$1,"&lt;="&amp;EOMONTH(AG$1,0),'UX + Dev'!$AB65:$DN65,"&lt;&gt;"))</f>
      </c>
      <c r="AH65">
        <f>IF($B65="",0,COUNTIFS('UX + Dev'!$AB$1:$DN$1,"&gt;="&amp;AH$1,'UX + Dev'!$AB$1:$DN$1,"&lt;="&amp;EOMONTH(AH$1,0),'UX + Dev'!$AB65:$DN65,"&lt;&gt;"))</f>
      </c>
      <c r="AI65">
        <f>IF($B65="",0,COUNTIFS('UX + Dev'!$AB$1:$DN$1,"&gt;="&amp;AI$1,'UX + Dev'!$AB$1:$DN$1,"&lt;="&amp;EOMONTH(AI$1,0),'UX + Dev'!$AB65:$DN65,"&lt;&gt;"))</f>
      </c>
      <c r="AJ65">
        <f>IF($B65="",0,COUNTIFS('UX + Dev'!$AB$1:$DN$1,"&gt;="&amp;AJ$1,'UX + Dev'!$AB$1:$DN$1,"&lt;="&amp;EOMONTH(AJ$1,0),'UX + Dev'!$AB65:$DN65,"&lt;&gt;"))</f>
      </c>
      <c r="AK65">
        <f>IF($B65="",0,COUNTIFS('UX + Dev'!$AB$1:$DN$1,"&gt;="&amp;AK$1,'UX + Dev'!$AB$1:$DN$1,"&lt;="&amp;EOMONTH(AK$1,0),'UX + Dev'!$AB65:$DN65,"&lt;&gt;"))</f>
      </c>
      <c r="AL65">
        <f>IF($B65="",0,COUNTIFS('UX + Dev'!$AB$1:$DN$1,"&gt;="&amp;AL$1,'UX + Dev'!$AB$1:$DN$1,"&lt;="&amp;EOMONTH(AL$1,0),'UX + Dev'!$AB65:$DN65,"&lt;&gt;"))</f>
      </c>
      <c r="AM65">
        <f>IF($B65="",0,COUNTIFS('UX + Dev'!$AB$1:$DN$1,"&gt;="&amp;AM$1,'UX + Dev'!$AB$1:$DN$1,"&lt;="&amp;EOMONTH(AM$1,0),'UX + Dev'!$AB65:$DN65,"&lt;&gt;"))</f>
      </c>
      <c r="AN65">
        <f>IF($B65="",0,COUNTIFS('UX + Dev'!$AB$1:$DN$1,"&gt;="&amp;AN$1,'UX + Dev'!$AB$1:$DN$1,"&lt;="&amp;EOMONTH(AN$1,0),'UX + Dev'!$AB65:$DN65,"&lt;&gt;"))</f>
      </c>
      <c r="AO65">
        <f>IF($B65="",0,COUNTIFS('UX + Dev'!$AB$1:$DN$1,"&gt;="&amp;AO$1,'UX + Dev'!$AB$1:$DN$1,"&lt;="&amp;EOMONTH(AO$1,0),'UX + Dev'!$AB65:$DN65,"&lt;&gt;"))</f>
      </c>
      <c r="AP65">
        <f>IF($B65="",0,COUNTIFS('UX + Dev'!$AB$1:$DN$1,"&gt;="&amp;AP$1,'UX + Dev'!$AB$1:$DN$1,"&lt;="&amp;EOMONTH(AP$1,0),'UX + Dev'!$AB65:$DN65,"&lt;&gt;"))</f>
      </c>
      <c r="AQ65">
        <f>IF($B65="",0,COUNTIFS('UX + Dev'!$AB$1:$DN$1,"&gt;="&amp;AQ$1,'UX + Dev'!$AB$1:$DN$1,"&lt;="&amp;EOMONTH(AQ$1,0),'UX + Dev'!$AB65:$DN65,"&lt;&gt;"))</f>
      </c>
      <c r="AR65">
        <f>IF($B65="",0,COUNTIFS('UX + Dev'!$AB$1:$DN$1,"&gt;="&amp;AR$1,'UX + Dev'!$AB$1:$DN$1,"&lt;="&amp;EOMONTH(AR$1,0),'UX + Dev'!$AB65:$DN65,"&lt;&gt;"))</f>
      </c>
      <c r="AS65">
        <f>IF($B65="",0,COUNTIFS('UX + Dev'!$AB$1:$DN$1,"&gt;="&amp;AS$1,'UX + Dev'!$AB$1:$DN$1,"&lt;="&amp;EOMONTH(AS$1,0),'UX + Dev'!$AB65:$DN65,"&lt;&gt;"))</f>
      </c>
      <c r="AT65">
        <f>IF($B65="",0,COUNTIFS('UX + Dev'!$AB$1:$DN$1,"&gt;="&amp;AT$1,'UX + Dev'!$AB$1:$DN$1,"&lt;="&amp;EOMONTH(AT$1,0),'UX + Dev'!$AB65:$DN65,"&lt;&gt;"))</f>
      </c>
      <c r="AU65">
        <f>IF($B65="",0,COUNTIFS('UX + Dev'!$AB$1:$DN$1,"&gt;="&amp;AU$1,'UX + Dev'!$AB$1:$DN$1,"&lt;="&amp;EOMONTH(AU$1,0),'UX + Dev'!$AB65:$DN65,"&lt;&gt;"))</f>
      </c>
      <c r="AV65">
        <f>IF($B65="",0,COUNTIFS('UX + Dev'!$AB$1:$DN$1,"&gt;="&amp;AV$1,'UX + Dev'!$AB$1:$DN$1,"&lt;="&amp;EOMONTH(AV$1,0),'UX + Dev'!$AB65:$DN65,"&lt;&gt;"))</f>
      </c>
      <c r="AW65">
        <f>IF($B65="",0,COUNTIFS('UX + Dev'!$AB$1:$DN$1,"&gt;="&amp;AW$1,'UX + Dev'!$AB$1:$DN$1,"&lt;="&amp;EOMONTH(AW$1,0),'UX + Dev'!$AB65:$DN65,"&lt;&gt;"))</f>
      </c>
      <c r="AX65">
        <f>IF($B65="",0,COUNTIFS('UX + Dev'!$AB$1:$DN$1,"&gt;="&amp;AX$1,'UX + Dev'!$AB$1:$DN$1,"&lt;="&amp;EOMONTH(AX$1,0),'UX + Dev'!$AB65:$DN65,"&lt;&gt;"))</f>
      </c>
      <c r="BB65" s="308">
        <f>IF($B65="","",IF(COUNTA('UX + Dev'!U65)&gt;0,DATE(YEAR('UX + Dev'!U65),MONTH('UX + Dev'!U65),1),IF(COUNTA('UX + Dev'!V65)&gt;0,DATE(YEAR('UX + Dev'!V65),MONTH('UX + Dev'!V65),1),"")))</f>
      </c>
      <c r="BC65" s="308">
        <f>IF($B65="","",IF(COUNTA('UX + Dev'!V65)&gt;0,EOMONTH('UX + Dev'!V65,0),IF(COUNTA('UX + Dev'!U65)&gt;0,EOMONTH('UX + Dev'!U65,0),"")))</f>
      </c>
    </row>
    <row r="66">
      <c r="A66" s="305" t="n">
        <v>66</v>
      </c>
      <c r="B66" s="305">
        <f>IF(TRIM('UX + Dev'!E66)="","",TRIM('UX + Dev'!E66))</f>
      </c>
      <c r="C66" s="305">
        <f>IF($B66="","",'UX + Dev'!B66)</f>
      </c>
      <c r="D66" s="305">
        <f>IF($B66="","",IF(TRIM('UX + Dev'!C66)="","(No theme assigned)",TRIM('UX + Dev'!C66)))</f>
      </c>
      <c r="E66" s="305">
        <f>IF($B66="","",TRIM('UX + Dev'!F66))</f>
      </c>
      <c r="F66" s="305">
        <f>IF($B66="","",'UX + Dev'!G66)</f>
      </c>
      <c r="G66" s="306">
        <f t="array" ref="G66">IF($B66="","",IF($T66=0,"",IFERROR(MIN(IF('UX + Dev'!$AB66:$DN66&lt;&gt;"",'UX + Dev'!$AB$1:$DN$1)),"")))</f>
      </c>
      <c r="H66" s="306">
        <f t="array" ref="H66">IF($B66="","",IF($T66=0,"",IFERROR(MAX(IF('UX + Dev'!$AB66:$DN66&lt;&gt;"",'UX + Dev'!$AB$1:$DN$1)),"")))</f>
      </c>
      <c r="I66" s="307">
        <f>IF($R66&lt;&gt;"",$R66,IF($S66&lt;&gt;"",$S66,""))</f>
      </c>
      <c r="J66" s="307">
        <f>IF($S66&lt;&gt;"",EOMONTH($S66,0),IF($R66&lt;&gt;"",EOMONTH($R66,0),""))</f>
      </c>
      <c r="K66" s="305">
        <f>IF($B66="","",IF(COUNTA('UX + Dev'!AA66)=0,"",TRIM('UX + Dev'!AA66)))</f>
      </c>
      <c r="L66" s="305">
        <f>IF($B66="","",IFERROR(MATCH($D66,Control!$E$4:$E$30,0),99))</f>
      </c>
      <c r="M66" s="305">
        <f>IF($B66="","",IFERROR(MATCH($F66,Control!$B$4:$B$30,0),99))</f>
      </c>
      <c r="N66" s="305">
        <f>IF($V66&lt;&gt;1,"",IF('Roadmap (Auto)'!$D$3="Status, then Theme",$M66*1000000+$L66*10000+ROW(),IF('Roadmap (Auto)'!$D$3="Dev start (earliest)",IF($I66="",99999999,$I66)*10000+ROW(),IF('Roadmap (Auto)'!$D$3="UX start (earliest)",IF($G66="",99999999,$G66)*10000+ROW(),IF('Roadmap (Auto)'!$D$3="Deliverable A-Z",$W66*10000+ROW(),$L66*1000000+$M66*10000+ROW())))))</f>
      </c>
      <c r="O66" s="305">
        <f>IF($N66="","",COUNTIF($N$2:$N$151,"&lt;"&amp;$N66)+1)</f>
      </c>
      <c r="P66" s="305">
        <f>IF($B66="","",IF(COUNTA('UX + Dev'!X66)=0,"",'UX + Dev'!X66))</f>
      </c>
      <c r="Q66" s="305">
        <f>IF($B66="","",IF(COUNTA('UX + Dev'!Y66)=0,"",'UX + Dev'!Y66))</f>
      </c>
      <c r="R66" s="307">
        <f>IF($P66="","",IF(ISNUMBER($P66),DATE(YEAR($P66),MONTH($P66),1),IFERROR(DATE(IFERROR(VALUE(RIGHT(TRIM($P66),4)),YEAR(TODAY())),(SEARCH(LEFT(TRIM($P66),3),"JanFebMarAprMayJunJulAugSepOctNovDec")+2)/3,1),"")))</f>
      </c>
      <c r="S66" s="307">
        <f>IF($Q66="","",IF(ISNUMBER($Q66),DATE(YEAR($Q66),MONTH($Q66),1),IFERROR(DATE(IFERROR(VALUE(RIGHT(TRIM($Q66),4)),YEAR(TODAY())),(SEARCH(LEFT(TRIM($Q66),3),"JanFebMarAprMayJunJulAugSepOctNovDec")+2)/3,1),"")))</f>
      </c>
      <c r="T66" s="305">
        <f>IF($B66="","",COUNTA('UX + Dev'!$AB66:$DN66))</f>
      </c>
      <c r="U66" s="305">
        <f>IF($B66="","",IFERROR(MATCH($D66,Control!$E$4:$E$30,0)+3,0))</f>
      </c>
      <c r="V66" s="305">
        <f>IF($B66="","",IF(AND(OR('Roadmap (Auto)'!$A$3="",'Roadmap (Auto)'!$A$3="(All)",ISNUMBER(SEARCH('Roadmap (Auto)'!$A$3,$C66&amp;""))),OR('Roadmap (Auto)'!$B$3="",'Roadmap (Auto)'!$B$3="(All)",$D66='Roadmap (Auto)'!$B$3,$X66='Roadmap (Auto)'!$B$3),OR('Roadmap (Auto)'!$C$3="",'Roadmap (Auto)'!$C$3="(All)",$F66='Roadmap (Auto)'!$C$3)),1,0))</f>
      </c>
      <c r="W66" s="305">
        <f>IF($B66="","",COUNTIF($Y$2:$Y$151,"&lt;"&amp;$Y66)+1)</f>
      </c>
      <c r="X66" s="305">
        <f>IF($B66="","",IF(TRIM('UX + Dev'!D66)="","",TRIM('UX + Dev'!D66)))</f>
      </c>
      <c r="Y66" s="305">
        <f>IF($B66="","",SUBSTITUTE(SUBSTITUTE(SUBSTITUTE(SUBSTITUTE(SUBSTITUTE(SUBSTITUTE(SUBSTITUTE(SUBSTITUTE(SUBSTITUTE(SUBSTITUTE(SUBSTITUTE(SUBSTITUTE(SUBSTITUTE(SUBSTITUTE(SUBSTITUTE(SUBSTITUTE(SUBSTITUTE(SUBSTITUTE(SUBSTITUTE(SUBSTITUTE(SUBSTITUTE(SUBSTITUTE(SUBSTITUTE(SUBSTITUTE(SUBSTITUTE(UPPER($B66)," ",""),"-",""),":",""),"/",""),"&amp;",""),"|",""),"'",""),"’",""),"&lt;",""),"&gt;",""),",",""),"$",""),".",""),"(",""),")",""),"*",""),"?",""),"~",""),"_",""),"+",""),"#",""),";",""),"!",""),"%",""),"@",""))</f>
      </c>
      <c r="AA66">
        <f>IF($B66="",0,COUNTIFS('UX + Dev'!$AB$1:$DN$1,"&gt;="&amp;AA$1,'UX + Dev'!$AB$1:$DN$1,"&lt;="&amp;EOMONTH(AA$1,0),'UX + Dev'!$AB66:$DN66,"&lt;&gt;"))</f>
      </c>
      <c r="AB66">
        <f>IF($B66="",0,COUNTIFS('UX + Dev'!$AB$1:$DN$1,"&gt;="&amp;AB$1,'UX + Dev'!$AB$1:$DN$1,"&lt;="&amp;EOMONTH(AB$1,0),'UX + Dev'!$AB66:$DN66,"&lt;&gt;"))</f>
      </c>
      <c r="AC66">
        <f>IF($B66="",0,COUNTIFS('UX + Dev'!$AB$1:$DN$1,"&gt;="&amp;AC$1,'UX + Dev'!$AB$1:$DN$1,"&lt;="&amp;EOMONTH(AC$1,0),'UX + Dev'!$AB66:$DN66,"&lt;&gt;"))</f>
      </c>
      <c r="AD66">
        <f>IF($B66="",0,COUNTIFS('UX + Dev'!$AB$1:$DN$1,"&gt;="&amp;AD$1,'UX + Dev'!$AB$1:$DN$1,"&lt;="&amp;EOMONTH(AD$1,0),'UX + Dev'!$AB66:$DN66,"&lt;&gt;"))</f>
      </c>
      <c r="AE66">
        <f>IF($B66="",0,COUNTIFS('UX + Dev'!$AB$1:$DN$1,"&gt;="&amp;AE$1,'UX + Dev'!$AB$1:$DN$1,"&lt;="&amp;EOMONTH(AE$1,0),'UX + Dev'!$AB66:$DN66,"&lt;&gt;"))</f>
      </c>
      <c r="AF66">
        <f>IF($B66="",0,COUNTIFS('UX + Dev'!$AB$1:$DN$1,"&gt;="&amp;AF$1,'UX + Dev'!$AB$1:$DN$1,"&lt;="&amp;EOMONTH(AF$1,0),'UX + Dev'!$AB66:$DN66,"&lt;&gt;"))</f>
      </c>
      <c r="AG66">
        <f>IF($B66="",0,COUNTIFS('UX + Dev'!$AB$1:$DN$1,"&gt;="&amp;AG$1,'UX + Dev'!$AB$1:$DN$1,"&lt;="&amp;EOMONTH(AG$1,0),'UX + Dev'!$AB66:$DN66,"&lt;&gt;"))</f>
      </c>
      <c r="AH66">
        <f>IF($B66="",0,COUNTIFS('UX + Dev'!$AB$1:$DN$1,"&gt;="&amp;AH$1,'UX + Dev'!$AB$1:$DN$1,"&lt;="&amp;EOMONTH(AH$1,0),'UX + Dev'!$AB66:$DN66,"&lt;&gt;"))</f>
      </c>
      <c r="AI66">
        <f>IF($B66="",0,COUNTIFS('UX + Dev'!$AB$1:$DN$1,"&gt;="&amp;AI$1,'UX + Dev'!$AB$1:$DN$1,"&lt;="&amp;EOMONTH(AI$1,0),'UX + Dev'!$AB66:$DN66,"&lt;&gt;"))</f>
      </c>
      <c r="AJ66">
        <f>IF($B66="",0,COUNTIFS('UX + Dev'!$AB$1:$DN$1,"&gt;="&amp;AJ$1,'UX + Dev'!$AB$1:$DN$1,"&lt;="&amp;EOMONTH(AJ$1,0),'UX + Dev'!$AB66:$DN66,"&lt;&gt;"))</f>
      </c>
      <c r="AK66">
        <f>IF($B66="",0,COUNTIFS('UX + Dev'!$AB$1:$DN$1,"&gt;="&amp;AK$1,'UX + Dev'!$AB$1:$DN$1,"&lt;="&amp;EOMONTH(AK$1,0),'UX + Dev'!$AB66:$DN66,"&lt;&gt;"))</f>
      </c>
      <c r="AL66">
        <f>IF($B66="",0,COUNTIFS('UX + Dev'!$AB$1:$DN$1,"&gt;="&amp;AL$1,'UX + Dev'!$AB$1:$DN$1,"&lt;="&amp;EOMONTH(AL$1,0),'UX + Dev'!$AB66:$DN66,"&lt;&gt;"))</f>
      </c>
      <c r="AM66">
        <f>IF($B66="",0,COUNTIFS('UX + Dev'!$AB$1:$DN$1,"&gt;="&amp;AM$1,'UX + Dev'!$AB$1:$DN$1,"&lt;="&amp;EOMONTH(AM$1,0),'UX + Dev'!$AB66:$DN66,"&lt;&gt;"))</f>
      </c>
      <c r="AN66">
        <f>IF($B66="",0,COUNTIFS('UX + Dev'!$AB$1:$DN$1,"&gt;="&amp;AN$1,'UX + Dev'!$AB$1:$DN$1,"&lt;="&amp;EOMONTH(AN$1,0),'UX + Dev'!$AB66:$DN66,"&lt;&gt;"))</f>
      </c>
      <c r="AO66">
        <f>IF($B66="",0,COUNTIFS('UX + Dev'!$AB$1:$DN$1,"&gt;="&amp;AO$1,'UX + Dev'!$AB$1:$DN$1,"&lt;="&amp;EOMONTH(AO$1,0),'UX + Dev'!$AB66:$DN66,"&lt;&gt;"))</f>
      </c>
      <c r="AP66">
        <f>IF($B66="",0,COUNTIFS('UX + Dev'!$AB$1:$DN$1,"&gt;="&amp;AP$1,'UX + Dev'!$AB$1:$DN$1,"&lt;="&amp;EOMONTH(AP$1,0),'UX + Dev'!$AB66:$DN66,"&lt;&gt;"))</f>
      </c>
      <c r="AQ66">
        <f>IF($B66="",0,COUNTIFS('UX + Dev'!$AB$1:$DN$1,"&gt;="&amp;AQ$1,'UX + Dev'!$AB$1:$DN$1,"&lt;="&amp;EOMONTH(AQ$1,0),'UX + Dev'!$AB66:$DN66,"&lt;&gt;"))</f>
      </c>
      <c r="AR66">
        <f>IF($B66="",0,COUNTIFS('UX + Dev'!$AB$1:$DN$1,"&gt;="&amp;AR$1,'UX + Dev'!$AB$1:$DN$1,"&lt;="&amp;EOMONTH(AR$1,0),'UX + Dev'!$AB66:$DN66,"&lt;&gt;"))</f>
      </c>
      <c r="AS66">
        <f>IF($B66="",0,COUNTIFS('UX + Dev'!$AB$1:$DN$1,"&gt;="&amp;AS$1,'UX + Dev'!$AB$1:$DN$1,"&lt;="&amp;EOMONTH(AS$1,0),'UX + Dev'!$AB66:$DN66,"&lt;&gt;"))</f>
      </c>
      <c r="AT66">
        <f>IF($B66="",0,COUNTIFS('UX + Dev'!$AB$1:$DN$1,"&gt;="&amp;AT$1,'UX + Dev'!$AB$1:$DN$1,"&lt;="&amp;EOMONTH(AT$1,0),'UX + Dev'!$AB66:$DN66,"&lt;&gt;"))</f>
      </c>
      <c r="AU66">
        <f>IF($B66="",0,COUNTIFS('UX + Dev'!$AB$1:$DN$1,"&gt;="&amp;AU$1,'UX + Dev'!$AB$1:$DN$1,"&lt;="&amp;EOMONTH(AU$1,0),'UX + Dev'!$AB66:$DN66,"&lt;&gt;"))</f>
      </c>
      <c r="AV66">
        <f>IF($B66="",0,COUNTIFS('UX + Dev'!$AB$1:$DN$1,"&gt;="&amp;AV$1,'UX + Dev'!$AB$1:$DN$1,"&lt;="&amp;EOMONTH(AV$1,0),'UX + Dev'!$AB66:$DN66,"&lt;&gt;"))</f>
      </c>
      <c r="AW66">
        <f>IF($B66="",0,COUNTIFS('UX + Dev'!$AB$1:$DN$1,"&gt;="&amp;AW$1,'UX + Dev'!$AB$1:$DN$1,"&lt;="&amp;EOMONTH(AW$1,0),'UX + Dev'!$AB66:$DN66,"&lt;&gt;"))</f>
      </c>
      <c r="AX66">
        <f>IF($B66="",0,COUNTIFS('UX + Dev'!$AB$1:$DN$1,"&gt;="&amp;AX$1,'UX + Dev'!$AB$1:$DN$1,"&lt;="&amp;EOMONTH(AX$1,0),'UX + Dev'!$AB66:$DN66,"&lt;&gt;"))</f>
      </c>
      <c r="BB66" s="308">
        <f>IF($B66="","",IF(COUNTA('UX + Dev'!U66)&gt;0,DATE(YEAR('UX + Dev'!U66),MONTH('UX + Dev'!U66),1),IF(COUNTA('UX + Dev'!V66)&gt;0,DATE(YEAR('UX + Dev'!V66),MONTH('UX + Dev'!V66),1),"")))</f>
      </c>
      <c r="BC66" s="308">
        <f>IF($B66="","",IF(COUNTA('UX + Dev'!V66)&gt;0,EOMONTH('UX + Dev'!V66,0),IF(COUNTA('UX + Dev'!U66)&gt;0,EOMONTH('UX + Dev'!U66,0),"")))</f>
      </c>
    </row>
    <row r="67">
      <c r="A67" s="305" t="n">
        <v>67</v>
      </c>
      <c r="B67" s="305">
        <f>IF(TRIM('UX + Dev'!E67)="","",TRIM('UX + Dev'!E67))</f>
      </c>
      <c r="C67" s="305">
        <f>IF($B67="","",'UX + Dev'!B67)</f>
      </c>
      <c r="D67" s="305">
        <f>IF($B67="","",IF(TRIM('UX + Dev'!C67)="","(No theme assigned)",TRIM('UX + Dev'!C67)))</f>
      </c>
      <c r="E67" s="305">
        <f>IF($B67="","",TRIM('UX + Dev'!F67))</f>
      </c>
      <c r="F67" s="305">
        <f>IF($B67="","",'UX + Dev'!G67)</f>
      </c>
      <c r="G67" s="306">
        <f t="array" ref="G67">IF($B67="","",IF($T67=0,"",IFERROR(MIN(IF('UX + Dev'!$AB67:$DN67&lt;&gt;"",'UX + Dev'!$AB$1:$DN$1)),"")))</f>
      </c>
      <c r="H67" s="306">
        <f t="array" ref="H67">IF($B67="","",IF($T67=0,"",IFERROR(MAX(IF('UX + Dev'!$AB67:$DN67&lt;&gt;"",'UX + Dev'!$AB$1:$DN$1)),"")))</f>
      </c>
      <c r="I67" s="307">
        <f>IF($R67&lt;&gt;"",$R67,IF($S67&lt;&gt;"",$S67,""))</f>
      </c>
      <c r="J67" s="307">
        <f>IF($S67&lt;&gt;"",EOMONTH($S67,0),IF($R67&lt;&gt;"",EOMONTH($R67,0),""))</f>
      </c>
      <c r="K67" s="305">
        <f>IF($B67="","",IF(COUNTA('UX + Dev'!AA67)=0,"",TRIM('UX + Dev'!AA67)))</f>
      </c>
      <c r="L67" s="305">
        <f>IF($B67="","",IFERROR(MATCH($D67,Control!$E$4:$E$30,0),99))</f>
      </c>
      <c r="M67" s="305">
        <f>IF($B67="","",IFERROR(MATCH($F67,Control!$B$4:$B$30,0),99))</f>
      </c>
      <c r="N67" s="305">
        <f>IF($V67&lt;&gt;1,"",IF('Roadmap (Auto)'!$D$3="Status, then Theme",$M67*1000000+$L67*10000+ROW(),IF('Roadmap (Auto)'!$D$3="Dev start (earliest)",IF($I67="",99999999,$I67)*10000+ROW(),IF('Roadmap (Auto)'!$D$3="UX start (earliest)",IF($G67="",99999999,$G67)*10000+ROW(),IF('Roadmap (Auto)'!$D$3="Deliverable A-Z",$W67*10000+ROW(),$L67*1000000+$M67*10000+ROW())))))</f>
      </c>
      <c r="O67" s="305">
        <f>IF($N67="","",COUNTIF($N$2:$N$151,"&lt;"&amp;$N67)+1)</f>
      </c>
      <c r="P67" s="305">
        <f>IF($B67="","",IF(COUNTA('UX + Dev'!X67)=0,"",'UX + Dev'!X67))</f>
      </c>
      <c r="Q67" s="305">
        <f>IF($B67="","",IF(COUNTA('UX + Dev'!Y67)=0,"",'UX + Dev'!Y67))</f>
      </c>
      <c r="R67" s="307">
        <f>IF($P67="","",IF(ISNUMBER($P67),DATE(YEAR($P67),MONTH($P67),1),IFERROR(DATE(IFERROR(VALUE(RIGHT(TRIM($P67),4)),YEAR(TODAY())),(SEARCH(LEFT(TRIM($P67),3),"JanFebMarAprMayJunJulAugSepOctNovDec")+2)/3,1),"")))</f>
      </c>
      <c r="S67" s="307">
        <f>IF($Q67="","",IF(ISNUMBER($Q67),DATE(YEAR($Q67),MONTH($Q67),1),IFERROR(DATE(IFERROR(VALUE(RIGHT(TRIM($Q67),4)),YEAR(TODAY())),(SEARCH(LEFT(TRIM($Q67),3),"JanFebMarAprMayJunJulAugSepOctNovDec")+2)/3,1),"")))</f>
      </c>
      <c r="T67" s="305">
        <f>IF($B67="","",COUNTA('UX + Dev'!$AB67:$DN67))</f>
      </c>
      <c r="U67" s="305">
        <f>IF($B67="","",IFERROR(MATCH($D67,Control!$E$4:$E$30,0)+3,0))</f>
      </c>
      <c r="V67" s="305">
        <f>IF($B67="","",IF(AND(OR('Roadmap (Auto)'!$A$3="",'Roadmap (Auto)'!$A$3="(All)",ISNUMBER(SEARCH('Roadmap (Auto)'!$A$3,$C67&amp;""))),OR('Roadmap (Auto)'!$B$3="",'Roadmap (Auto)'!$B$3="(All)",$D67='Roadmap (Auto)'!$B$3,$X67='Roadmap (Auto)'!$B$3),OR('Roadmap (Auto)'!$C$3="",'Roadmap (Auto)'!$C$3="(All)",$F67='Roadmap (Auto)'!$C$3)),1,0))</f>
      </c>
      <c r="W67" s="305">
        <f>IF($B67="","",COUNTIF($Y$2:$Y$151,"&lt;"&amp;$Y67)+1)</f>
      </c>
      <c r="X67" s="305">
        <f>IF($B67="","",IF(TRIM('UX + Dev'!D67)="","",TRIM('UX + Dev'!D67)))</f>
      </c>
      <c r="Y67" s="305">
        <f>IF($B67="","",SUBSTITUTE(SUBSTITUTE(SUBSTITUTE(SUBSTITUTE(SUBSTITUTE(SUBSTITUTE(SUBSTITUTE(SUBSTITUTE(SUBSTITUTE(SUBSTITUTE(SUBSTITUTE(SUBSTITUTE(SUBSTITUTE(SUBSTITUTE(SUBSTITUTE(SUBSTITUTE(SUBSTITUTE(SUBSTITUTE(SUBSTITUTE(SUBSTITUTE(SUBSTITUTE(SUBSTITUTE(SUBSTITUTE(SUBSTITUTE(SUBSTITUTE(UPPER($B67)," ",""),"-",""),":",""),"/",""),"&amp;",""),"|",""),"'",""),"’",""),"&lt;",""),"&gt;",""),",",""),"$",""),".",""),"(",""),")",""),"*",""),"?",""),"~",""),"_",""),"+",""),"#",""),";",""),"!",""),"%",""),"@",""))</f>
      </c>
      <c r="AA67">
        <f>IF($B67="",0,COUNTIFS('UX + Dev'!$AB$1:$DN$1,"&gt;="&amp;AA$1,'UX + Dev'!$AB$1:$DN$1,"&lt;="&amp;EOMONTH(AA$1,0),'UX + Dev'!$AB67:$DN67,"&lt;&gt;"))</f>
      </c>
      <c r="AB67">
        <f>IF($B67="",0,COUNTIFS('UX + Dev'!$AB$1:$DN$1,"&gt;="&amp;AB$1,'UX + Dev'!$AB$1:$DN$1,"&lt;="&amp;EOMONTH(AB$1,0),'UX + Dev'!$AB67:$DN67,"&lt;&gt;"))</f>
      </c>
      <c r="AC67">
        <f>IF($B67="",0,COUNTIFS('UX + Dev'!$AB$1:$DN$1,"&gt;="&amp;AC$1,'UX + Dev'!$AB$1:$DN$1,"&lt;="&amp;EOMONTH(AC$1,0),'UX + Dev'!$AB67:$DN67,"&lt;&gt;"))</f>
      </c>
      <c r="AD67">
        <f>IF($B67="",0,COUNTIFS('UX + Dev'!$AB$1:$DN$1,"&gt;="&amp;AD$1,'UX + Dev'!$AB$1:$DN$1,"&lt;="&amp;EOMONTH(AD$1,0),'UX + Dev'!$AB67:$DN67,"&lt;&gt;"))</f>
      </c>
      <c r="AE67">
        <f>IF($B67="",0,COUNTIFS('UX + Dev'!$AB$1:$DN$1,"&gt;="&amp;AE$1,'UX + Dev'!$AB$1:$DN$1,"&lt;="&amp;EOMONTH(AE$1,0),'UX + Dev'!$AB67:$DN67,"&lt;&gt;"))</f>
      </c>
      <c r="AF67">
        <f>IF($B67="",0,COUNTIFS('UX + Dev'!$AB$1:$DN$1,"&gt;="&amp;AF$1,'UX + Dev'!$AB$1:$DN$1,"&lt;="&amp;EOMONTH(AF$1,0),'UX + Dev'!$AB67:$DN67,"&lt;&gt;"))</f>
      </c>
      <c r="AG67">
        <f>IF($B67="",0,COUNTIFS('UX + Dev'!$AB$1:$DN$1,"&gt;="&amp;AG$1,'UX + Dev'!$AB$1:$DN$1,"&lt;="&amp;EOMONTH(AG$1,0),'UX + Dev'!$AB67:$DN67,"&lt;&gt;"))</f>
      </c>
      <c r="AH67">
        <f>IF($B67="",0,COUNTIFS('UX + Dev'!$AB$1:$DN$1,"&gt;="&amp;AH$1,'UX + Dev'!$AB$1:$DN$1,"&lt;="&amp;EOMONTH(AH$1,0),'UX + Dev'!$AB67:$DN67,"&lt;&gt;"))</f>
      </c>
      <c r="AI67">
        <f>IF($B67="",0,COUNTIFS('UX + Dev'!$AB$1:$DN$1,"&gt;="&amp;AI$1,'UX + Dev'!$AB$1:$DN$1,"&lt;="&amp;EOMONTH(AI$1,0),'UX + Dev'!$AB67:$DN67,"&lt;&gt;"))</f>
      </c>
      <c r="AJ67">
        <f>IF($B67="",0,COUNTIFS('UX + Dev'!$AB$1:$DN$1,"&gt;="&amp;AJ$1,'UX + Dev'!$AB$1:$DN$1,"&lt;="&amp;EOMONTH(AJ$1,0),'UX + Dev'!$AB67:$DN67,"&lt;&gt;"))</f>
      </c>
      <c r="AK67">
        <f>IF($B67="",0,COUNTIFS('UX + Dev'!$AB$1:$DN$1,"&gt;="&amp;AK$1,'UX + Dev'!$AB$1:$DN$1,"&lt;="&amp;EOMONTH(AK$1,0),'UX + Dev'!$AB67:$DN67,"&lt;&gt;"))</f>
      </c>
      <c r="AL67">
        <f>IF($B67="",0,COUNTIFS('UX + Dev'!$AB$1:$DN$1,"&gt;="&amp;AL$1,'UX + Dev'!$AB$1:$DN$1,"&lt;="&amp;EOMONTH(AL$1,0),'UX + Dev'!$AB67:$DN67,"&lt;&gt;"))</f>
      </c>
      <c r="AM67">
        <f>IF($B67="",0,COUNTIFS('UX + Dev'!$AB$1:$DN$1,"&gt;="&amp;AM$1,'UX + Dev'!$AB$1:$DN$1,"&lt;="&amp;EOMONTH(AM$1,0),'UX + Dev'!$AB67:$DN67,"&lt;&gt;"))</f>
      </c>
      <c r="AN67">
        <f>IF($B67="",0,COUNTIFS('UX + Dev'!$AB$1:$DN$1,"&gt;="&amp;AN$1,'UX + Dev'!$AB$1:$DN$1,"&lt;="&amp;EOMONTH(AN$1,0),'UX + Dev'!$AB67:$DN67,"&lt;&gt;"))</f>
      </c>
      <c r="AO67">
        <f>IF($B67="",0,COUNTIFS('UX + Dev'!$AB$1:$DN$1,"&gt;="&amp;AO$1,'UX + Dev'!$AB$1:$DN$1,"&lt;="&amp;EOMONTH(AO$1,0),'UX + Dev'!$AB67:$DN67,"&lt;&gt;"))</f>
      </c>
      <c r="AP67">
        <f>IF($B67="",0,COUNTIFS('UX + Dev'!$AB$1:$DN$1,"&gt;="&amp;AP$1,'UX + Dev'!$AB$1:$DN$1,"&lt;="&amp;EOMONTH(AP$1,0),'UX + Dev'!$AB67:$DN67,"&lt;&gt;"))</f>
      </c>
      <c r="AQ67">
        <f>IF($B67="",0,COUNTIFS('UX + Dev'!$AB$1:$DN$1,"&gt;="&amp;AQ$1,'UX + Dev'!$AB$1:$DN$1,"&lt;="&amp;EOMONTH(AQ$1,0),'UX + Dev'!$AB67:$DN67,"&lt;&gt;"))</f>
      </c>
      <c r="AR67">
        <f>IF($B67="",0,COUNTIFS('UX + Dev'!$AB$1:$DN$1,"&gt;="&amp;AR$1,'UX + Dev'!$AB$1:$DN$1,"&lt;="&amp;EOMONTH(AR$1,0),'UX + Dev'!$AB67:$DN67,"&lt;&gt;"))</f>
      </c>
      <c r="AS67">
        <f>IF($B67="",0,COUNTIFS('UX + Dev'!$AB$1:$DN$1,"&gt;="&amp;AS$1,'UX + Dev'!$AB$1:$DN$1,"&lt;="&amp;EOMONTH(AS$1,0),'UX + Dev'!$AB67:$DN67,"&lt;&gt;"))</f>
      </c>
      <c r="AT67">
        <f>IF($B67="",0,COUNTIFS('UX + Dev'!$AB$1:$DN$1,"&gt;="&amp;AT$1,'UX + Dev'!$AB$1:$DN$1,"&lt;="&amp;EOMONTH(AT$1,0),'UX + Dev'!$AB67:$DN67,"&lt;&gt;"))</f>
      </c>
      <c r="AU67">
        <f>IF($B67="",0,COUNTIFS('UX + Dev'!$AB$1:$DN$1,"&gt;="&amp;AU$1,'UX + Dev'!$AB$1:$DN$1,"&lt;="&amp;EOMONTH(AU$1,0),'UX + Dev'!$AB67:$DN67,"&lt;&gt;"))</f>
      </c>
      <c r="AV67">
        <f>IF($B67="",0,COUNTIFS('UX + Dev'!$AB$1:$DN$1,"&gt;="&amp;AV$1,'UX + Dev'!$AB$1:$DN$1,"&lt;="&amp;EOMONTH(AV$1,0),'UX + Dev'!$AB67:$DN67,"&lt;&gt;"))</f>
      </c>
      <c r="AW67">
        <f>IF($B67="",0,COUNTIFS('UX + Dev'!$AB$1:$DN$1,"&gt;="&amp;AW$1,'UX + Dev'!$AB$1:$DN$1,"&lt;="&amp;EOMONTH(AW$1,0),'UX + Dev'!$AB67:$DN67,"&lt;&gt;"))</f>
      </c>
      <c r="AX67">
        <f>IF($B67="",0,COUNTIFS('UX + Dev'!$AB$1:$DN$1,"&gt;="&amp;AX$1,'UX + Dev'!$AB$1:$DN$1,"&lt;="&amp;EOMONTH(AX$1,0),'UX + Dev'!$AB67:$DN67,"&lt;&gt;"))</f>
      </c>
      <c r="BB67" s="308">
        <f>IF($B67="","",IF(COUNTA('UX + Dev'!U67)&gt;0,DATE(YEAR('UX + Dev'!U67),MONTH('UX + Dev'!U67),1),IF(COUNTA('UX + Dev'!V67)&gt;0,DATE(YEAR('UX + Dev'!V67),MONTH('UX + Dev'!V67),1),"")))</f>
      </c>
      <c r="BC67" s="308">
        <f>IF($B67="","",IF(COUNTA('UX + Dev'!V67)&gt;0,EOMONTH('UX + Dev'!V67,0),IF(COUNTA('UX + Dev'!U67)&gt;0,EOMONTH('UX + Dev'!U67,0),"")))</f>
      </c>
    </row>
    <row r="68">
      <c r="A68" s="305" t="n">
        <v>68</v>
      </c>
      <c r="B68" s="305">
        <f>IF(TRIM('UX + Dev'!E68)="","",TRIM('UX + Dev'!E68))</f>
      </c>
      <c r="C68" s="305">
        <f>IF($B68="","",'UX + Dev'!B68)</f>
      </c>
      <c r="D68" s="305">
        <f>IF($B68="","",IF(TRIM('UX + Dev'!C68)="","(No theme assigned)",TRIM('UX + Dev'!C68)))</f>
      </c>
      <c r="E68" s="305">
        <f>IF($B68="","",TRIM('UX + Dev'!F68))</f>
      </c>
      <c r="F68" s="305">
        <f>IF($B68="","",'UX + Dev'!G68)</f>
      </c>
      <c r="G68" s="306">
        <f t="array" ref="G68">IF($B68="","",IF($T68=0,"",IFERROR(MIN(IF('UX + Dev'!$AB68:$DN68&lt;&gt;"",'UX + Dev'!$AB$1:$DN$1)),"")))</f>
      </c>
      <c r="H68" s="306">
        <f t="array" ref="H68">IF($B68="","",IF($T68=0,"",IFERROR(MAX(IF('UX + Dev'!$AB68:$DN68&lt;&gt;"",'UX + Dev'!$AB$1:$DN$1)),"")))</f>
      </c>
      <c r="I68" s="307">
        <f>IF($R68&lt;&gt;"",$R68,IF($S68&lt;&gt;"",$S68,""))</f>
      </c>
      <c r="J68" s="307">
        <f>IF($S68&lt;&gt;"",EOMONTH($S68,0),IF($R68&lt;&gt;"",EOMONTH($R68,0),""))</f>
      </c>
      <c r="K68" s="305">
        <f>IF($B68="","",IF(COUNTA('UX + Dev'!AA68)=0,"",TRIM('UX + Dev'!AA68)))</f>
      </c>
      <c r="L68" s="305">
        <f>IF($B68="","",IFERROR(MATCH($D68,Control!$E$4:$E$30,0),99))</f>
      </c>
      <c r="M68" s="305">
        <f>IF($B68="","",IFERROR(MATCH($F68,Control!$B$4:$B$30,0),99))</f>
      </c>
      <c r="N68" s="305">
        <f>IF($V68&lt;&gt;1,"",IF('Roadmap (Auto)'!$D$3="Status, then Theme",$M68*1000000+$L68*10000+ROW(),IF('Roadmap (Auto)'!$D$3="Dev start (earliest)",IF($I68="",99999999,$I68)*10000+ROW(),IF('Roadmap (Auto)'!$D$3="UX start (earliest)",IF($G68="",99999999,$G68)*10000+ROW(),IF('Roadmap (Auto)'!$D$3="Deliverable A-Z",$W68*10000+ROW(),$L68*1000000+$M68*10000+ROW())))))</f>
      </c>
      <c r="O68" s="305">
        <f>IF($N68="","",COUNTIF($N$2:$N$151,"&lt;"&amp;$N68)+1)</f>
      </c>
      <c r="P68" s="305">
        <f>IF($B68="","",IF(COUNTA('UX + Dev'!X68)=0,"",'UX + Dev'!X68))</f>
      </c>
      <c r="Q68" s="305">
        <f>IF($B68="","",IF(COUNTA('UX + Dev'!Y68)=0,"",'UX + Dev'!Y68))</f>
      </c>
      <c r="R68" s="307">
        <f>IF($P68="","",IF(ISNUMBER($P68),DATE(YEAR($P68),MONTH($P68),1),IFERROR(DATE(IFERROR(VALUE(RIGHT(TRIM($P68),4)),YEAR(TODAY())),(SEARCH(LEFT(TRIM($P68),3),"JanFebMarAprMayJunJulAugSepOctNovDec")+2)/3,1),"")))</f>
      </c>
      <c r="S68" s="307">
        <f>IF($Q68="","",IF(ISNUMBER($Q68),DATE(YEAR($Q68),MONTH($Q68),1),IFERROR(DATE(IFERROR(VALUE(RIGHT(TRIM($Q68),4)),YEAR(TODAY())),(SEARCH(LEFT(TRIM($Q68),3),"JanFebMarAprMayJunJulAugSepOctNovDec")+2)/3,1),"")))</f>
      </c>
      <c r="T68" s="305">
        <f>IF($B68="","",COUNTA('UX + Dev'!$AB68:$DN68))</f>
      </c>
      <c r="U68" s="305">
        <f>IF($B68="","",IFERROR(MATCH($D68,Control!$E$4:$E$30,0)+3,0))</f>
      </c>
      <c r="V68" s="305">
        <f>IF($B68="","",IF(AND(OR('Roadmap (Auto)'!$A$3="",'Roadmap (Auto)'!$A$3="(All)",ISNUMBER(SEARCH('Roadmap (Auto)'!$A$3,$C68&amp;""))),OR('Roadmap (Auto)'!$B$3="",'Roadmap (Auto)'!$B$3="(All)",$D68='Roadmap (Auto)'!$B$3,$X68='Roadmap (Auto)'!$B$3),OR('Roadmap (Auto)'!$C$3="",'Roadmap (Auto)'!$C$3="(All)",$F68='Roadmap (Auto)'!$C$3)),1,0))</f>
      </c>
      <c r="W68" s="305">
        <f>IF($B68="","",COUNTIF($Y$2:$Y$151,"&lt;"&amp;$Y68)+1)</f>
      </c>
      <c r="X68" s="305">
        <f>IF($B68="","",IF(TRIM('UX + Dev'!D68)="","",TRIM('UX + Dev'!D68)))</f>
      </c>
      <c r="Y68" s="305">
        <f>IF($B68="","",SUBSTITUTE(SUBSTITUTE(SUBSTITUTE(SUBSTITUTE(SUBSTITUTE(SUBSTITUTE(SUBSTITUTE(SUBSTITUTE(SUBSTITUTE(SUBSTITUTE(SUBSTITUTE(SUBSTITUTE(SUBSTITUTE(SUBSTITUTE(SUBSTITUTE(SUBSTITUTE(SUBSTITUTE(SUBSTITUTE(SUBSTITUTE(SUBSTITUTE(SUBSTITUTE(SUBSTITUTE(SUBSTITUTE(SUBSTITUTE(SUBSTITUTE(UPPER($B68)," ",""),"-",""),":",""),"/",""),"&amp;",""),"|",""),"'",""),"’",""),"&lt;",""),"&gt;",""),",",""),"$",""),".",""),"(",""),")",""),"*",""),"?",""),"~",""),"_",""),"+",""),"#",""),";",""),"!",""),"%",""),"@",""))</f>
      </c>
      <c r="AA68">
        <f>IF($B68="",0,COUNTIFS('UX + Dev'!$AB$1:$DN$1,"&gt;="&amp;AA$1,'UX + Dev'!$AB$1:$DN$1,"&lt;="&amp;EOMONTH(AA$1,0),'UX + Dev'!$AB68:$DN68,"&lt;&gt;"))</f>
      </c>
      <c r="AB68">
        <f>IF($B68="",0,COUNTIFS('UX + Dev'!$AB$1:$DN$1,"&gt;="&amp;AB$1,'UX + Dev'!$AB$1:$DN$1,"&lt;="&amp;EOMONTH(AB$1,0),'UX + Dev'!$AB68:$DN68,"&lt;&gt;"))</f>
      </c>
      <c r="AC68">
        <f>IF($B68="",0,COUNTIFS('UX + Dev'!$AB$1:$DN$1,"&gt;="&amp;AC$1,'UX + Dev'!$AB$1:$DN$1,"&lt;="&amp;EOMONTH(AC$1,0),'UX + Dev'!$AB68:$DN68,"&lt;&gt;"))</f>
      </c>
      <c r="AD68">
        <f>IF($B68="",0,COUNTIFS('UX + Dev'!$AB$1:$DN$1,"&gt;="&amp;AD$1,'UX + Dev'!$AB$1:$DN$1,"&lt;="&amp;EOMONTH(AD$1,0),'UX + Dev'!$AB68:$DN68,"&lt;&gt;"))</f>
      </c>
      <c r="AE68">
        <f>IF($B68="",0,COUNTIFS('UX + Dev'!$AB$1:$DN$1,"&gt;="&amp;AE$1,'UX + Dev'!$AB$1:$DN$1,"&lt;="&amp;EOMONTH(AE$1,0),'UX + Dev'!$AB68:$DN68,"&lt;&gt;"))</f>
      </c>
      <c r="AF68">
        <f>IF($B68="",0,COUNTIFS('UX + Dev'!$AB$1:$DN$1,"&gt;="&amp;AF$1,'UX + Dev'!$AB$1:$DN$1,"&lt;="&amp;EOMONTH(AF$1,0),'UX + Dev'!$AB68:$DN68,"&lt;&gt;"))</f>
      </c>
      <c r="AG68">
        <f>IF($B68="",0,COUNTIFS('UX + Dev'!$AB$1:$DN$1,"&gt;="&amp;AG$1,'UX + Dev'!$AB$1:$DN$1,"&lt;="&amp;EOMONTH(AG$1,0),'UX + Dev'!$AB68:$DN68,"&lt;&gt;"))</f>
      </c>
      <c r="AH68">
        <f>IF($B68="",0,COUNTIFS('UX + Dev'!$AB$1:$DN$1,"&gt;="&amp;AH$1,'UX + Dev'!$AB$1:$DN$1,"&lt;="&amp;EOMONTH(AH$1,0),'UX + Dev'!$AB68:$DN68,"&lt;&gt;"))</f>
      </c>
      <c r="AI68">
        <f>IF($B68="",0,COUNTIFS('UX + Dev'!$AB$1:$DN$1,"&gt;="&amp;AI$1,'UX + Dev'!$AB$1:$DN$1,"&lt;="&amp;EOMONTH(AI$1,0),'UX + Dev'!$AB68:$DN68,"&lt;&gt;"))</f>
      </c>
      <c r="AJ68">
        <f>IF($B68="",0,COUNTIFS('UX + Dev'!$AB$1:$DN$1,"&gt;="&amp;AJ$1,'UX + Dev'!$AB$1:$DN$1,"&lt;="&amp;EOMONTH(AJ$1,0),'UX + Dev'!$AB68:$DN68,"&lt;&gt;"))</f>
      </c>
      <c r="AK68">
        <f>IF($B68="",0,COUNTIFS('UX + Dev'!$AB$1:$DN$1,"&gt;="&amp;AK$1,'UX + Dev'!$AB$1:$DN$1,"&lt;="&amp;EOMONTH(AK$1,0),'UX + Dev'!$AB68:$DN68,"&lt;&gt;"))</f>
      </c>
      <c r="AL68">
        <f>IF($B68="",0,COUNTIFS('UX + Dev'!$AB$1:$DN$1,"&gt;="&amp;AL$1,'UX + Dev'!$AB$1:$DN$1,"&lt;="&amp;EOMONTH(AL$1,0),'UX + Dev'!$AB68:$DN68,"&lt;&gt;"))</f>
      </c>
      <c r="AM68">
        <f>IF($B68="",0,COUNTIFS('UX + Dev'!$AB$1:$DN$1,"&gt;="&amp;AM$1,'UX + Dev'!$AB$1:$DN$1,"&lt;="&amp;EOMONTH(AM$1,0),'UX + Dev'!$AB68:$DN68,"&lt;&gt;"))</f>
      </c>
      <c r="AN68">
        <f>IF($B68="",0,COUNTIFS('UX + Dev'!$AB$1:$DN$1,"&gt;="&amp;AN$1,'UX + Dev'!$AB$1:$DN$1,"&lt;="&amp;EOMONTH(AN$1,0),'UX + Dev'!$AB68:$DN68,"&lt;&gt;"))</f>
      </c>
      <c r="AO68">
        <f>IF($B68="",0,COUNTIFS('UX + Dev'!$AB$1:$DN$1,"&gt;="&amp;AO$1,'UX + Dev'!$AB$1:$DN$1,"&lt;="&amp;EOMONTH(AO$1,0),'UX + Dev'!$AB68:$DN68,"&lt;&gt;"))</f>
      </c>
      <c r="AP68">
        <f>IF($B68="",0,COUNTIFS('UX + Dev'!$AB$1:$DN$1,"&gt;="&amp;AP$1,'UX + Dev'!$AB$1:$DN$1,"&lt;="&amp;EOMONTH(AP$1,0),'UX + Dev'!$AB68:$DN68,"&lt;&gt;"))</f>
      </c>
      <c r="AQ68">
        <f>IF($B68="",0,COUNTIFS('UX + Dev'!$AB$1:$DN$1,"&gt;="&amp;AQ$1,'UX + Dev'!$AB$1:$DN$1,"&lt;="&amp;EOMONTH(AQ$1,0),'UX + Dev'!$AB68:$DN68,"&lt;&gt;"))</f>
      </c>
      <c r="AR68">
        <f>IF($B68="",0,COUNTIFS('UX + Dev'!$AB$1:$DN$1,"&gt;="&amp;AR$1,'UX + Dev'!$AB$1:$DN$1,"&lt;="&amp;EOMONTH(AR$1,0),'UX + Dev'!$AB68:$DN68,"&lt;&gt;"))</f>
      </c>
      <c r="AS68">
        <f>IF($B68="",0,COUNTIFS('UX + Dev'!$AB$1:$DN$1,"&gt;="&amp;AS$1,'UX + Dev'!$AB$1:$DN$1,"&lt;="&amp;EOMONTH(AS$1,0),'UX + Dev'!$AB68:$DN68,"&lt;&gt;"))</f>
      </c>
      <c r="AT68">
        <f>IF($B68="",0,COUNTIFS('UX + Dev'!$AB$1:$DN$1,"&gt;="&amp;AT$1,'UX + Dev'!$AB$1:$DN$1,"&lt;="&amp;EOMONTH(AT$1,0),'UX + Dev'!$AB68:$DN68,"&lt;&gt;"))</f>
      </c>
      <c r="AU68">
        <f>IF($B68="",0,COUNTIFS('UX + Dev'!$AB$1:$DN$1,"&gt;="&amp;AU$1,'UX + Dev'!$AB$1:$DN$1,"&lt;="&amp;EOMONTH(AU$1,0),'UX + Dev'!$AB68:$DN68,"&lt;&gt;"))</f>
      </c>
      <c r="AV68">
        <f>IF($B68="",0,COUNTIFS('UX + Dev'!$AB$1:$DN$1,"&gt;="&amp;AV$1,'UX + Dev'!$AB$1:$DN$1,"&lt;="&amp;EOMONTH(AV$1,0),'UX + Dev'!$AB68:$DN68,"&lt;&gt;"))</f>
      </c>
      <c r="AW68">
        <f>IF($B68="",0,COUNTIFS('UX + Dev'!$AB$1:$DN$1,"&gt;="&amp;AW$1,'UX + Dev'!$AB$1:$DN$1,"&lt;="&amp;EOMONTH(AW$1,0),'UX + Dev'!$AB68:$DN68,"&lt;&gt;"))</f>
      </c>
      <c r="AX68">
        <f>IF($B68="",0,COUNTIFS('UX + Dev'!$AB$1:$DN$1,"&gt;="&amp;AX$1,'UX + Dev'!$AB$1:$DN$1,"&lt;="&amp;EOMONTH(AX$1,0),'UX + Dev'!$AB68:$DN68,"&lt;&gt;"))</f>
      </c>
      <c r="BB68" s="308">
        <f>IF($B68="","",IF(COUNTA('UX + Dev'!U68)&gt;0,DATE(YEAR('UX + Dev'!U68),MONTH('UX + Dev'!U68),1),IF(COUNTA('UX + Dev'!V68)&gt;0,DATE(YEAR('UX + Dev'!V68),MONTH('UX + Dev'!V68),1),"")))</f>
      </c>
      <c r="BC68" s="308">
        <f>IF($B68="","",IF(COUNTA('UX + Dev'!V68)&gt;0,EOMONTH('UX + Dev'!V68,0),IF(COUNTA('UX + Dev'!U68)&gt;0,EOMONTH('UX + Dev'!U68,0),"")))</f>
      </c>
    </row>
    <row r="69">
      <c r="A69" s="305" t="n">
        <v>69</v>
      </c>
      <c r="B69" s="305">
        <f>IF(TRIM('UX + Dev'!E69)="","",TRIM('UX + Dev'!E69))</f>
      </c>
      <c r="C69" s="305">
        <f>IF($B69="","",'UX + Dev'!B69)</f>
      </c>
      <c r="D69" s="305">
        <f>IF($B69="","",IF(TRIM('UX + Dev'!C69)="","(No theme assigned)",TRIM('UX + Dev'!C69)))</f>
      </c>
      <c r="E69" s="305">
        <f>IF($B69="","",TRIM('UX + Dev'!F69))</f>
      </c>
      <c r="F69" s="305">
        <f>IF($B69="","",'UX + Dev'!G69)</f>
      </c>
      <c r="G69" s="306">
        <f t="array" ref="G69">IF($B69="","",IF($T69=0,"",IFERROR(MIN(IF('UX + Dev'!$AB69:$DN69&lt;&gt;"",'UX + Dev'!$AB$1:$DN$1)),"")))</f>
      </c>
      <c r="H69" s="306">
        <f t="array" ref="H69">IF($B69="","",IF($T69=0,"",IFERROR(MAX(IF('UX + Dev'!$AB69:$DN69&lt;&gt;"",'UX + Dev'!$AB$1:$DN$1)),"")))</f>
      </c>
      <c r="I69" s="307">
        <f>IF($R69&lt;&gt;"",$R69,IF($S69&lt;&gt;"",$S69,""))</f>
      </c>
      <c r="J69" s="307">
        <f>IF($S69&lt;&gt;"",EOMONTH($S69,0),IF($R69&lt;&gt;"",EOMONTH($R69,0),""))</f>
      </c>
      <c r="K69" s="305">
        <f>IF($B69="","",IF(COUNTA('UX + Dev'!AA69)=0,"",TRIM('UX + Dev'!AA69)))</f>
      </c>
      <c r="L69" s="305">
        <f>IF($B69="","",IFERROR(MATCH($D69,Control!$E$4:$E$30,0),99))</f>
      </c>
      <c r="M69" s="305">
        <f>IF($B69="","",IFERROR(MATCH($F69,Control!$B$4:$B$30,0),99))</f>
      </c>
      <c r="N69" s="305">
        <f>IF($V69&lt;&gt;1,"",IF('Roadmap (Auto)'!$D$3="Status, then Theme",$M69*1000000+$L69*10000+ROW(),IF('Roadmap (Auto)'!$D$3="Dev start (earliest)",IF($I69="",99999999,$I69)*10000+ROW(),IF('Roadmap (Auto)'!$D$3="UX start (earliest)",IF($G69="",99999999,$G69)*10000+ROW(),IF('Roadmap (Auto)'!$D$3="Deliverable A-Z",$W69*10000+ROW(),$L69*1000000+$M69*10000+ROW())))))</f>
      </c>
      <c r="O69" s="305">
        <f>IF($N69="","",COUNTIF($N$2:$N$151,"&lt;"&amp;$N69)+1)</f>
      </c>
      <c r="P69" s="305">
        <f>IF($B69="","",IF(COUNTA('UX + Dev'!X69)=0,"",'UX + Dev'!X69))</f>
      </c>
      <c r="Q69" s="305">
        <f>IF($B69="","",IF(COUNTA('UX + Dev'!Y69)=0,"",'UX + Dev'!Y69))</f>
      </c>
      <c r="R69" s="307">
        <f>IF($P69="","",IF(ISNUMBER($P69),DATE(YEAR($P69),MONTH($P69),1),IFERROR(DATE(IFERROR(VALUE(RIGHT(TRIM($P69),4)),YEAR(TODAY())),(SEARCH(LEFT(TRIM($P69),3),"JanFebMarAprMayJunJulAugSepOctNovDec")+2)/3,1),"")))</f>
      </c>
      <c r="S69" s="307">
        <f>IF($Q69="","",IF(ISNUMBER($Q69),DATE(YEAR($Q69),MONTH($Q69),1),IFERROR(DATE(IFERROR(VALUE(RIGHT(TRIM($Q69),4)),YEAR(TODAY())),(SEARCH(LEFT(TRIM($Q69),3),"JanFebMarAprMayJunJulAugSepOctNovDec")+2)/3,1),"")))</f>
      </c>
      <c r="T69" s="305">
        <f>IF($B69="","",COUNTA('UX + Dev'!$AB69:$DN69))</f>
      </c>
      <c r="U69" s="305">
        <f>IF($B69="","",IFERROR(MATCH($D69,Control!$E$4:$E$30,0)+3,0))</f>
      </c>
      <c r="V69" s="305">
        <f>IF($B69="","",IF(AND(OR('Roadmap (Auto)'!$A$3="",'Roadmap (Auto)'!$A$3="(All)",ISNUMBER(SEARCH('Roadmap (Auto)'!$A$3,$C69&amp;""))),OR('Roadmap (Auto)'!$B$3="",'Roadmap (Auto)'!$B$3="(All)",$D69='Roadmap (Auto)'!$B$3,$X69='Roadmap (Auto)'!$B$3),OR('Roadmap (Auto)'!$C$3="",'Roadmap (Auto)'!$C$3="(All)",$F69='Roadmap (Auto)'!$C$3)),1,0))</f>
      </c>
      <c r="W69" s="305">
        <f>IF($B69="","",COUNTIF($Y$2:$Y$151,"&lt;"&amp;$Y69)+1)</f>
      </c>
      <c r="X69" s="305">
        <f>IF($B69="","",IF(TRIM('UX + Dev'!D69)="","",TRIM('UX + Dev'!D69)))</f>
      </c>
      <c r="Y69" s="305">
        <f>IF($B69="","",SUBSTITUTE(SUBSTITUTE(SUBSTITUTE(SUBSTITUTE(SUBSTITUTE(SUBSTITUTE(SUBSTITUTE(SUBSTITUTE(SUBSTITUTE(SUBSTITUTE(SUBSTITUTE(SUBSTITUTE(SUBSTITUTE(SUBSTITUTE(SUBSTITUTE(SUBSTITUTE(SUBSTITUTE(SUBSTITUTE(SUBSTITUTE(SUBSTITUTE(SUBSTITUTE(SUBSTITUTE(SUBSTITUTE(SUBSTITUTE(SUBSTITUTE(UPPER($B69)," ",""),"-",""),":",""),"/",""),"&amp;",""),"|",""),"'",""),"’",""),"&lt;",""),"&gt;",""),",",""),"$",""),".",""),"(",""),")",""),"*",""),"?",""),"~",""),"_",""),"+",""),"#",""),";",""),"!",""),"%",""),"@",""))</f>
      </c>
      <c r="AA69">
        <f>IF($B69="",0,COUNTIFS('UX + Dev'!$AB$1:$DN$1,"&gt;="&amp;AA$1,'UX + Dev'!$AB$1:$DN$1,"&lt;="&amp;EOMONTH(AA$1,0),'UX + Dev'!$AB69:$DN69,"&lt;&gt;"))</f>
      </c>
      <c r="AB69">
        <f>IF($B69="",0,COUNTIFS('UX + Dev'!$AB$1:$DN$1,"&gt;="&amp;AB$1,'UX + Dev'!$AB$1:$DN$1,"&lt;="&amp;EOMONTH(AB$1,0),'UX + Dev'!$AB69:$DN69,"&lt;&gt;"))</f>
      </c>
      <c r="AC69">
        <f>IF($B69="",0,COUNTIFS('UX + Dev'!$AB$1:$DN$1,"&gt;="&amp;AC$1,'UX + Dev'!$AB$1:$DN$1,"&lt;="&amp;EOMONTH(AC$1,0),'UX + Dev'!$AB69:$DN69,"&lt;&gt;"))</f>
      </c>
      <c r="AD69">
        <f>IF($B69="",0,COUNTIFS('UX + Dev'!$AB$1:$DN$1,"&gt;="&amp;AD$1,'UX + Dev'!$AB$1:$DN$1,"&lt;="&amp;EOMONTH(AD$1,0),'UX + Dev'!$AB69:$DN69,"&lt;&gt;"))</f>
      </c>
      <c r="AE69">
        <f>IF($B69="",0,COUNTIFS('UX + Dev'!$AB$1:$DN$1,"&gt;="&amp;AE$1,'UX + Dev'!$AB$1:$DN$1,"&lt;="&amp;EOMONTH(AE$1,0),'UX + Dev'!$AB69:$DN69,"&lt;&gt;"))</f>
      </c>
      <c r="AF69">
        <f>IF($B69="",0,COUNTIFS('UX + Dev'!$AB$1:$DN$1,"&gt;="&amp;AF$1,'UX + Dev'!$AB$1:$DN$1,"&lt;="&amp;EOMONTH(AF$1,0),'UX + Dev'!$AB69:$DN69,"&lt;&gt;"))</f>
      </c>
      <c r="AG69">
        <f>IF($B69="",0,COUNTIFS('UX + Dev'!$AB$1:$DN$1,"&gt;="&amp;AG$1,'UX + Dev'!$AB$1:$DN$1,"&lt;="&amp;EOMONTH(AG$1,0),'UX + Dev'!$AB69:$DN69,"&lt;&gt;"))</f>
      </c>
      <c r="AH69">
        <f>IF($B69="",0,COUNTIFS('UX + Dev'!$AB$1:$DN$1,"&gt;="&amp;AH$1,'UX + Dev'!$AB$1:$DN$1,"&lt;="&amp;EOMONTH(AH$1,0),'UX + Dev'!$AB69:$DN69,"&lt;&gt;"))</f>
      </c>
      <c r="AI69">
        <f>IF($B69="",0,COUNTIFS('UX + Dev'!$AB$1:$DN$1,"&gt;="&amp;AI$1,'UX + Dev'!$AB$1:$DN$1,"&lt;="&amp;EOMONTH(AI$1,0),'UX + Dev'!$AB69:$DN69,"&lt;&gt;"))</f>
      </c>
      <c r="AJ69">
        <f>IF($B69="",0,COUNTIFS('UX + Dev'!$AB$1:$DN$1,"&gt;="&amp;AJ$1,'UX + Dev'!$AB$1:$DN$1,"&lt;="&amp;EOMONTH(AJ$1,0),'UX + Dev'!$AB69:$DN69,"&lt;&gt;"))</f>
      </c>
      <c r="AK69">
        <f>IF($B69="",0,COUNTIFS('UX + Dev'!$AB$1:$DN$1,"&gt;="&amp;AK$1,'UX + Dev'!$AB$1:$DN$1,"&lt;="&amp;EOMONTH(AK$1,0),'UX + Dev'!$AB69:$DN69,"&lt;&gt;"))</f>
      </c>
      <c r="AL69">
        <f>IF($B69="",0,COUNTIFS('UX + Dev'!$AB$1:$DN$1,"&gt;="&amp;AL$1,'UX + Dev'!$AB$1:$DN$1,"&lt;="&amp;EOMONTH(AL$1,0),'UX + Dev'!$AB69:$DN69,"&lt;&gt;"))</f>
      </c>
      <c r="AM69">
        <f>IF($B69="",0,COUNTIFS('UX + Dev'!$AB$1:$DN$1,"&gt;="&amp;AM$1,'UX + Dev'!$AB$1:$DN$1,"&lt;="&amp;EOMONTH(AM$1,0),'UX + Dev'!$AB69:$DN69,"&lt;&gt;"))</f>
      </c>
      <c r="AN69">
        <f>IF($B69="",0,COUNTIFS('UX + Dev'!$AB$1:$DN$1,"&gt;="&amp;AN$1,'UX + Dev'!$AB$1:$DN$1,"&lt;="&amp;EOMONTH(AN$1,0),'UX + Dev'!$AB69:$DN69,"&lt;&gt;"))</f>
      </c>
      <c r="AO69">
        <f>IF($B69="",0,COUNTIFS('UX + Dev'!$AB$1:$DN$1,"&gt;="&amp;AO$1,'UX + Dev'!$AB$1:$DN$1,"&lt;="&amp;EOMONTH(AO$1,0),'UX + Dev'!$AB69:$DN69,"&lt;&gt;"))</f>
      </c>
      <c r="AP69">
        <f>IF($B69="",0,COUNTIFS('UX + Dev'!$AB$1:$DN$1,"&gt;="&amp;AP$1,'UX + Dev'!$AB$1:$DN$1,"&lt;="&amp;EOMONTH(AP$1,0),'UX + Dev'!$AB69:$DN69,"&lt;&gt;"))</f>
      </c>
      <c r="AQ69">
        <f>IF($B69="",0,COUNTIFS('UX + Dev'!$AB$1:$DN$1,"&gt;="&amp;AQ$1,'UX + Dev'!$AB$1:$DN$1,"&lt;="&amp;EOMONTH(AQ$1,0),'UX + Dev'!$AB69:$DN69,"&lt;&gt;"))</f>
      </c>
      <c r="AR69">
        <f>IF($B69="",0,COUNTIFS('UX + Dev'!$AB$1:$DN$1,"&gt;="&amp;AR$1,'UX + Dev'!$AB$1:$DN$1,"&lt;="&amp;EOMONTH(AR$1,0),'UX + Dev'!$AB69:$DN69,"&lt;&gt;"))</f>
      </c>
      <c r="AS69">
        <f>IF($B69="",0,COUNTIFS('UX + Dev'!$AB$1:$DN$1,"&gt;="&amp;AS$1,'UX + Dev'!$AB$1:$DN$1,"&lt;="&amp;EOMONTH(AS$1,0),'UX + Dev'!$AB69:$DN69,"&lt;&gt;"))</f>
      </c>
      <c r="AT69">
        <f>IF($B69="",0,COUNTIFS('UX + Dev'!$AB$1:$DN$1,"&gt;="&amp;AT$1,'UX + Dev'!$AB$1:$DN$1,"&lt;="&amp;EOMONTH(AT$1,0),'UX + Dev'!$AB69:$DN69,"&lt;&gt;"))</f>
      </c>
      <c r="AU69">
        <f>IF($B69="",0,COUNTIFS('UX + Dev'!$AB$1:$DN$1,"&gt;="&amp;AU$1,'UX + Dev'!$AB$1:$DN$1,"&lt;="&amp;EOMONTH(AU$1,0),'UX + Dev'!$AB69:$DN69,"&lt;&gt;"))</f>
      </c>
      <c r="AV69">
        <f>IF($B69="",0,COUNTIFS('UX + Dev'!$AB$1:$DN$1,"&gt;="&amp;AV$1,'UX + Dev'!$AB$1:$DN$1,"&lt;="&amp;EOMONTH(AV$1,0),'UX + Dev'!$AB69:$DN69,"&lt;&gt;"))</f>
      </c>
      <c r="AW69">
        <f>IF($B69="",0,COUNTIFS('UX + Dev'!$AB$1:$DN$1,"&gt;="&amp;AW$1,'UX + Dev'!$AB$1:$DN$1,"&lt;="&amp;EOMONTH(AW$1,0),'UX + Dev'!$AB69:$DN69,"&lt;&gt;"))</f>
      </c>
      <c r="AX69">
        <f>IF($B69="",0,COUNTIFS('UX + Dev'!$AB$1:$DN$1,"&gt;="&amp;AX$1,'UX + Dev'!$AB$1:$DN$1,"&lt;="&amp;EOMONTH(AX$1,0),'UX + Dev'!$AB69:$DN69,"&lt;&gt;"))</f>
      </c>
      <c r="BB69" s="308">
        <f>IF($B69="","",IF(COUNTA('UX + Dev'!U69)&gt;0,DATE(YEAR('UX + Dev'!U69),MONTH('UX + Dev'!U69),1),IF(COUNTA('UX + Dev'!V69)&gt;0,DATE(YEAR('UX + Dev'!V69),MONTH('UX + Dev'!V69),1),"")))</f>
      </c>
      <c r="BC69" s="308">
        <f>IF($B69="","",IF(COUNTA('UX + Dev'!V69)&gt;0,EOMONTH('UX + Dev'!V69,0),IF(COUNTA('UX + Dev'!U69)&gt;0,EOMONTH('UX + Dev'!U69,0),"")))</f>
      </c>
    </row>
    <row r="70">
      <c r="A70" s="305" t="n">
        <v>70</v>
      </c>
      <c r="B70" s="305">
        <f>IF(TRIM('UX + Dev'!E70)="","",TRIM('UX + Dev'!E70))</f>
      </c>
      <c r="C70" s="305">
        <f>IF($B70="","",'UX + Dev'!B70)</f>
      </c>
      <c r="D70" s="305">
        <f>IF($B70="","",IF(TRIM('UX + Dev'!C70)="","(No theme assigned)",TRIM('UX + Dev'!C70)))</f>
      </c>
      <c r="E70" s="305">
        <f>IF($B70="","",TRIM('UX + Dev'!F70))</f>
      </c>
      <c r="F70" s="305">
        <f>IF($B70="","",'UX + Dev'!G70)</f>
      </c>
      <c r="G70" s="306">
        <f t="array" ref="G70">IF($B70="","",IF($T70=0,"",IFERROR(MIN(IF('UX + Dev'!$AB70:$DN70&lt;&gt;"",'UX + Dev'!$AB$1:$DN$1)),"")))</f>
      </c>
      <c r="H70" s="306">
        <f t="array" ref="H70">IF($B70="","",IF($T70=0,"",IFERROR(MAX(IF('UX + Dev'!$AB70:$DN70&lt;&gt;"",'UX + Dev'!$AB$1:$DN$1)),"")))</f>
      </c>
      <c r="I70" s="307">
        <f>IF($R70&lt;&gt;"",$R70,IF($S70&lt;&gt;"",$S70,""))</f>
      </c>
      <c r="J70" s="307">
        <f>IF($S70&lt;&gt;"",EOMONTH($S70,0),IF($R70&lt;&gt;"",EOMONTH($R70,0),""))</f>
      </c>
      <c r="K70" s="305">
        <f>IF($B70="","",IF(COUNTA('UX + Dev'!AA70)=0,"",TRIM('UX + Dev'!AA70)))</f>
      </c>
      <c r="L70" s="305">
        <f>IF($B70="","",IFERROR(MATCH($D70,Control!$E$4:$E$30,0),99))</f>
      </c>
      <c r="M70" s="305">
        <f>IF($B70="","",IFERROR(MATCH($F70,Control!$B$4:$B$30,0),99))</f>
      </c>
      <c r="N70" s="305">
        <f>IF($V70&lt;&gt;1,"",IF('Roadmap (Auto)'!$D$3="Status, then Theme",$M70*1000000+$L70*10000+ROW(),IF('Roadmap (Auto)'!$D$3="Dev start (earliest)",IF($I70="",99999999,$I70)*10000+ROW(),IF('Roadmap (Auto)'!$D$3="UX start (earliest)",IF($G70="",99999999,$G70)*10000+ROW(),IF('Roadmap (Auto)'!$D$3="Deliverable A-Z",$W70*10000+ROW(),$L70*1000000+$M70*10000+ROW())))))</f>
      </c>
      <c r="O70" s="305">
        <f>IF($N70="","",COUNTIF($N$2:$N$151,"&lt;"&amp;$N70)+1)</f>
      </c>
      <c r="P70" s="305">
        <f>IF($B70="","",IF(COUNTA('UX + Dev'!X70)=0,"",'UX + Dev'!X70))</f>
      </c>
      <c r="Q70" s="305">
        <f>IF($B70="","",IF(COUNTA('UX + Dev'!Y70)=0,"",'UX + Dev'!Y70))</f>
      </c>
      <c r="R70" s="307">
        <f>IF($P70="","",IF(ISNUMBER($P70),DATE(YEAR($P70),MONTH($P70),1),IFERROR(DATE(IFERROR(VALUE(RIGHT(TRIM($P70),4)),YEAR(TODAY())),(SEARCH(LEFT(TRIM($P70),3),"JanFebMarAprMayJunJulAugSepOctNovDec")+2)/3,1),"")))</f>
      </c>
      <c r="S70" s="307">
        <f>IF($Q70="","",IF(ISNUMBER($Q70),DATE(YEAR($Q70),MONTH($Q70),1),IFERROR(DATE(IFERROR(VALUE(RIGHT(TRIM($Q70),4)),YEAR(TODAY())),(SEARCH(LEFT(TRIM($Q70),3),"JanFebMarAprMayJunJulAugSepOctNovDec")+2)/3,1),"")))</f>
      </c>
      <c r="T70" s="305">
        <f>IF($B70="","",COUNTA('UX + Dev'!$AB70:$DN70))</f>
      </c>
      <c r="U70" s="305">
        <f>IF($B70="","",IFERROR(MATCH($D70,Control!$E$4:$E$30,0)+3,0))</f>
      </c>
      <c r="V70" s="305">
        <f>IF($B70="","",IF(AND(OR('Roadmap (Auto)'!$A$3="",'Roadmap (Auto)'!$A$3="(All)",ISNUMBER(SEARCH('Roadmap (Auto)'!$A$3,$C70&amp;""))),OR('Roadmap (Auto)'!$B$3="",'Roadmap (Auto)'!$B$3="(All)",$D70='Roadmap (Auto)'!$B$3,$X70='Roadmap (Auto)'!$B$3),OR('Roadmap (Auto)'!$C$3="",'Roadmap (Auto)'!$C$3="(All)",$F70='Roadmap (Auto)'!$C$3)),1,0))</f>
      </c>
      <c r="W70" s="305">
        <f>IF($B70="","",COUNTIF($Y$2:$Y$151,"&lt;"&amp;$Y70)+1)</f>
      </c>
      <c r="X70" s="305">
        <f>IF($B70="","",IF(TRIM('UX + Dev'!D70)="","",TRIM('UX + Dev'!D70)))</f>
      </c>
      <c r="Y70" s="305">
        <f>IF($B70="","",SUBSTITUTE(SUBSTITUTE(SUBSTITUTE(SUBSTITUTE(SUBSTITUTE(SUBSTITUTE(SUBSTITUTE(SUBSTITUTE(SUBSTITUTE(SUBSTITUTE(SUBSTITUTE(SUBSTITUTE(SUBSTITUTE(SUBSTITUTE(SUBSTITUTE(SUBSTITUTE(SUBSTITUTE(SUBSTITUTE(SUBSTITUTE(SUBSTITUTE(SUBSTITUTE(SUBSTITUTE(SUBSTITUTE(SUBSTITUTE(SUBSTITUTE(UPPER($B70)," ",""),"-",""),":",""),"/",""),"&amp;",""),"|",""),"'",""),"’",""),"&lt;",""),"&gt;",""),",",""),"$",""),".",""),"(",""),")",""),"*",""),"?",""),"~",""),"_",""),"+",""),"#",""),";",""),"!",""),"%",""),"@",""))</f>
      </c>
      <c r="AA70">
        <f>IF($B70="",0,COUNTIFS('UX + Dev'!$AB$1:$DN$1,"&gt;="&amp;AA$1,'UX + Dev'!$AB$1:$DN$1,"&lt;="&amp;EOMONTH(AA$1,0),'UX + Dev'!$AB70:$DN70,"&lt;&gt;"))</f>
      </c>
      <c r="AB70">
        <f>IF($B70="",0,COUNTIFS('UX + Dev'!$AB$1:$DN$1,"&gt;="&amp;AB$1,'UX + Dev'!$AB$1:$DN$1,"&lt;="&amp;EOMONTH(AB$1,0),'UX + Dev'!$AB70:$DN70,"&lt;&gt;"))</f>
      </c>
      <c r="AC70">
        <f>IF($B70="",0,COUNTIFS('UX + Dev'!$AB$1:$DN$1,"&gt;="&amp;AC$1,'UX + Dev'!$AB$1:$DN$1,"&lt;="&amp;EOMONTH(AC$1,0),'UX + Dev'!$AB70:$DN70,"&lt;&gt;"))</f>
      </c>
      <c r="AD70">
        <f>IF($B70="",0,COUNTIFS('UX + Dev'!$AB$1:$DN$1,"&gt;="&amp;AD$1,'UX + Dev'!$AB$1:$DN$1,"&lt;="&amp;EOMONTH(AD$1,0),'UX + Dev'!$AB70:$DN70,"&lt;&gt;"))</f>
      </c>
      <c r="AE70">
        <f>IF($B70="",0,COUNTIFS('UX + Dev'!$AB$1:$DN$1,"&gt;="&amp;AE$1,'UX + Dev'!$AB$1:$DN$1,"&lt;="&amp;EOMONTH(AE$1,0),'UX + Dev'!$AB70:$DN70,"&lt;&gt;"))</f>
      </c>
      <c r="AF70">
        <f>IF($B70="",0,COUNTIFS('UX + Dev'!$AB$1:$DN$1,"&gt;="&amp;AF$1,'UX + Dev'!$AB$1:$DN$1,"&lt;="&amp;EOMONTH(AF$1,0),'UX + Dev'!$AB70:$DN70,"&lt;&gt;"))</f>
      </c>
      <c r="AG70">
        <f>IF($B70="",0,COUNTIFS('UX + Dev'!$AB$1:$DN$1,"&gt;="&amp;AG$1,'UX + Dev'!$AB$1:$DN$1,"&lt;="&amp;EOMONTH(AG$1,0),'UX + Dev'!$AB70:$DN70,"&lt;&gt;"))</f>
      </c>
      <c r="AH70">
        <f>IF($B70="",0,COUNTIFS('UX + Dev'!$AB$1:$DN$1,"&gt;="&amp;AH$1,'UX + Dev'!$AB$1:$DN$1,"&lt;="&amp;EOMONTH(AH$1,0),'UX + Dev'!$AB70:$DN70,"&lt;&gt;"))</f>
      </c>
      <c r="AI70">
        <f>IF($B70="",0,COUNTIFS('UX + Dev'!$AB$1:$DN$1,"&gt;="&amp;AI$1,'UX + Dev'!$AB$1:$DN$1,"&lt;="&amp;EOMONTH(AI$1,0),'UX + Dev'!$AB70:$DN70,"&lt;&gt;"))</f>
      </c>
      <c r="AJ70">
        <f>IF($B70="",0,COUNTIFS('UX + Dev'!$AB$1:$DN$1,"&gt;="&amp;AJ$1,'UX + Dev'!$AB$1:$DN$1,"&lt;="&amp;EOMONTH(AJ$1,0),'UX + Dev'!$AB70:$DN70,"&lt;&gt;"))</f>
      </c>
      <c r="AK70">
        <f>IF($B70="",0,COUNTIFS('UX + Dev'!$AB$1:$DN$1,"&gt;="&amp;AK$1,'UX + Dev'!$AB$1:$DN$1,"&lt;="&amp;EOMONTH(AK$1,0),'UX + Dev'!$AB70:$DN70,"&lt;&gt;"))</f>
      </c>
      <c r="AL70">
        <f>IF($B70="",0,COUNTIFS('UX + Dev'!$AB$1:$DN$1,"&gt;="&amp;AL$1,'UX + Dev'!$AB$1:$DN$1,"&lt;="&amp;EOMONTH(AL$1,0),'UX + Dev'!$AB70:$DN70,"&lt;&gt;"))</f>
      </c>
      <c r="AM70">
        <f>IF($B70="",0,COUNTIFS('UX + Dev'!$AB$1:$DN$1,"&gt;="&amp;AM$1,'UX + Dev'!$AB$1:$DN$1,"&lt;="&amp;EOMONTH(AM$1,0),'UX + Dev'!$AB70:$DN70,"&lt;&gt;"))</f>
      </c>
      <c r="AN70">
        <f>IF($B70="",0,COUNTIFS('UX + Dev'!$AB$1:$DN$1,"&gt;="&amp;AN$1,'UX + Dev'!$AB$1:$DN$1,"&lt;="&amp;EOMONTH(AN$1,0),'UX + Dev'!$AB70:$DN70,"&lt;&gt;"))</f>
      </c>
      <c r="AO70">
        <f>IF($B70="",0,COUNTIFS('UX + Dev'!$AB$1:$DN$1,"&gt;="&amp;AO$1,'UX + Dev'!$AB$1:$DN$1,"&lt;="&amp;EOMONTH(AO$1,0),'UX + Dev'!$AB70:$DN70,"&lt;&gt;"))</f>
      </c>
      <c r="AP70">
        <f>IF($B70="",0,COUNTIFS('UX + Dev'!$AB$1:$DN$1,"&gt;="&amp;AP$1,'UX + Dev'!$AB$1:$DN$1,"&lt;="&amp;EOMONTH(AP$1,0),'UX + Dev'!$AB70:$DN70,"&lt;&gt;"))</f>
      </c>
      <c r="AQ70">
        <f>IF($B70="",0,COUNTIFS('UX + Dev'!$AB$1:$DN$1,"&gt;="&amp;AQ$1,'UX + Dev'!$AB$1:$DN$1,"&lt;="&amp;EOMONTH(AQ$1,0),'UX + Dev'!$AB70:$DN70,"&lt;&gt;"))</f>
      </c>
      <c r="AR70">
        <f>IF($B70="",0,COUNTIFS('UX + Dev'!$AB$1:$DN$1,"&gt;="&amp;AR$1,'UX + Dev'!$AB$1:$DN$1,"&lt;="&amp;EOMONTH(AR$1,0),'UX + Dev'!$AB70:$DN70,"&lt;&gt;"))</f>
      </c>
      <c r="AS70">
        <f>IF($B70="",0,COUNTIFS('UX + Dev'!$AB$1:$DN$1,"&gt;="&amp;AS$1,'UX + Dev'!$AB$1:$DN$1,"&lt;="&amp;EOMONTH(AS$1,0),'UX + Dev'!$AB70:$DN70,"&lt;&gt;"))</f>
      </c>
      <c r="AT70">
        <f>IF($B70="",0,COUNTIFS('UX + Dev'!$AB$1:$DN$1,"&gt;="&amp;AT$1,'UX + Dev'!$AB$1:$DN$1,"&lt;="&amp;EOMONTH(AT$1,0),'UX + Dev'!$AB70:$DN70,"&lt;&gt;"))</f>
      </c>
      <c r="AU70">
        <f>IF($B70="",0,COUNTIFS('UX + Dev'!$AB$1:$DN$1,"&gt;="&amp;AU$1,'UX + Dev'!$AB$1:$DN$1,"&lt;="&amp;EOMONTH(AU$1,0),'UX + Dev'!$AB70:$DN70,"&lt;&gt;"))</f>
      </c>
      <c r="AV70">
        <f>IF($B70="",0,COUNTIFS('UX + Dev'!$AB$1:$DN$1,"&gt;="&amp;AV$1,'UX + Dev'!$AB$1:$DN$1,"&lt;="&amp;EOMONTH(AV$1,0),'UX + Dev'!$AB70:$DN70,"&lt;&gt;"))</f>
      </c>
      <c r="AW70">
        <f>IF($B70="",0,COUNTIFS('UX + Dev'!$AB$1:$DN$1,"&gt;="&amp;AW$1,'UX + Dev'!$AB$1:$DN$1,"&lt;="&amp;EOMONTH(AW$1,0),'UX + Dev'!$AB70:$DN70,"&lt;&gt;"))</f>
      </c>
      <c r="AX70">
        <f>IF($B70="",0,COUNTIFS('UX + Dev'!$AB$1:$DN$1,"&gt;="&amp;AX$1,'UX + Dev'!$AB$1:$DN$1,"&lt;="&amp;EOMONTH(AX$1,0),'UX + Dev'!$AB70:$DN70,"&lt;&gt;"))</f>
      </c>
      <c r="BB70" s="308">
        <f>IF($B70="","",IF(COUNTA('UX + Dev'!U70)&gt;0,DATE(YEAR('UX + Dev'!U70),MONTH('UX + Dev'!U70),1),IF(COUNTA('UX + Dev'!V70)&gt;0,DATE(YEAR('UX + Dev'!V70),MONTH('UX + Dev'!V70),1),"")))</f>
      </c>
      <c r="BC70" s="308">
        <f>IF($B70="","",IF(COUNTA('UX + Dev'!V70)&gt;0,EOMONTH('UX + Dev'!V70,0),IF(COUNTA('UX + Dev'!U70)&gt;0,EOMONTH('UX + Dev'!U70,0),"")))</f>
      </c>
    </row>
    <row r="71">
      <c r="A71" s="305" t="n">
        <v>71</v>
      </c>
      <c r="B71" s="305">
        <f>IF(TRIM('UX + Dev'!E71)="","",TRIM('UX + Dev'!E71))</f>
      </c>
      <c r="C71" s="305">
        <f>IF($B71="","",'UX + Dev'!B71)</f>
      </c>
      <c r="D71" s="305">
        <f>IF($B71="","",IF(TRIM('UX + Dev'!C71)="","(No theme assigned)",TRIM('UX + Dev'!C71)))</f>
      </c>
      <c r="E71" s="305">
        <f>IF($B71="","",TRIM('UX + Dev'!F71))</f>
      </c>
      <c r="F71" s="305">
        <f>IF($B71="","",'UX + Dev'!G71)</f>
      </c>
      <c r="G71" s="306">
        <f t="array" ref="G71">IF($B71="","",IF($T71=0,"",IFERROR(MIN(IF('UX + Dev'!$AB71:$DN71&lt;&gt;"",'UX + Dev'!$AB$1:$DN$1)),"")))</f>
      </c>
      <c r="H71" s="306">
        <f t="array" ref="H71">IF($B71="","",IF($T71=0,"",IFERROR(MAX(IF('UX + Dev'!$AB71:$DN71&lt;&gt;"",'UX + Dev'!$AB$1:$DN$1)),"")))</f>
      </c>
      <c r="I71" s="307">
        <f>IF($R71&lt;&gt;"",$R71,IF($S71&lt;&gt;"",$S71,""))</f>
      </c>
      <c r="J71" s="307">
        <f>IF($S71&lt;&gt;"",EOMONTH($S71,0),IF($R71&lt;&gt;"",EOMONTH($R71,0),""))</f>
      </c>
      <c r="K71" s="305">
        <f>IF($B71="","",IF(COUNTA('UX + Dev'!AA71)=0,"",TRIM('UX + Dev'!AA71)))</f>
      </c>
      <c r="L71" s="305">
        <f>IF($B71="","",IFERROR(MATCH($D71,Control!$E$4:$E$30,0),99))</f>
      </c>
      <c r="M71" s="305">
        <f>IF($B71="","",IFERROR(MATCH($F71,Control!$B$4:$B$30,0),99))</f>
      </c>
      <c r="N71" s="305">
        <f>IF($V71&lt;&gt;1,"",IF('Roadmap (Auto)'!$D$3="Status, then Theme",$M71*1000000+$L71*10000+ROW(),IF('Roadmap (Auto)'!$D$3="Dev start (earliest)",IF($I71="",99999999,$I71)*10000+ROW(),IF('Roadmap (Auto)'!$D$3="UX start (earliest)",IF($G71="",99999999,$G71)*10000+ROW(),IF('Roadmap (Auto)'!$D$3="Deliverable A-Z",$W71*10000+ROW(),$L71*1000000+$M71*10000+ROW())))))</f>
      </c>
      <c r="O71" s="305">
        <f>IF($N71="","",COUNTIF($N$2:$N$151,"&lt;"&amp;$N71)+1)</f>
      </c>
      <c r="P71" s="305">
        <f>IF($B71="","",IF(COUNTA('UX + Dev'!X71)=0,"",'UX + Dev'!X71))</f>
      </c>
      <c r="Q71" s="305">
        <f>IF($B71="","",IF(COUNTA('UX + Dev'!Y71)=0,"",'UX + Dev'!Y71))</f>
      </c>
      <c r="R71" s="307">
        <f>IF($P71="","",IF(ISNUMBER($P71),DATE(YEAR($P71),MONTH($P71),1),IFERROR(DATE(IFERROR(VALUE(RIGHT(TRIM($P71),4)),YEAR(TODAY())),(SEARCH(LEFT(TRIM($P71),3),"JanFebMarAprMayJunJulAugSepOctNovDec")+2)/3,1),"")))</f>
      </c>
      <c r="S71" s="307">
        <f>IF($Q71="","",IF(ISNUMBER($Q71),DATE(YEAR($Q71),MONTH($Q71),1),IFERROR(DATE(IFERROR(VALUE(RIGHT(TRIM($Q71),4)),YEAR(TODAY())),(SEARCH(LEFT(TRIM($Q71),3),"JanFebMarAprMayJunJulAugSepOctNovDec")+2)/3,1),"")))</f>
      </c>
      <c r="T71" s="305">
        <f>IF($B71="","",COUNTA('UX + Dev'!$AB71:$DN71))</f>
      </c>
      <c r="U71" s="305">
        <f>IF($B71="","",IFERROR(MATCH($D71,Control!$E$4:$E$30,0)+3,0))</f>
      </c>
      <c r="V71" s="305">
        <f>IF($B71="","",IF(AND(OR('Roadmap (Auto)'!$A$3="",'Roadmap (Auto)'!$A$3="(All)",ISNUMBER(SEARCH('Roadmap (Auto)'!$A$3,$C71&amp;""))),OR('Roadmap (Auto)'!$B$3="",'Roadmap (Auto)'!$B$3="(All)",$D71='Roadmap (Auto)'!$B$3,$X71='Roadmap (Auto)'!$B$3),OR('Roadmap (Auto)'!$C$3="",'Roadmap (Auto)'!$C$3="(All)",$F71='Roadmap (Auto)'!$C$3)),1,0))</f>
      </c>
      <c r="W71" s="305">
        <f>IF($B71="","",COUNTIF($Y$2:$Y$151,"&lt;"&amp;$Y71)+1)</f>
      </c>
      <c r="X71" s="305">
        <f>IF($B71="","",IF(TRIM('UX + Dev'!D71)="","",TRIM('UX + Dev'!D71)))</f>
      </c>
      <c r="Y71" s="305">
        <f>IF($B71="","",SUBSTITUTE(SUBSTITUTE(SUBSTITUTE(SUBSTITUTE(SUBSTITUTE(SUBSTITUTE(SUBSTITUTE(SUBSTITUTE(SUBSTITUTE(SUBSTITUTE(SUBSTITUTE(SUBSTITUTE(SUBSTITUTE(SUBSTITUTE(SUBSTITUTE(SUBSTITUTE(SUBSTITUTE(SUBSTITUTE(SUBSTITUTE(SUBSTITUTE(SUBSTITUTE(SUBSTITUTE(SUBSTITUTE(SUBSTITUTE(SUBSTITUTE(UPPER($B71)," ",""),"-",""),":",""),"/",""),"&amp;",""),"|",""),"'",""),"’",""),"&lt;",""),"&gt;",""),",",""),"$",""),".",""),"(",""),")",""),"*",""),"?",""),"~",""),"_",""),"+",""),"#",""),";",""),"!",""),"%",""),"@",""))</f>
      </c>
      <c r="AA71">
        <f>IF($B71="",0,COUNTIFS('UX + Dev'!$AB$1:$DN$1,"&gt;="&amp;AA$1,'UX + Dev'!$AB$1:$DN$1,"&lt;="&amp;EOMONTH(AA$1,0),'UX + Dev'!$AB71:$DN71,"&lt;&gt;"))</f>
      </c>
      <c r="AB71">
        <f>IF($B71="",0,COUNTIFS('UX + Dev'!$AB$1:$DN$1,"&gt;="&amp;AB$1,'UX + Dev'!$AB$1:$DN$1,"&lt;="&amp;EOMONTH(AB$1,0),'UX + Dev'!$AB71:$DN71,"&lt;&gt;"))</f>
      </c>
      <c r="AC71">
        <f>IF($B71="",0,COUNTIFS('UX + Dev'!$AB$1:$DN$1,"&gt;="&amp;AC$1,'UX + Dev'!$AB$1:$DN$1,"&lt;="&amp;EOMONTH(AC$1,0),'UX + Dev'!$AB71:$DN71,"&lt;&gt;"))</f>
      </c>
      <c r="AD71">
        <f>IF($B71="",0,COUNTIFS('UX + Dev'!$AB$1:$DN$1,"&gt;="&amp;AD$1,'UX + Dev'!$AB$1:$DN$1,"&lt;="&amp;EOMONTH(AD$1,0),'UX + Dev'!$AB71:$DN71,"&lt;&gt;"))</f>
      </c>
      <c r="AE71">
        <f>IF($B71="",0,COUNTIFS('UX + Dev'!$AB$1:$DN$1,"&gt;="&amp;AE$1,'UX + Dev'!$AB$1:$DN$1,"&lt;="&amp;EOMONTH(AE$1,0),'UX + Dev'!$AB71:$DN71,"&lt;&gt;"))</f>
      </c>
      <c r="AF71">
        <f>IF($B71="",0,COUNTIFS('UX + Dev'!$AB$1:$DN$1,"&gt;="&amp;AF$1,'UX + Dev'!$AB$1:$DN$1,"&lt;="&amp;EOMONTH(AF$1,0),'UX + Dev'!$AB71:$DN71,"&lt;&gt;"))</f>
      </c>
      <c r="AG71">
        <f>IF($B71="",0,COUNTIFS('UX + Dev'!$AB$1:$DN$1,"&gt;="&amp;AG$1,'UX + Dev'!$AB$1:$DN$1,"&lt;="&amp;EOMONTH(AG$1,0),'UX + Dev'!$AB71:$DN71,"&lt;&gt;"))</f>
      </c>
      <c r="AH71">
        <f>IF($B71="",0,COUNTIFS('UX + Dev'!$AB$1:$DN$1,"&gt;="&amp;AH$1,'UX + Dev'!$AB$1:$DN$1,"&lt;="&amp;EOMONTH(AH$1,0),'UX + Dev'!$AB71:$DN71,"&lt;&gt;"))</f>
      </c>
      <c r="AI71">
        <f>IF($B71="",0,COUNTIFS('UX + Dev'!$AB$1:$DN$1,"&gt;="&amp;AI$1,'UX + Dev'!$AB$1:$DN$1,"&lt;="&amp;EOMONTH(AI$1,0),'UX + Dev'!$AB71:$DN71,"&lt;&gt;"))</f>
      </c>
      <c r="AJ71">
        <f>IF($B71="",0,COUNTIFS('UX + Dev'!$AB$1:$DN$1,"&gt;="&amp;AJ$1,'UX + Dev'!$AB$1:$DN$1,"&lt;="&amp;EOMONTH(AJ$1,0),'UX + Dev'!$AB71:$DN71,"&lt;&gt;"))</f>
      </c>
      <c r="AK71">
        <f>IF($B71="",0,COUNTIFS('UX + Dev'!$AB$1:$DN$1,"&gt;="&amp;AK$1,'UX + Dev'!$AB$1:$DN$1,"&lt;="&amp;EOMONTH(AK$1,0),'UX + Dev'!$AB71:$DN71,"&lt;&gt;"))</f>
      </c>
      <c r="AL71">
        <f>IF($B71="",0,COUNTIFS('UX + Dev'!$AB$1:$DN$1,"&gt;="&amp;AL$1,'UX + Dev'!$AB$1:$DN$1,"&lt;="&amp;EOMONTH(AL$1,0),'UX + Dev'!$AB71:$DN71,"&lt;&gt;"))</f>
      </c>
      <c r="AM71">
        <f>IF($B71="",0,COUNTIFS('UX + Dev'!$AB$1:$DN$1,"&gt;="&amp;AM$1,'UX + Dev'!$AB$1:$DN$1,"&lt;="&amp;EOMONTH(AM$1,0),'UX + Dev'!$AB71:$DN71,"&lt;&gt;"))</f>
      </c>
      <c r="AN71">
        <f>IF($B71="",0,COUNTIFS('UX + Dev'!$AB$1:$DN$1,"&gt;="&amp;AN$1,'UX + Dev'!$AB$1:$DN$1,"&lt;="&amp;EOMONTH(AN$1,0),'UX + Dev'!$AB71:$DN71,"&lt;&gt;"))</f>
      </c>
      <c r="AO71">
        <f>IF($B71="",0,COUNTIFS('UX + Dev'!$AB$1:$DN$1,"&gt;="&amp;AO$1,'UX + Dev'!$AB$1:$DN$1,"&lt;="&amp;EOMONTH(AO$1,0),'UX + Dev'!$AB71:$DN71,"&lt;&gt;"))</f>
      </c>
      <c r="AP71">
        <f>IF($B71="",0,COUNTIFS('UX + Dev'!$AB$1:$DN$1,"&gt;="&amp;AP$1,'UX + Dev'!$AB$1:$DN$1,"&lt;="&amp;EOMONTH(AP$1,0),'UX + Dev'!$AB71:$DN71,"&lt;&gt;"))</f>
      </c>
      <c r="AQ71">
        <f>IF($B71="",0,COUNTIFS('UX + Dev'!$AB$1:$DN$1,"&gt;="&amp;AQ$1,'UX + Dev'!$AB$1:$DN$1,"&lt;="&amp;EOMONTH(AQ$1,0),'UX + Dev'!$AB71:$DN71,"&lt;&gt;"))</f>
      </c>
      <c r="AR71">
        <f>IF($B71="",0,COUNTIFS('UX + Dev'!$AB$1:$DN$1,"&gt;="&amp;AR$1,'UX + Dev'!$AB$1:$DN$1,"&lt;="&amp;EOMONTH(AR$1,0),'UX + Dev'!$AB71:$DN71,"&lt;&gt;"))</f>
      </c>
      <c r="AS71">
        <f>IF($B71="",0,COUNTIFS('UX + Dev'!$AB$1:$DN$1,"&gt;="&amp;AS$1,'UX + Dev'!$AB$1:$DN$1,"&lt;="&amp;EOMONTH(AS$1,0),'UX + Dev'!$AB71:$DN71,"&lt;&gt;"))</f>
      </c>
      <c r="AT71">
        <f>IF($B71="",0,COUNTIFS('UX + Dev'!$AB$1:$DN$1,"&gt;="&amp;AT$1,'UX + Dev'!$AB$1:$DN$1,"&lt;="&amp;EOMONTH(AT$1,0),'UX + Dev'!$AB71:$DN71,"&lt;&gt;"))</f>
      </c>
      <c r="AU71">
        <f>IF($B71="",0,COUNTIFS('UX + Dev'!$AB$1:$DN$1,"&gt;="&amp;AU$1,'UX + Dev'!$AB$1:$DN$1,"&lt;="&amp;EOMONTH(AU$1,0),'UX + Dev'!$AB71:$DN71,"&lt;&gt;"))</f>
      </c>
      <c r="AV71">
        <f>IF($B71="",0,COUNTIFS('UX + Dev'!$AB$1:$DN$1,"&gt;="&amp;AV$1,'UX + Dev'!$AB$1:$DN$1,"&lt;="&amp;EOMONTH(AV$1,0),'UX + Dev'!$AB71:$DN71,"&lt;&gt;"))</f>
      </c>
      <c r="AW71">
        <f>IF($B71="",0,COUNTIFS('UX + Dev'!$AB$1:$DN$1,"&gt;="&amp;AW$1,'UX + Dev'!$AB$1:$DN$1,"&lt;="&amp;EOMONTH(AW$1,0),'UX + Dev'!$AB71:$DN71,"&lt;&gt;"))</f>
      </c>
      <c r="AX71">
        <f>IF($B71="",0,COUNTIFS('UX + Dev'!$AB$1:$DN$1,"&gt;="&amp;AX$1,'UX + Dev'!$AB$1:$DN$1,"&lt;="&amp;EOMONTH(AX$1,0),'UX + Dev'!$AB71:$DN71,"&lt;&gt;"))</f>
      </c>
      <c r="BB71" s="308">
        <f>IF($B71="","",IF(COUNTA('UX + Dev'!U71)&gt;0,DATE(YEAR('UX + Dev'!U71),MONTH('UX + Dev'!U71),1),IF(COUNTA('UX + Dev'!V71)&gt;0,DATE(YEAR('UX + Dev'!V71),MONTH('UX + Dev'!V71),1),"")))</f>
      </c>
      <c r="BC71" s="308">
        <f>IF($B71="","",IF(COUNTA('UX + Dev'!V71)&gt;0,EOMONTH('UX + Dev'!V71,0),IF(COUNTA('UX + Dev'!U71)&gt;0,EOMONTH('UX + Dev'!U71,0),"")))</f>
      </c>
    </row>
    <row r="72">
      <c r="A72" s="305" t="n">
        <v>72</v>
      </c>
      <c r="B72" s="305">
        <f>IF(TRIM('UX + Dev'!E72)="","",TRIM('UX + Dev'!E72))</f>
      </c>
      <c r="C72" s="305">
        <f>IF($B72="","",'UX + Dev'!B72)</f>
      </c>
      <c r="D72" s="305">
        <f>IF($B72="","",IF(TRIM('UX + Dev'!C72)="","(No theme assigned)",TRIM('UX + Dev'!C72)))</f>
      </c>
      <c r="E72" s="305">
        <f>IF($B72="","",TRIM('UX + Dev'!F72))</f>
      </c>
      <c r="F72" s="305">
        <f>IF($B72="","",'UX + Dev'!G72)</f>
      </c>
      <c r="G72" s="306">
        <f t="array" ref="G72">IF($B72="","",IF($T72=0,"",IFERROR(MIN(IF('UX + Dev'!$AB72:$DN72&lt;&gt;"",'UX + Dev'!$AB$1:$DN$1)),"")))</f>
      </c>
      <c r="H72" s="306">
        <f t="array" ref="H72">IF($B72="","",IF($T72=0,"",IFERROR(MAX(IF('UX + Dev'!$AB72:$DN72&lt;&gt;"",'UX + Dev'!$AB$1:$DN$1)),"")))</f>
      </c>
      <c r="I72" s="307">
        <f>IF($R72&lt;&gt;"",$R72,IF($S72&lt;&gt;"",$S72,""))</f>
      </c>
      <c r="J72" s="307">
        <f>IF($S72&lt;&gt;"",EOMONTH($S72,0),IF($R72&lt;&gt;"",EOMONTH($R72,0),""))</f>
      </c>
      <c r="K72" s="305">
        <f>IF($B72="","",IF(COUNTA('UX + Dev'!AA72)=0,"",TRIM('UX + Dev'!AA72)))</f>
      </c>
      <c r="L72" s="305">
        <f>IF($B72="","",IFERROR(MATCH($D72,Control!$E$4:$E$30,0),99))</f>
      </c>
      <c r="M72" s="305">
        <f>IF($B72="","",IFERROR(MATCH($F72,Control!$B$4:$B$30,0),99))</f>
      </c>
      <c r="N72" s="305">
        <f>IF($V72&lt;&gt;1,"",IF('Roadmap (Auto)'!$D$3="Status, then Theme",$M72*1000000+$L72*10000+ROW(),IF('Roadmap (Auto)'!$D$3="Dev start (earliest)",IF($I72="",99999999,$I72)*10000+ROW(),IF('Roadmap (Auto)'!$D$3="UX start (earliest)",IF($G72="",99999999,$G72)*10000+ROW(),IF('Roadmap (Auto)'!$D$3="Deliverable A-Z",$W72*10000+ROW(),$L72*1000000+$M72*10000+ROW())))))</f>
      </c>
      <c r="O72" s="305">
        <f>IF($N72="","",COUNTIF($N$2:$N$151,"&lt;"&amp;$N72)+1)</f>
      </c>
      <c r="P72" s="305">
        <f>IF($B72="","",IF(COUNTA('UX + Dev'!X72)=0,"",'UX + Dev'!X72))</f>
      </c>
      <c r="Q72" s="305">
        <f>IF($B72="","",IF(COUNTA('UX + Dev'!Y72)=0,"",'UX + Dev'!Y72))</f>
      </c>
      <c r="R72" s="307">
        <f>IF($P72="","",IF(ISNUMBER($P72),DATE(YEAR($P72),MONTH($P72),1),IFERROR(DATE(IFERROR(VALUE(RIGHT(TRIM($P72),4)),YEAR(TODAY())),(SEARCH(LEFT(TRIM($P72),3),"JanFebMarAprMayJunJulAugSepOctNovDec")+2)/3,1),"")))</f>
      </c>
      <c r="S72" s="307">
        <f>IF($Q72="","",IF(ISNUMBER($Q72),DATE(YEAR($Q72),MONTH($Q72),1),IFERROR(DATE(IFERROR(VALUE(RIGHT(TRIM($Q72),4)),YEAR(TODAY())),(SEARCH(LEFT(TRIM($Q72),3),"JanFebMarAprMayJunJulAugSepOctNovDec")+2)/3,1),"")))</f>
      </c>
      <c r="T72" s="305">
        <f>IF($B72="","",COUNTA('UX + Dev'!$AB72:$DN72))</f>
      </c>
      <c r="U72" s="305">
        <f>IF($B72="","",IFERROR(MATCH($D72,Control!$E$4:$E$30,0)+3,0))</f>
      </c>
      <c r="V72" s="305">
        <f>IF($B72="","",IF(AND(OR('Roadmap (Auto)'!$A$3="",'Roadmap (Auto)'!$A$3="(All)",ISNUMBER(SEARCH('Roadmap (Auto)'!$A$3,$C72&amp;""))),OR('Roadmap (Auto)'!$B$3="",'Roadmap (Auto)'!$B$3="(All)",$D72='Roadmap (Auto)'!$B$3,$X72='Roadmap (Auto)'!$B$3),OR('Roadmap (Auto)'!$C$3="",'Roadmap (Auto)'!$C$3="(All)",$F72='Roadmap (Auto)'!$C$3)),1,0))</f>
      </c>
      <c r="W72" s="305">
        <f>IF($B72="","",COUNTIF($Y$2:$Y$151,"&lt;"&amp;$Y72)+1)</f>
      </c>
      <c r="X72" s="305">
        <f>IF($B72="","",IF(TRIM('UX + Dev'!D72)="","",TRIM('UX + Dev'!D72)))</f>
      </c>
      <c r="Y72" s="305">
        <f>IF($B72="","",SUBSTITUTE(SUBSTITUTE(SUBSTITUTE(SUBSTITUTE(SUBSTITUTE(SUBSTITUTE(SUBSTITUTE(SUBSTITUTE(SUBSTITUTE(SUBSTITUTE(SUBSTITUTE(SUBSTITUTE(SUBSTITUTE(SUBSTITUTE(SUBSTITUTE(SUBSTITUTE(SUBSTITUTE(SUBSTITUTE(SUBSTITUTE(SUBSTITUTE(SUBSTITUTE(SUBSTITUTE(SUBSTITUTE(SUBSTITUTE(SUBSTITUTE(UPPER($B72)," ",""),"-",""),":",""),"/",""),"&amp;",""),"|",""),"'",""),"’",""),"&lt;",""),"&gt;",""),",",""),"$",""),".",""),"(",""),")",""),"*",""),"?",""),"~",""),"_",""),"+",""),"#",""),";",""),"!",""),"%",""),"@",""))</f>
      </c>
      <c r="AA72">
        <f>IF($B72="",0,COUNTIFS('UX + Dev'!$AB$1:$DN$1,"&gt;="&amp;AA$1,'UX + Dev'!$AB$1:$DN$1,"&lt;="&amp;EOMONTH(AA$1,0),'UX + Dev'!$AB72:$DN72,"&lt;&gt;"))</f>
      </c>
      <c r="AB72">
        <f>IF($B72="",0,COUNTIFS('UX + Dev'!$AB$1:$DN$1,"&gt;="&amp;AB$1,'UX + Dev'!$AB$1:$DN$1,"&lt;="&amp;EOMONTH(AB$1,0),'UX + Dev'!$AB72:$DN72,"&lt;&gt;"))</f>
      </c>
      <c r="AC72">
        <f>IF($B72="",0,COUNTIFS('UX + Dev'!$AB$1:$DN$1,"&gt;="&amp;AC$1,'UX + Dev'!$AB$1:$DN$1,"&lt;="&amp;EOMONTH(AC$1,0),'UX + Dev'!$AB72:$DN72,"&lt;&gt;"))</f>
      </c>
      <c r="AD72">
        <f>IF($B72="",0,COUNTIFS('UX + Dev'!$AB$1:$DN$1,"&gt;="&amp;AD$1,'UX + Dev'!$AB$1:$DN$1,"&lt;="&amp;EOMONTH(AD$1,0),'UX + Dev'!$AB72:$DN72,"&lt;&gt;"))</f>
      </c>
      <c r="AE72">
        <f>IF($B72="",0,COUNTIFS('UX + Dev'!$AB$1:$DN$1,"&gt;="&amp;AE$1,'UX + Dev'!$AB$1:$DN$1,"&lt;="&amp;EOMONTH(AE$1,0),'UX + Dev'!$AB72:$DN72,"&lt;&gt;"))</f>
      </c>
      <c r="AF72">
        <f>IF($B72="",0,COUNTIFS('UX + Dev'!$AB$1:$DN$1,"&gt;="&amp;AF$1,'UX + Dev'!$AB$1:$DN$1,"&lt;="&amp;EOMONTH(AF$1,0),'UX + Dev'!$AB72:$DN72,"&lt;&gt;"))</f>
      </c>
      <c r="AG72">
        <f>IF($B72="",0,COUNTIFS('UX + Dev'!$AB$1:$DN$1,"&gt;="&amp;AG$1,'UX + Dev'!$AB$1:$DN$1,"&lt;="&amp;EOMONTH(AG$1,0),'UX + Dev'!$AB72:$DN72,"&lt;&gt;"))</f>
      </c>
      <c r="AH72">
        <f>IF($B72="",0,COUNTIFS('UX + Dev'!$AB$1:$DN$1,"&gt;="&amp;AH$1,'UX + Dev'!$AB$1:$DN$1,"&lt;="&amp;EOMONTH(AH$1,0),'UX + Dev'!$AB72:$DN72,"&lt;&gt;"))</f>
      </c>
      <c r="AI72">
        <f>IF($B72="",0,COUNTIFS('UX + Dev'!$AB$1:$DN$1,"&gt;="&amp;AI$1,'UX + Dev'!$AB$1:$DN$1,"&lt;="&amp;EOMONTH(AI$1,0),'UX + Dev'!$AB72:$DN72,"&lt;&gt;"))</f>
      </c>
      <c r="AJ72">
        <f>IF($B72="",0,COUNTIFS('UX + Dev'!$AB$1:$DN$1,"&gt;="&amp;AJ$1,'UX + Dev'!$AB$1:$DN$1,"&lt;="&amp;EOMONTH(AJ$1,0),'UX + Dev'!$AB72:$DN72,"&lt;&gt;"))</f>
      </c>
      <c r="AK72">
        <f>IF($B72="",0,COUNTIFS('UX + Dev'!$AB$1:$DN$1,"&gt;="&amp;AK$1,'UX + Dev'!$AB$1:$DN$1,"&lt;="&amp;EOMONTH(AK$1,0),'UX + Dev'!$AB72:$DN72,"&lt;&gt;"))</f>
      </c>
      <c r="AL72">
        <f>IF($B72="",0,COUNTIFS('UX + Dev'!$AB$1:$DN$1,"&gt;="&amp;AL$1,'UX + Dev'!$AB$1:$DN$1,"&lt;="&amp;EOMONTH(AL$1,0),'UX + Dev'!$AB72:$DN72,"&lt;&gt;"))</f>
      </c>
      <c r="AM72">
        <f>IF($B72="",0,COUNTIFS('UX + Dev'!$AB$1:$DN$1,"&gt;="&amp;AM$1,'UX + Dev'!$AB$1:$DN$1,"&lt;="&amp;EOMONTH(AM$1,0),'UX + Dev'!$AB72:$DN72,"&lt;&gt;"))</f>
      </c>
      <c r="AN72">
        <f>IF($B72="",0,COUNTIFS('UX + Dev'!$AB$1:$DN$1,"&gt;="&amp;AN$1,'UX + Dev'!$AB$1:$DN$1,"&lt;="&amp;EOMONTH(AN$1,0),'UX + Dev'!$AB72:$DN72,"&lt;&gt;"))</f>
      </c>
      <c r="AO72">
        <f>IF($B72="",0,COUNTIFS('UX + Dev'!$AB$1:$DN$1,"&gt;="&amp;AO$1,'UX + Dev'!$AB$1:$DN$1,"&lt;="&amp;EOMONTH(AO$1,0),'UX + Dev'!$AB72:$DN72,"&lt;&gt;"))</f>
      </c>
      <c r="AP72">
        <f>IF($B72="",0,COUNTIFS('UX + Dev'!$AB$1:$DN$1,"&gt;="&amp;AP$1,'UX + Dev'!$AB$1:$DN$1,"&lt;="&amp;EOMONTH(AP$1,0),'UX + Dev'!$AB72:$DN72,"&lt;&gt;"))</f>
      </c>
      <c r="AQ72">
        <f>IF($B72="",0,COUNTIFS('UX + Dev'!$AB$1:$DN$1,"&gt;="&amp;AQ$1,'UX + Dev'!$AB$1:$DN$1,"&lt;="&amp;EOMONTH(AQ$1,0),'UX + Dev'!$AB72:$DN72,"&lt;&gt;"))</f>
      </c>
      <c r="AR72">
        <f>IF($B72="",0,COUNTIFS('UX + Dev'!$AB$1:$DN$1,"&gt;="&amp;AR$1,'UX + Dev'!$AB$1:$DN$1,"&lt;="&amp;EOMONTH(AR$1,0),'UX + Dev'!$AB72:$DN72,"&lt;&gt;"))</f>
      </c>
      <c r="AS72">
        <f>IF($B72="",0,COUNTIFS('UX + Dev'!$AB$1:$DN$1,"&gt;="&amp;AS$1,'UX + Dev'!$AB$1:$DN$1,"&lt;="&amp;EOMONTH(AS$1,0),'UX + Dev'!$AB72:$DN72,"&lt;&gt;"))</f>
      </c>
      <c r="AT72">
        <f>IF($B72="",0,COUNTIFS('UX + Dev'!$AB$1:$DN$1,"&gt;="&amp;AT$1,'UX + Dev'!$AB$1:$DN$1,"&lt;="&amp;EOMONTH(AT$1,0),'UX + Dev'!$AB72:$DN72,"&lt;&gt;"))</f>
      </c>
      <c r="AU72">
        <f>IF($B72="",0,COUNTIFS('UX + Dev'!$AB$1:$DN$1,"&gt;="&amp;AU$1,'UX + Dev'!$AB$1:$DN$1,"&lt;="&amp;EOMONTH(AU$1,0),'UX + Dev'!$AB72:$DN72,"&lt;&gt;"))</f>
      </c>
      <c r="AV72">
        <f>IF($B72="",0,COUNTIFS('UX + Dev'!$AB$1:$DN$1,"&gt;="&amp;AV$1,'UX + Dev'!$AB$1:$DN$1,"&lt;="&amp;EOMONTH(AV$1,0),'UX + Dev'!$AB72:$DN72,"&lt;&gt;"))</f>
      </c>
      <c r="AW72">
        <f>IF($B72="",0,COUNTIFS('UX + Dev'!$AB$1:$DN$1,"&gt;="&amp;AW$1,'UX + Dev'!$AB$1:$DN$1,"&lt;="&amp;EOMONTH(AW$1,0),'UX + Dev'!$AB72:$DN72,"&lt;&gt;"))</f>
      </c>
      <c r="AX72">
        <f>IF($B72="",0,COUNTIFS('UX + Dev'!$AB$1:$DN$1,"&gt;="&amp;AX$1,'UX + Dev'!$AB$1:$DN$1,"&lt;="&amp;EOMONTH(AX$1,0),'UX + Dev'!$AB72:$DN72,"&lt;&gt;"))</f>
      </c>
      <c r="BB72" s="308">
        <f>IF($B72="","",IF(COUNTA('UX + Dev'!U72)&gt;0,DATE(YEAR('UX + Dev'!U72),MONTH('UX + Dev'!U72),1),IF(COUNTA('UX + Dev'!V72)&gt;0,DATE(YEAR('UX + Dev'!V72),MONTH('UX + Dev'!V72),1),"")))</f>
      </c>
      <c r="BC72" s="308">
        <f>IF($B72="","",IF(COUNTA('UX + Dev'!V72)&gt;0,EOMONTH('UX + Dev'!V72,0),IF(COUNTA('UX + Dev'!U72)&gt;0,EOMONTH('UX + Dev'!U72,0),"")))</f>
      </c>
    </row>
    <row r="73">
      <c r="A73" s="305" t="n">
        <v>73</v>
      </c>
      <c r="B73" s="305">
        <f>IF(TRIM('UX + Dev'!E73)="","",TRIM('UX + Dev'!E73))</f>
      </c>
      <c r="C73" s="305">
        <f>IF($B73="","",'UX + Dev'!B73)</f>
      </c>
      <c r="D73" s="305">
        <f>IF($B73="","",IF(TRIM('UX + Dev'!C73)="","(No theme assigned)",TRIM('UX + Dev'!C73)))</f>
      </c>
      <c r="E73" s="305">
        <f>IF($B73="","",TRIM('UX + Dev'!F73))</f>
      </c>
      <c r="F73" s="305">
        <f>IF($B73="","",'UX + Dev'!G73)</f>
      </c>
      <c r="G73" s="306">
        <f t="array" ref="G73">IF($B73="","",IF($T73=0,"",IFERROR(MIN(IF('UX + Dev'!$AB73:$DN73&lt;&gt;"",'UX + Dev'!$AB$1:$DN$1)),"")))</f>
      </c>
      <c r="H73" s="306">
        <f t="array" ref="H73">IF($B73="","",IF($T73=0,"",IFERROR(MAX(IF('UX + Dev'!$AB73:$DN73&lt;&gt;"",'UX + Dev'!$AB$1:$DN$1)),"")))</f>
      </c>
      <c r="I73" s="307">
        <f>IF($R73&lt;&gt;"",$R73,IF($S73&lt;&gt;"",$S73,""))</f>
      </c>
      <c r="J73" s="307">
        <f>IF($S73&lt;&gt;"",EOMONTH($S73,0),IF($R73&lt;&gt;"",EOMONTH($R73,0),""))</f>
      </c>
      <c r="K73" s="305">
        <f>IF($B73="","",IF(COUNTA('UX + Dev'!AA73)=0,"",TRIM('UX + Dev'!AA73)))</f>
      </c>
      <c r="L73" s="305">
        <f>IF($B73="","",IFERROR(MATCH($D73,Control!$E$4:$E$30,0),99))</f>
      </c>
      <c r="M73" s="305">
        <f>IF($B73="","",IFERROR(MATCH($F73,Control!$B$4:$B$30,0),99))</f>
      </c>
      <c r="N73" s="305">
        <f>IF($V73&lt;&gt;1,"",IF('Roadmap (Auto)'!$D$3="Status, then Theme",$M73*1000000+$L73*10000+ROW(),IF('Roadmap (Auto)'!$D$3="Dev start (earliest)",IF($I73="",99999999,$I73)*10000+ROW(),IF('Roadmap (Auto)'!$D$3="UX start (earliest)",IF($G73="",99999999,$G73)*10000+ROW(),IF('Roadmap (Auto)'!$D$3="Deliverable A-Z",$W73*10000+ROW(),$L73*1000000+$M73*10000+ROW())))))</f>
      </c>
      <c r="O73" s="305">
        <f>IF($N73="","",COUNTIF($N$2:$N$151,"&lt;"&amp;$N73)+1)</f>
      </c>
      <c r="P73" s="305">
        <f>IF($B73="","",IF(COUNTA('UX + Dev'!X73)=0,"",'UX + Dev'!X73))</f>
      </c>
      <c r="Q73" s="305">
        <f>IF($B73="","",IF(COUNTA('UX + Dev'!Y73)=0,"",'UX + Dev'!Y73))</f>
      </c>
      <c r="R73" s="307">
        <f>IF($P73="","",IF(ISNUMBER($P73),DATE(YEAR($P73),MONTH($P73),1),IFERROR(DATE(IFERROR(VALUE(RIGHT(TRIM($P73),4)),YEAR(TODAY())),(SEARCH(LEFT(TRIM($P73),3),"JanFebMarAprMayJunJulAugSepOctNovDec")+2)/3,1),"")))</f>
      </c>
      <c r="S73" s="307">
        <f>IF($Q73="","",IF(ISNUMBER($Q73),DATE(YEAR($Q73),MONTH($Q73),1),IFERROR(DATE(IFERROR(VALUE(RIGHT(TRIM($Q73),4)),YEAR(TODAY())),(SEARCH(LEFT(TRIM($Q73),3),"JanFebMarAprMayJunJulAugSepOctNovDec")+2)/3,1),"")))</f>
      </c>
      <c r="T73" s="305">
        <f>IF($B73="","",COUNTA('UX + Dev'!$AB73:$DN73))</f>
      </c>
      <c r="U73" s="305">
        <f>IF($B73="","",IFERROR(MATCH($D73,Control!$E$4:$E$30,0)+3,0))</f>
      </c>
      <c r="V73" s="305">
        <f>IF($B73="","",IF(AND(OR('Roadmap (Auto)'!$A$3="",'Roadmap (Auto)'!$A$3="(All)",ISNUMBER(SEARCH('Roadmap (Auto)'!$A$3,$C73&amp;""))),OR('Roadmap (Auto)'!$B$3="",'Roadmap (Auto)'!$B$3="(All)",$D73='Roadmap (Auto)'!$B$3,$X73='Roadmap (Auto)'!$B$3),OR('Roadmap (Auto)'!$C$3="",'Roadmap (Auto)'!$C$3="(All)",$F73='Roadmap (Auto)'!$C$3)),1,0))</f>
      </c>
      <c r="W73" s="305">
        <f>IF($B73="","",COUNTIF($Y$2:$Y$151,"&lt;"&amp;$Y73)+1)</f>
      </c>
      <c r="X73" s="305">
        <f>IF($B73="","",IF(TRIM('UX + Dev'!D73)="","",TRIM('UX + Dev'!D73)))</f>
      </c>
      <c r="Y73" s="305">
        <f>IF($B73="","",SUBSTITUTE(SUBSTITUTE(SUBSTITUTE(SUBSTITUTE(SUBSTITUTE(SUBSTITUTE(SUBSTITUTE(SUBSTITUTE(SUBSTITUTE(SUBSTITUTE(SUBSTITUTE(SUBSTITUTE(SUBSTITUTE(SUBSTITUTE(SUBSTITUTE(SUBSTITUTE(SUBSTITUTE(SUBSTITUTE(SUBSTITUTE(SUBSTITUTE(SUBSTITUTE(SUBSTITUTE(SUBSTITUTE(SUBSTITUTE(SUBSTITUTE(UPPER($B73)," ",""),"-",""),":",""),"/",""),"&amp;",""),"|",""),"'",""),"’",""),"&lt;",""),"&gt;",""),",",""),"$",""),".",""),"(",""),")",""),"*",""),"?",""),"~",""),"_",""),"+",""),"#",""),";",""),"!",""),"%",""),"@",""))</f>
      </c>
      <c r="AA73">
        <f>IF($B73="",0,COUNTIFS('UX + Dev'!$AB$1:$DN$1,"&gt;="&amp;AA$1,'UX + Dev'!$AB$1:$DN$1,"&lt;="&amp;EOMONTH(AA$1,0),'UX + Dev'!$AB73:$DN73,"&lt;&gt;"))</f>
      </c>
      <c r="AB73">
        <f>IF($B73="",0,COUNTIFS('UX + Dev'!$AB$1:$DN$1,"&gt;="&amp;AB$1,'UX + Dev'!$AB$1:$DN$1,"&lt;="&amp;EOMONTH(AB$1,0),'UX + Dev'!$AB73:$DN73,"&lt;&gt;"))</f>
      </c>
      <c r="AC73">
        <f>IF($B73="",0,COUNTIFS('UX + Dev'!$AB$1:$DN$1,"&gt;="&amp;AC$1,'UX + Dev'!$AB$1:$DN$1,"&lt;="&amp;EOMONTH(AC$1,0),'UX + Dev'!$AB73:$DN73,"&lt;&gt;"))</f>
      </c>
      <c r="AD73">
        <f>IF($B73="",0,COUNTIFS('UX + Dev'!$AB$1:$DN$1,"&gt;="&amp;AD$1,'UX + Dev'!$AB$1:$DN$1,"&lt;="&amp;EOMONTH(AD$1,0),'UX + Dev'!$AB73:$DN73,"&lt;&gt;"))</f>
      </c>
      <c r="AE73">
        <f>IF($B73="",0,COUNTIFS('UX + Dev'!$AB$1:$DN$1,"&gt;="&amp;AE$1,'UX + Dev'!$AB$1:$DN$1,"&lt;="&amp;EOMONTH(AE$1,0),'UX + Dev'!$AB73:$DN73,"&lt;&gt;"))</f>
      </c>
      <c r="AF73">
        <f>IF($B73="",0,COUNTIFS('UX + Dev'!$AB$1:$DN$1,"&gt;="&amp;AF$1,'UX + Dev'!$AB$1:$DN$1,"&lt;="&amp;EOMONTH(AF$1,0),'UX + Dev'!$AB73:$DN73,"&lt;&gt;"))</f>
      </c>
      <c r="AG73">
        <f>IF($B73="",0,COUNTIFS('UX + Dev'!$AB$1:$DN$1,"&gt;="&amp;AG$1,'UX + Dev'!$AB$1:$DN$1,"&lt;="&amp;EOMONTH(AG$1,0),'UX + Dev'!$AB73:$DN73,"&lt;&gt;"))</f>
      </c>
      <c r="AH73">
        <f>IF($B73="",0,COUNTIFS('UX + Dev'!$AB$1:$DN$1,"&gt;="&amp;AH$1,'UX + Dev'!$AB$1:$DN$1,"&lt;="&amp;EOMONTH(AH$1,0),'UX + Dev'!$AB73:$DN73,"&lt;&gt;"))</f>
      </c>
      <c r="AI73">
        <f>IF($B73="",0,COUNTIFS('UX + Dev'!$AB$1:$DN$1,"&gt;="&amp;AI$1,'UX + Dev'!$AB$1:$DN$1,"&lt;="&amp;EOMONTH(AI$1,0),'UX + Dev'!$AB73:$DN73,"&lt;&gt;"))</f>
      </c>
      <c r="AJ73">
        <f>IF($B73="",0,COUNTIFS('UX + Dev'!$AB$1:$DN$1,"&gt;="&amp;AJ$1,'UX + Dev'!$AB$1:$DN$1,"&lt;="&amp;EOMONTH(AJ$1,0),'UX + Dev'!$AB73:$DN73,"&lt;&gt;"))</f>
      </c>
      <c r="AK73">
        <f>IF($B73="",0,COUNTIFS('UX + Dev'!$AB$1:$DN$1,"&gt;="&amp;AK$1,'UX + Dev'!$AB$1:$DN$1,"&lt;="&amp;EOMONTH(AK$1,0),'UX + Dev'!$AB73:$DN73,"&lt;&gt;"))</f>
      </c>
      <c r="AL73">
        <f>IF($B73="",0,COUNTIFS('UX + Dev'!$AB$1:$DN$1,"&gt;="&amp;AL$1,'UX + Dev'!$AB$1:$DN$1,"&lt;="&amp;EOMONTH(AL$1,0),'UX + Dev'!$AB73:$DN73,"&lt;&gt;"))</f>
      </c>
      <c r="AM73">
        <f>IF($B73="",0,COUNTIFS('UX + Dev'!$AB$1:$DN$1,"&gt;="&amp;AM$1,'UX + Dev'!$AB$1:$DN$1,"&lt;="&amp;EOMONTH(AM$1,0),'UX + Dev'!$AB73:$DN73,"&lt;&gt;"))</f>
      </c>
      <c r="AN73">
        <f>IF($B73="",0,COUNTIFS('UX + Dev'!$AB$1:$DN$1,"&gt;="&amp;AN$1,'UX + Dev'!$AB$1:$DN$1,"&lt;="&amp;EOMONTH(AN$1,0),'UX + Dev'!$AB73:$DN73,"&lt;&gt;"))</f>
      </c>
      <c r="AO73">
        <f>IF($B73="",0,COUNTIFS('UX + Dev'!$AB$1:$DN$1,"&gt;="&amp;AO$1,'UX + Dev'!$AB$1:$DN$1,"&lt;="&amp;EOMONTH(AO$1,0),'UX + Dev'!$AB73:$DN73,"&lt;&gt;"))</f>
      </c>
      <c r="AP73">
        <f>IF($B73="",0,COUNTIFS('UX + Dev'!$AB$1:$DN$1,"&gt;="&amp;AP$1,'UX + Dev'!$AB$1:$DN$1,"&lt;="&amp;EOMONTH(AP$1,0),'UX + Dev'!$AB73:$DN73,"&lt;&gt;"))</f>
      </c>
      <c r="AQ73">
        <f>IF($B73="",0,COUNTIFS('UX + Dev'!$AB$1:$DN$1,"&gt;="&amp;AQ$1,'UX + Dev'!$AB$1:$DN$1,"&lt;="&amp;EOMONTH(AQ$1,0),'UX + Dev'!$AB73:$DN73,"&lt;&gt;"))</f>
      </c>
      <c r="AR73">
        <f>IF($B73="",0,COUNTIFS('UX + Dev'!$AB$1:$DN$1,"&gt;="&amp;AR$1,'UX + Dev'!$AB$1:$DN$1,"&lt;="&amp;EOMONTH(AR$1,0),'UX + Dev'!$AB73:$DN73,"&lt;&gt;"))</f>
      </c>
      <c r="AS73">
        <f>IF($B73="",0,COUNTIFS('UX + Dev'!$AB$1:$DN$1,"&gt;="&amp;AS$1,'UX + Dev'!$AB$1:$DN$1,"&lt;="&amp;EOMONTH(AS$1,0),'UX + Dev'!$AB73:$DN73,"&lt;&gt;"))</f>
      </c>
      <c r="AT73">
        <f>IF($B73="",0,COUNTIFS('UX + Dev'!$AB$1:$DN$1,"&gt;="&amp;AT$1,'UX + Dev'!$AB$1:$DN$1,"&lt;="&amp;EOMONTH(AT$1,0),'UX + Dev'!$AB73:$DN73,"&lt;&gt;"))</f>
      </c>
      <c r="AU73">
        <f>IF($B73="",0,COUNTIFS('UX + Dev'!$AB$1:$DN$1,"&gt;="&amp;AU$1,'UX + Dev'!$AB$1:$DN$1,"&lt;="&amp;EOMONTH(AU$1,0),'UX + Dev'!$AB73:$DN73,"&lt;&gt;"))</f>
      </c>
      <c r="AV73">
        <f>IF($B73="",0,COUNTIFS('UX + Dev'!$AB$1:$DN$1,"&gt;="&amp;AV$1,'UX + Dev'!$AB$1:$DN$1,"&lt;="&amp;EOMONTH(AV$1,0),'UX + Dev'!$AB73:$DN73,"&lt;&gt;"))</f>
      </c>
      <c r="AW73">
        <f>IF($B73="",0,COUNTIFS('UX + Dev'!$AB$1:$DN$1,"&gt;="&amp;AW$1,'UX + Dev'!$AB$1:$DN$1,"&lt;="&amp;EOMONTH(AW$1,0),'UX + Dev'!$AB73:$DN73,"&lt;&gt;"))</f>
      </c>
      <c r="AX73">
        <f>IF($B73="",0,COUNTIFS('UX + Dev'!$AB$1:$DN$1,"&gt;="&amp;AX$1,'UX + Dev'!$AB$1:$DN$1,"&lt;="&amp;EOMONTH(AX$1,0),'UX + Dev'!$AB73:$DN73,"&lt;&gt;"))</f>
      </c>
      <c r="BB73" s="308">
        <f>IF($B73="","",IF(COUNTA('UX + Dev'!U73)&gt;0,DATE(YEAR('UX + Dev'!U73),MONTH('UX + Dev'!U73),1),IF(COUNTA('UX + Dev'!V73)&gt;0,DATE(YEAR('UX + Dev'!V73),MONTH('UX + Dev'!V73),1),"")))</f>
      </c>
      <c r="BC73" s="308">
        <f>IF($B73="","",IF(COUNTA('UX + Dev'!V73)&gt;0,EOMONTH('UX + Dev'!V73,0),IF(COUNTA('UX + Dev'!U73)&gt;0,EOMONTH('UX + Dev'!U73,0),"")))</f>
      </c>
    </row>
    <row r="74">
      <c r="A74" s="305" t="n">
        <v>74</v>
      </c>
      <c r="B74" s="305">
        <f>IF(TRIM('UX + Dev'!E74)="","",TRIM('UX + Dev'!E74))</f>
      </c>
      <c r="C74" s="305">
        <f>IF($B74="","",'UX + Dev'!B74)</f>
      </c>
      <c r="D74" s="305">
        <f>IF($B74="","",IF(TRIM('UX + Dev'!C74)="","(No theme assigned)",TRIM('UX + Dev'!C74)))</f>
      </c>
      <c r="E74" s="305">
        <f>IF($B74="","",TRIM('UX + Dev'!F74))</f>
      </c>
      <c r="F74" s="305">
        <f>IF($B74="","",'UX + Dev'!G74)</f>
      </c>
      <c r="G74" s="306">
        <f t="array" ref="G74">IF($B74="","",IF($T74=0,"",IFERROR(MIN(IF('UX + Dev'!$AB74:$DN74&lt;&gt;"",'UX + Dev'!$AB$1:$DN$1)),"")))</f>
      </c>
      <c r="H74" s="306">
        <f t="array" ref="H74">IF($B74="","",IF($T74=0,"",IFERROR(MAX(IF('UX + Dev'!$AB74:$DN74&lt;&gt;"",'UX + Dev'!$AB$1:$DN$1)),"")))</f>
      </c>
      <c r="I74" s="307">
        <f>IF($R74&lt;&gt;"",$R74,IF($S74&lt;&gt;"",$S74,""))</f>
      </c>
      <c r="J74" s="307">
        <f>IF($S74&lt;&gt;"",EOMONTH($S74,0),IF($R74&lt;&gt;"",EOMONTH($R74,0),""))</f>
      </c>
      <c r="K74" s="305">
        <f>IF($B74="","",IF(COUNTA('UX + Dev'!AA74)=0,"",TRIM('UX + Dev'!AA74)))</f>
      </c>
      <c r="L74" s="305">
        <f>IF($B74="","",IFERROR(MATCH($D74,Control!$E$4:$E$30,0),99))</f>
      </c>
      <c r="M74" s="305">
        <f>IF($B74="","",IFERROR(MATCH($F74,Control!$B$4:$B$30,0),99))</f>
      </c>
      <c r="N74" s="305">
        <f>IF($V74&lt;&gt;1,"",IF('Roadmap (Auto)'!$D$3="Status, then Theme",$M74*1000000+$L74*10000+ROW(),IF('Roadmap (Auto)'!$D$3="Dev start (earliest)",IF($I74="",99999999,$I74)*10000+ROW(),IF('Roadmap (Auto)'!$D$3="UX start (earliest)",IF($G74="",99999999,$G74)*10000+ROW(),IF('Roadmap (Auto)'!$D$3="Deliverable A-Z",$W74*10000+ROW(),$L74*1000000+$M74*10000+ROW())))))</f>
      </c>
      <c r="O74" s="305">
        <f>IF($N74="","",COUNTIF($N$2:$N$151,"&lt;"&amp;$N74)+1)</f>
      </c>
      <c r="P74" s="305">
        <f>IF($B74="","",IF(COUNTA('UX + Dev'!X74)=0,"",'UX + Dev'!X74))</f>
      </c>
      <c r="Q74" s="305">
        <f>IF($B74="","",IF(COUNTA('UX + Dev'!Y74)=0,"",'UX + Dev'!Y74))</f>
      </c>
      <c r="R74" s="307">
        <f>IF($P74="","",IF(ISNUMBER($P74),DATE(YEAR($P74),MONTH($P74),1),IFERROR(DATE(IFERROR(VALUE(RIGHT(TRIM($P74),4)),YEAR(TODAY())),(SEARCH(LEFT(TRIM($P74),3),"JanFebMarAprMayJunJulAugSepOctNovDec")+2)/3,1),"")))</f>
      </c>
      <c r="S74" s="307">
        <f>IF($Q74="","",IF(ISNUMBER($Q74),DATE(YEAR($Q74),MONTH($Q74),1),IFERROR(DATE(IFERROR(VALUE(RIGHT(TRIM($Q74),4)),YEAR(TODAY())),(SEARCH(LEFT(TRIM($Q74),3),"JanFebMarAprMayJunJulAugSepOctNovDec")+2)/3,1),"")))</f>
      </c>
      <c r="T74" s="305">
        <f>IF($B74="","",COUNTA('UX + Dev'!$AB74:$DN74))</f>
      </c>
      <c r="U74" s="305">
        <f>IF($B74="","",IFERROR(MATCH($D74,Control!$E$4:$E$30,0)+3,0))</f>
      </c>
      <c r="V74" s="305">
        <f>IF($B74="","",IF(AND(OR('Roadmap (Auto)'!$A$3="",'Roadmap (Auto)'!$A$3="(All)",ISNUMBER(SEARCH('Roadmap (Auto)'!$A$3,$C74&amp;""))),OR('Roadmap (Auto)'!$B$3="",'Roadmap (Auto)'!$B$3="(All)",$D74='Roadmap (Auto)'!$B$3,$X74='Roadmap (Auto)'!$B$3),OR('Roadmap (Auto)'!$C$3="",'Roadmap (Auto)'!$C$3="(All)",$F74='Roadmap (Auto)'!$C$3)),1,0))</f>
      </c>
      <c r="W74" s="305">
        <f>IF($B74="","",COUNTIF($Y$2:$Y$151,"&lt;"&amp;$Y74)+1)</f>
      </c>
      <c r="X74" s="305">
        <f>IF($B74="","",IF(TRIM('UX + Dev'!D74)="","",TRIM('UX + Dev'!D74)))</f>
      </c>
      <c r="Y74" s="305">
        <f>IF($B74="","",SUBSTITUTE(SUBSTITUTE(SUBSTITUTE(SUBSTITUTE(SUBSTITUTE(SUBSTITUTE(SUBSTITUTE(SUBSTITUTE(SUBSTITUTE(SUBSTITUTE(SUBSTITUTE(SUBSTITUTE(SUBSTITUTE(SUBSTITUTE(SUBSTITUTE(SUBSTITUTE(SUBSTITUTE(SUBSTITUTE(SUBSTITUTE(SUBSTITUTE(SUBSTITUTE(SUBSTITUTE(SUBSTITUTE(SUBSTITUTE(SUBSTITUTE(UPPER($B74)," ",""),"-",""),":",""),"/",""),"&amp;",""),"|",""),"'",""),"’",""),"&lt;",""),"&gt;",""),",",""),"$",""),".",""),"(",""),")",""),"*",""),"?",""),"~",""),"_",""),"+",""),"#",""),";",""),"!",""),"%",""),"@",""))</f>
      </c>
      <c r="AA74">
        <f>IF($B74="",0,COUNTIFS('UX + Dev'!$AB$1:$DN$1,"&gt;="&amp;AA$1,'UX + Dev'!$AB$1:$DN$1,"&lt;="&amp;EOMONTH(AA$1,0),'UX + Dev'!$AB74:$DN74,"&lt;&gt;"))</f>
      </c>
      <c r="AB74">
        <f>IF($B74="",0,COUNTIFS('UX + Dev'!$AB$1:$DN$1,"&gt;="&amp;AB$1,'UX + Dev'!$AB$1:$DN$1,"&lt;="&amp;EOMONTH(AB$1,0),'UX + Dev'!$AB74:$DN74,"&lt;&gt;"))</f>
      </c>
      <c r="AC74">
        <f>IF($B74="",0,COUNTIFS('UX + Dev'!$AB$1:$DN$1,"&gt;="&amp;AC$1,'UX + Dev'!$AB$1:$DN$1,"&lt;="&amp;EOMONTH(AC$1,0),'UX + Dev'!$AB74:$DN74,"&lt;&gt;"))</f>
      </c>
      <c r="AD74">
        <f>IF($B74="",0,COUNTIFS('UX + Dev'!$AB$1:$DN$1,"&gt;="&amp;AD$1,'UX + Dev'!$AB$1:$DN$1,"&lt;="&amp;EOMONTH(AD$1,0),'UX + Dev'!$AB74:$DN74,"&lt;&gt;"))</f>
      </c>
      <c r="AE74">
        <f>IF($B74="",0,COUNTIFS('UX + Dev'!$AB$1:$DN$1,"&gt;="&amp;AE$1,'UX + Dev'!$AB$1:$DN$1,"&lt;="&amp;EOMONTH(AE$1,0),'UX + Dev'!$AB74:$DN74,"&lt;&gt;"))</f>
      </c>
      <c r="AF74">
        <f>IF($B74="",0,COUNTIFS('UX + Dev'!$AB$1:$DN$1,"&gt;="&amp;AF$1,'UX + Dev'!$AB$1:$DN$1,"&lt;="&amp;EOMONTH(AF$1,0),'UX + Dev'!$AB74:$DN74,"&lt;&gt;"))</f>
      </c>
      <c r="AG74">
        <f>IF($B74="",0,COUNTIFS('UX + Dev'!$AB$1:$DN$1,"&gt;="&amp;AG$1,'UX + Dev'!$AB$1:$DN$1,"&lt;="&amp;EOMONTH(AG$1,0),'UX + Dev'!$AB74:$DN74,"&lt;&gt;"))</f>
      </c>
      <c r="AH74">
        <f>IF($B74="",0,COUNTIFS('UX + Dev'!$AB$1:$DN$1,"&gt;="&amp;AH$1,'UX + Dev'!$AB$1:$DN$1,"&lt;="&amp;EOMONTH(AH$1,0),'UX + Dev'!$AB74:$DN74,"&lt;&gt;"))</f>
      </c>
      <c r="AI74">
        <f>IF($B74="",0,COUNTIFS('UX + Dev'!$AB$1:$DN$1,"&gt;="&amp;AI$1,'UX + Dev'!$AB$1:$DN$1,"&lt;="&amp;EOMONTH(AI$1,0),'UX + Dev'!$AB74:$DN74,"&lt;&gt;"))</f>
      </c>
      <c r="AJ74">
        <f>IF($B74="",0,COUNTIFS('UX + Dev'!$AB$1:$DN$1,"&gt;="&amp;AJ$1,'UX + Dev'!$AB$1:$DN$1,"&lt;="&amp;EOMONTH(AJ$1,0),'UX + Dev'!$AB74:$DN74,"&lt;&gt;"))</f>
      </c>
      <c r="AK74">
        <f>IF($B74="",0,COUNTIFS('UX + Dev'!$AB$1:$DN$1,"&gt;="&amp;AK$1,'UX + Dev'!$AB$1:$DN$1,"&lt;="&amp;EOMONTH(AK$1,0),'UX + Dev'!$AB74:$DN74,"&lt;&gt;"))</f>
      </c>
      <c r="AL74">
        <f>IF($B74="",0,COUNTIFS('UX + Dev'!$AB$1:$DN$1,"&gt;="&amp;AL$1,'UX + Dev'!$AB$1:$DN$1,"&lt;="&amp;EOMONTH(AL$1,0),'UX + Dev'!$AB74:$DN74,"&lt;&gt;"))</f>
      </c>
      <c r="AM74">
        <f>IF($B74="",0,COUNTIFS('UX + Dev'!$AB$1:$DN$1,"&gt;="&amp;AM$1,'UX + Dev'!$AB$1:$DN$1,"&lt;="&amp;EOMONTH(AM$1,0),'UX + Dev'!$AB74:$DN74,"&lt;&gt;"))</f>
      </c>
      <c r="AN74">
        <f>IF($B74="",0,COUNTIFS('UX + Dev'!$AB$1:$DN$1,"&gt;="&amp;AN$1,'UX + Dev'!$AB$1:$DN$1,"&lt;="&amp;EOMONTH(AN$1,0),'UX + Dev'!$AB74:$DN74,"&lt;&gt;"))</f>
      </c>
      <c r="AO74">
        <f>IF($B74="",0,COUNTIFS('UX + Dev'!$AB$1:$DN$1,"&gt;="&amp;AO$1,'UX + Dev'!$AB$1:$DN$1,"&lt;="&amp;EOMONTH(AO$1,0),'UX + Dev'!$AB74:$DN74,"&lt;&gt;"))</f>
      </c>
      <c r="AP74">
        <f>IF($B74="",0,COUNTIFS('UX + Dev'!$AB$1:$DN$1,"&gt;="&amp;AP$1,'UX + Dev'!$AB$1:$DN$1,"&lt;="&amp;EOMONTH(AP$1,0),'UX + Dev'!$AB74:$DN74,"&lt;&gt;"))</f>
      </c>
      <c r="AQ74">
        <f>IF($B74="",0,COUNTIFS('UX + Dev'!$AB$1:$DN$1,"&gt;="&amp;AQ$1,'UX + Dev'!$AB$1:$DN$1,"&lt;="&amp;EOMONTH(AQ$1,0),'UX + Dev'!$AB74:$DN74,"&lt;&gt;"))</f>
      </c>
      <c r="AR74">
        <f>IF($B74="",0,COUNTIFS('UX + Dev'!$AB$1:$DN$1,"&gt;="&amp;AR$1,'UX + Dev'!$AB$1:$DN$1,"&lt;="&amp;EOMONTH(AR$1,0),'UX + Dev'!$AB74:$DN74,"&lt;&gt;"))</f>
      </c>
      <c r="AS74">
        <f>IF($B74="",0,COUNTIFS('UX + Dev'!$AB$1:$DN$1,"&gt;="&amp;AS$1,'UX + Dev'!$AB$1:$DN$1,"&lt;="&amp;EOMONTH(AS$1,0),'UX + Dev'!$AB74:$DN74,"&lt;&gt;"))</f>
      </c>
      <c r="AT74">
        <f>IF($B74="",0,COUNTIFS('UX + Dev'!$AB$1:$DN$1,"&gt;="&amp;AT$1,'UX + Dev'!$AB$1:$DN$1,"&lt;="&amp;EOMONTH(AT$1,0),'UX + Dev'!$AB74:$DN74,"&lt;&gt;"))</f>
      </c>
      <c r="AU74">
        <f>IF($B74="",0,COUNTIFS('UX + Dev'!$AB$1:$DN$1,"&gt;="&amp;AU$1,'UX + Dev'!$AB$1:$DN$1,"&lt;="&amp;EOMONTH(AU$1,0),'UX + Dev'!$AB74:$DN74,"&lt;&gt;"))</f>
      </c>
      <c r="AV74">
        <f>IF($B74="",0,COUNTIFS('UX + Dev'!$AB$1:$DN$1,"&gt;="&amp;AV$1,'UX + Dev'!$AB$1:$DN$1,"&lt;="&amp;EOMONTH(AV$1,0),'UX + Dev'!$AB74:$DN74,"&lt;&gt;"))</f>
      </c>
      <c r="AW74">
        <f>IF($B74="",0,COUNTIFS('UX + Dev'!$AB$1:$DN$1,"&gt;="&amp;AW$1,'UX + Dev'!$AB$1:$DN$1,"&lt;="&amp;EOMONTH(AW$1,0),'UX + Dev'!$AB74:$DN74,"&lt;&gt;"))</f>
      </c>
      <c r="AX74">
        <f>IF($B74="",0,COUNTIFS('UX + Dev'!$AB$1:$DN$1,"&gt;="&amp;AX$1,'UX + Dev'!$AB$1:$DN$1,"&lt;="&amp;EOMONTH(AX$1,0),'UX + Dev'!$AB74:$DN74,"&lt;&gt;"))</f>
      </c>
      <c r="BB74" s="308">
        <f>IF($B74="","",IF(COUNTA('UX + Dev'!U74)&gt;0,DATE(YEAR('UX + Dev'!U74),MONTH('UX + Dev'!U74),1),IF(COUNTA('UX + Dev'!V74)&gt;0,DATE(YEAR('UX + Dev'!V74),MONTH('UX + Dev'!V74),1),"")))</f>
      </c>
      <c r="BC74" s="308">
        <f>IF($B74="","",IF(COUNTA('UX + Dev'!V74)&gt;0,EOMONTH('UX + Dev'!V74,0),IF(COUNTA('UX + Dev'!U74)&gt;0,EOMONTH('UX + Dev'!U74,0),"")))</f>
      </c>
    </row>
    <row r="75">
      <c r="A75" s="305" t="n">
        <v>75</v>
      </c>
      <c r="B75" s="305">
        <f>IF(TRIM('UX + Dev'!E75)="","",TRIM('UX + Dev'!E75))</f>
      </c>
      <c r="C75" s="305">
        <f>IF($B75="","",'UX + Dev'!B75)</f>
      </c>
      <c r="D75" s="305">
        <f>IF($B75="","",IF(TRIM('UX + Dev'!C75)="","(No theme assigned)",TRIM('UX + Dev'!C75)))</f>
      </c>
      <c r="E75" s="305">
        <f>IF($B75="","",TRIM('UX + Dev'!F75))</f>
      </c>
      <c r="F75" s="305">
        <f>IF($B75="","",'UX + Dev'!G75)</f>
      </c>
      <c r="G75" s="306">
        <f t="array" ref="G75">IF($B75="","",IF($T75=0,"",IFERROR(MIN(IF('UX + Dev'!$AB75:$DN75&lt;&gt;"",'UX + Dev'!$AB$1:$DN$1)),"")))</f>
      </c>
      <c r="H75" s="306">
        <f t="array" ref="H75">IF($B75="","",IF($T75=0,"",IFERROR(MAX(IF('UX + Dev'!$AB75:$DN75&lt;&gt;"",'UX + Dev'!$AB$1:$DN$1)),"")))</f>
      </c>
      <c r="I75" s="307">
        <f>IF($R75&lt;&gt;"",$R75,IF($S75&lt;&gt;"",$S75,""))</f>
      </c>
      <c r="J75" s="307">
        <f>IF($S75&lt;&gt;"",EOMONTH($S75,0),IF($R75&lt;&gt;"",EOMONTH($R75,0),""))</f>
      </c>
      <c r="K75" s="305">
        <f>IF($B75="","",IF(COUNTA('UX + Dev'!AA75)=0,"",TRIM('UX + Dev'!AA75)))</f>
      </c>
      <c r="L75" s="305">
        <f>IF($B75="","",IFERROR(MATCH($D75,Control!$E$4:$E$30,0),99))</f>
      </c>
      <c r="M75" s="305">
        <f>IF($B75="","",IFERROR(MATCH($F75,Control!$B$4:$B$30,0),99))</f>
      </c>
      <c r="N75" s="305">
        <f>IF($V75&lt;&gt;1,"",IF('Roadmap (Auto)'!$D$3="Status, then Theme",$M75*1000000+$L75*10000+ROW(),IF('Roadmap (Auto)'!$D$3="Dev start (earliest)",IF($I75="",99999999,$I75)*10000+ROW(),IF('Roadmap (Auto)'!$D$3="UX start (earliest)",IF($G75="",99999999,$G75)*10000+ROW(),IF('Roadmap (Auto)'!$D$3="Deliverable A-Z",$W75*10000+ROW(),$L75*1000000+$M75*10000+ROW())))))</f>
      </c>
      <c r="O75" s="305">
        <f>IF($N75="","",COUNTIF($N$2:$N$151,"&lt;"&amp;$N75)+1)</f>
      </c>
      <c r="P75" s="305">
        <f>IF($B75="","",IF(COUNTA('UX + Dev'!X75)=0,"",'UX + Dev'!X75))</f>
      </c>
      <c r="Q75" s="305">
        <f>IF($B75="","",IF(COUNTA('UX + Dev'!Y75)=0,"",'UX + Dev'!Y75))</f>
      </c>
      <c r="R75" s="307">
        <f>IF($P75="","",IF(ISNUMBER($P75),DATE(YEAR($P75),MONTH($P75),1),IFERROR(DATE(IFERROR(VALUE(RIGHT(TRIM($P75),4)),YEAR(TODAY())),(SEARCH(LEFT(TRIM($P75),3),"JanFebMarAprMayJunJulAugSepOctNovDec")+2)/3,1),"")))</f>
      </c>
      <c r="S75" s="307">
        <f>IF($Q75="","",IF(ISNUMBER($Q75),DATE(YEAR($Q75),MONTH($Q75),1),IFERROR(DATE(IFERROR(VALUE(RIGHT(TRIM($Q75),4)),YEAR(TODAY())),(SEARCH(LEFT(TRIM($Q75),3),"JanFebMarAprMayJunJulAugSepOctNovDec")+2)/3,1),"")))</f>
      </c>
      <c r="T75" s="305">
        <f>IF($B75="","",COUNTA('UX + Dev'!$AB75:$DN75))</f>
      </c>
      <c r="U75" s="305">
        <f>IF($B75="","",IFERROR(MATCH($D75,Control!$E$4:$E$30,0)+3,0))</f>
      </c>
      <c r="V75" s="305">
        <f>IF($B75="","",IF(AND(OR('Roadmap (Auto)'!$A$3="",'Roadmap (Auto)'!$A$3="(All)",ISNUMBER(SEARCH('Roadmap (Auto)'!$A$3,$C75&amp;""))),OR('Roadmap (Auto)'!$B$3="",'Roadmap (Auto)'!$B$3="(All)",$D75='Roadmap (Auto)'!$B$3,$X75='Roadmap (Auto)'!$B$3),OR('Roadmap (Auto)'!$C$3="",'Roadmap (Auto)'!$C$3="(All)",$F75='Roadmap (Auto)'!$C$3)),1,0))</f>
      </c>
      <c r="W75" s="305">
        <f>IF($B75="","",COUNTIF($Y$2:$Y$151,"&lt;"&amp;$Y75)+1)</f>
      </c>
      <c r="X75" s="305">
        <f>IF($B75="","",IF(TRIM('UX + Dev'!D75)="","",TRIM('UX + Dev'!D75)))</f>
      </c>
      <c r="Y75" s="305">
        <f>IF($B75="","",SUBSTITUTE(SUBSTITUTE(SUBSTITUTE(SUBSTITUTE(SUBSTITUTE(SUBSTITUTE(SUBSTITUTE(SUBSTITUTE(SUBSTITUTE(SUBSTITUTE(SUBSTITUTE(SUBSTITUTE(SUBSTITUTE(SUBSTITUTE(SUBSTITUTE(SUBSTITUTE(SUBSTITUTE(SUBSTITUTE(SUBSTITUTE(SUBSTITUTE(SUBSTITUTE(SUBSTITUTE(SUBSTITUTE(SUBSTITUTE(SUBSTITUTE(UPPER($B75)," ",""),"-",""),":",""),"/",""),"&amp;",""),"|",""),"'",""),"’",""),"&lt;",""),"&gt;",""),",",""),"$",""),".",""),"(",""),")",""),"*",""),"?",""),"~",""),"_",""),"+",""),"#",""),";",""),"!",""),"%",""),"@",""))</f>
      </c>
      <c r="AA75">
        <f>IF($B75="",0,COUNTIFS('UX + Dev'!$AB$1:$DN$1,"&gt;="&amp;AA$1,'UX + Dev'!$AB$1:$DN$1,"&lt;="&amp;EOMONTH(AA$1,0),'UX + Dev'!$AB75:$DN75,"&lt;&gt;"))</f>
      </c>
      <c r="AB75">
        <f>IF($B75="",0,COUNTIFS('UX + Dev'!$AB$1:$DN$1,"&gt;="&amp;AB$1,'UX + Dev'!$AB$1:$DN$1,"&lt;="&amp;EOMONTH(AB$1,0),'UX + Dev'!$AB75:$DN75,"&lt;&gt;"))</f>
      </c>
      <c r="AC75">
        <f>IF($B75="",0,COUNTIFS('UX + Dev'!$AB$1:$DN$1,"&gt;="&amp;AC$1,'UX + Dev'!$AB$1:$DN$1,"&lt;="&amp;EOMONTH(AC$1,0),'UX + Dev'!$AB75:$DN75,"&lt;&gt;"))</f>
      </c>
      <c r="AD75">
        <f>IF($B75="",0,COUNTIFS('UX + Dev'!$AB$1:$DN$1,"&gt;="&amp;AD$1,'UX + Dev'!$AB$1:$DN$1,"&lt;="&amp;EOMONTH(AD$1,0),'UX + Dev'!$AB75:$DN75,"&lt;&gt;"))</f>
      </c>
      <c r="AE75">
        <f>IF($B75="",0,COUNTIFS('UX + Dev'!$AB$1:$DN$1,"&gt;="&amp;AE$1,'UX + Dev'!$AB$1:$DN$1,"&lt;="&amp;EOMONTH(AE$1,0),'UX + Dev'!$AB75:$DN75,"&lt;&gt;"))</f>
      </c>
      <c r="AF75">
        <f>IF($B75="",0,COUNTIFS('UX + Dev'!$AB$1:$DN$1,"&gt;="&amp;AF$1,'UX + Dev'!$AB$1:$DN$1,"&lt;="&amp;EOMONTH(AF$1,0),'UX + Dev'!$AB75:$DN75,"&lt;&gt;"))</f>
      </c>
      <c r="AG75">
        <f>IF($B75="",0,COUNTIFS('UX + Dev'!$AB$1:$DN$1,"&gt;="&amp;AG$1,'UX + Dev'!$AB$1:$DN$1,"&lt;="&amp;EOMONTH(AG$1,0),'UX + Dev'!$AB75:$DN75,"&lt;&gt;"))</f>
      </c>
      <c r="AH75">
        <f>IF($B75="",0,COUNTIFS('UX + Dev'!$AB$1:$DN$1,"&gt;="&amp;AH$1,'UX + Dev'!$AB$1:$DN$1,"&lt;="&amp;EOMONTH(AH$1,0),'UX + Dev'!$AB75:$DN75,"&lt;&gt;"))</f>
      </c>
      <c r="AI75">
        <f>IF($B75="",0,COUNTIFS('UX + Dev'!$AB$1:$DN$1,"&gt;="&amp;AI$1,'UX + Dev'!$AB$1:$DN$1,"&lt;="&amp;EOMONTH(AI$1,0),'UX + Dev'!$AB75:$DN75,"&lt;&gt;"))</f>
      </c>
      <c r="AJ75">
        <f>IF($B75="",0,COUNTIFS('UX + Dev'!$AB$1:$DN$1,"&gt;="&amp;AJ$1,'UX + Dev'!$AB$1:$DN$1,"&lt;="&amp;EOMONTH(AJ$1,0),'UX + Dev'!$AB75:$DN75,"&lt;&gt;"))</f>
      </c>
      <c r="AK75">
        <f>IF($B75="",0,COUNTIFS('UX + Dev'!$AB$1:$DN$1,"&gt;="&amp;AK$1,'UX + Dev'!$AB$1:$DN$1,"&lt;="&amp;EOMONTH(AK$1,0),'UX + Dev'!$AB75:$DN75,"&lt;&gt;"))</f>
      </c>
      <c r="AL75">
        <f>IF($B75="",0,COUNTIFS('UX + Dev'!$AB$1:$DN$1,"&gt;="&amp;AL$1,'UX + Dev'!$AB$1:$DN$1,"&lt;="&amp;EOMONTH(AL$1,0),'UX + Dev'!$AB75:$DN75,"&lt;&gt;"))</f>
      </c>
      <c r="AM75">
        <f>IF($B75="",0,COUNTIFS('UX + Dev'!$AB$1:$DN$1,"&gt;="&amp;AM$1,'UX + Dev'!$AB$1:$DN$1,"&lt;="&amp;EOMONTH(AM$1,0),'UX + Dev'!$AB75:$DN75,"&lt;&gt;"))</f>
      </c>
      <c r="AN75">
        <f>IF($B75="",0,COUNTIFS('UX + Dev'!$AB$1:$DN$1,"&gt;="&amp;AN$1,'UX + Dev'!$AB$1:$DN$1,"&lt;="&amp;EOMONTH(AN$1,0),'UX + Dev'!$AB75:$DN75,"&lt;&gt;"))</f>
      </c>
      <c r="AO75">
        <f>IF($B75="",0,COUNTIFS('UX + Dev'!$AB$1:$DN$1,"&gt;="&amp;AO$1,'UX + Dev'!$AB$1:$DN$1,"&lt;="&amp;EOMONTH(AO$1,0),'UX + Dev'!$AB75:$DN75,"&lt;&gt;"))</f>
      </c>
      <c r="AP75">
        <f>IF($B75="",0,COUNTIFS('UX + Dev'!$AB$1:$DN$1,"&gt;="&amp;AP$1,'UX + Dev'!$AB$1:$DN$1,"&lt;="&amp;EOMONTH(AP$1,0),'UX + Dev'!$AB75:$DN75,"&lt;&gt;"))</f>
      </c>
      <c r="AQ75">
        <f>IF($B75="",0,COUNTIFS('UX + Dev'!$AB$1:$DN$1,"&gt;="&amp;AQ$1,'UX + Dev'!$AB$1:$DN$1,"&lt;="&amp;EOMONTH(AQ$1,0),'UX + Dev'!$AB75:$DN75,"&lt;&gt;"))</f>
      </c>
      <c r="AR75">
        <f>IF($B75="",0,COUNTIFS('UX + Dev'!$AB$1:$DN$1,"&gt;="&amp;AR$1,'UX + Dev'!$AB$1:$DN$1,"&lt;="&amp;EOMONTH(AR$1,0),'UX + Dev'!$AB75:$DN75,"&lt;&gt;"))</f>
      </c>
      <c r="AS75">
        <f>IF($B75="",0,COUNTIFS('UX + Dev'!$AB$1:$DN$1,"&gt;="&amp;AS$1,'UX + Dev'!$AB$1:$DN$1,"&lt;="&amp;EOMONTH(AS$1,0),'UX + Dev'!$AB75:$DN75,"&lt;&gt;"))</f>
      </c>
      <c r="AT75">
        <f>IF($B75="",0,COUNTIFS('UX + Dev'!$AB$1:$DN$1,"&gt;="&amp;AT$1,'UX + Dev'!$AB$1:$DN$1,"&lt;="&amp;EOMONTH(AT$1,0),'UX + Dev'!$AB75:$DN75,"&lt;&gt;"))</f>
      </c>
      <c r="AU75">
        <f>IF($B75="",0,COUNTIFS('UX + Dev'!$AB$1:$DN$1,"&gt;="&amp;AU$1,'UX + Dev'!$AB$1:$DN$1,"&lt;="&amp;EOMONTH(AU$1,0),'UX + Dev'!$AB75:$DN75,"&lt;&gt;"))</f>
      </c>
      <c r="AV75">
        <f>IF($B75="",0,COUNTIFS('UX + Dev'!$AB$1:$DN$1,"&gt;="&amp;AV$1,'UX + Dev'!$AB$1:$DN$1,"&lt;="&amp;EOMONTH(AV$1,0),'UX + Dev'!$AB75:$DN75,"&lt;&gt;"))</f>
      </c>
      <c r="AW75">
        <f>IF($B75="",0,COUNTIFS('UX + Dev'!$AB$1:$DN$1,"&gt;="&amp;AW$1,'UX + Dev'!$AB$1:$DN$1,"&lt;="&amp;EOMONTH(AW$1,0),'UX + Dev'!$AB75:$DN75,"&lt;&gt;"))</f>
      </c>
      <c r="AX75">
        <f>IF($B75="",0,COUNTIFS('UX + Dev'!$AB$1:$DN$1,"&gt;="&amp;AX$1,'UX + Dev'!$AB$1:$DN$1,"&lt;="&amp;EOMONTH(AX$1,0),'UX + Dev'!$AB75:$DN75,"&lt;&gt;"))</f>
      </c>
      <c r="BB75" s="308">
        <f>IF($B75="","",IF(COUNTA('UX + Dev'!U75)&gt;0,DATE(YEAR('UX + Dev'!U75),MONTH('UX + Dev'!U75),1),IF(COUNTA('UX + Dev'!V75)&gt;0,DATE(YEAR('UX + Dev'!V75),MONTH('UX + Dev'!V75),1),"")))</f>
      </c>
      <c r="BC75" s="308">
        <f>IF($B75="","",IF(COUNTA('UX + Dev'!V75)&gt;0,EOMONTH('UX + Dev'!V75,0),IF(COUNTA('UX + Dev'!U75)&gt;0,EOMONTH('UX + Dev'!U75,0),"")))</f>
      </c>
    </row>
    <row r="76">
      <c r="A76" s="305" t="n">
        <v>76</v>
      </c>
      <c r="B76" s="305">
        <f>IF(TRIM('UX + Dev'!E76)="","",TRIM('UX + Dev'!E76))</f>
      </c>
      <c r="C76" s="305">
        <f>IF($B76="","",'UX + Dev'!B76)</f>
      </c>
      <c r="D76" s="305">
        <f>IF($B76="","",IF(TRIM('UX + Dev'!C76)="","(No theme assigned)",TRIM('UX + Dev'!C76)))</f>
      </c>
      <c r="E76" s="305">
        <f>IF($B76="","",TRIM('UX + Dev'!F76))</f>
      </c>
      <c r="F76" s="305">
        <f>IF($B76="","",'UX + Dev'!G76)</f>
      </c>
      <c r="G76" s="306">
        <f t="array" ref="G76">IF($B76="","",IF($T76=0,"",IFERROR(MIN(IF('UX + Dev'!$AB76:$DN76&lt;&gt;"",'UX + Dev'!$AB$1:$DN$1)),"")))</f>
      </c>
      <c r="H76" s="306">
        <f t="array" ref="H76">IF($B76="","",IF($T76=0,"",IFERROR(MAX(IF('UX + Dev'!$AB76:$DN76&lt;&gt;"",'UX + Dev'!$AB$1:$DN$1)),"")))</f>
      </c>
      <c r="I76" s="307">
        <f>IF($R76&lt;&gt;"",$R76,IF($S76&lt;&gt;"",$S76,""))</f>
      </c>
      <c r="J76" s="307">
        <f>IF($S76&lt;&gt;"",EOMONTH($S76,0),IF($R76&lt;&gt;"",EOMONTH($R76,0),""))</f>
      </c>
      <c r="K76" s="305">
        <f>IF($B76="","",IF(COUNTA('UX + Dev'!AA76)=0,"",TRIM('UX + Dev'!AA76)))</f>
      </c>
      <c r="L76" s="305">
        <f>IF($B76="","",IFERROR(MATCH($D76,Control!$E$4:$E$30,0),99))</f>
      </c>
      <c r="M76" s="305">
        <f>IF($B76="","",IFERROR(MATCH($F76,Control!$B$4:$B$30,0),99))</f>
      </c>
      <c r="N76" s="305">
        <f>IF($V76&lt;&gt;1,"",IF('Roadmap (Auto)'!$D$3="Status, then Theme",$M76*1000000+$L76*10000+ROW(),IF('Roadmap (Auto)'!$D$3="Dev start (earliest)",IF($I76="",99999999,$I76)*10000+ROW(),IF('Roadmap (Auto)'!$D$3="UX start (earliest)",IF($G76="",99999999,$G76)*10000+ROW(),IF('Roadmap (Auto)'!$D$3="Deliverable A-Z",$W76*10000+ROW(),$L76*1000000+$M76*10000+ROW())))))</f>
      </c>
      <c r="O76" s="305">
        <f>IF($N76="","",COUNTIF($N$2:$N$151,"&lt;"&amp;$N76)+1)</f>
      </c>
      <c r="P76" s="305">
        <f>IF($B76="","",IF(COUNTA('UX + Dev'!X76)=0,"",'UX + Dev'!X76))</f>
      </c>
      <c r="Q76" s="305">
        <f>IF($B76="","",IF(COUNTA('UX + Dev'!Y76)=0,"",'UX + Dev'!Y76))</f>
      </c>
      <c r="R76" s="307">
        <f>IF($P76="","",IF(ISNUMBER($P76),DATE(YEAR($P76),MONTH($P76),1),IFERROR(DATE(IFERROR(VALUE(RIGHT(TRIM($P76),4)),YEAR(TODAY())),(SEARCH(LEFT(TRIM($P76),3),"JanFebMarAprMayJunJulAugSepOctNovDec")+2)/3,1),"")))</f>
      </c>
      <c r="S76" s="307">
        <f>IF($Q76="","",IF(ISNUMBER($Q76),DATE(YEAR($Q76),MONTH($Q76),1),IFERROR(DATE(IFERROR(VALUE(RIGHT(TRIM($Q76),4)),YEAR(TODAY())),(SEARCH(LEFT(TRIM($Q76),3),"JanFebMarAprMayJunJulAugSepOctNovDec")+2)/3,1),"")))</f>
      </c>
      <c r="T76" s="305">
        <f>IF($B76="","",COUNTA('UX + Dev'!$AB76:$DN76))</f>
      </c>
      <c r="U76" s="305">
        <f>IF($B76="","",IFERROR(MATCH($D76,Control!$E$4:$E$30,0)+3,0))</f>
      </c>
      <c r="V76" s="305">
        <f>IF($B76="","",IF(AND(OR('Roadmap (Auto)'!$A$3="",'Roadmap (Auto)'!$A$3="(All)",ISNUMBER(SEARCH('Roadmap (Auto)'!$A$3,$C76&amp;""))),OR('Roadmap (Auto)'!$B$3="",'Roadmap (Auto)'!$B$3="(All)",$D76='Roadmap (Auto)'!$B$3,$X76='Roadmap (Auto)'!$B$3),OR('Roadmap (Auto)'!$C$3="",'Roadmap (Auto)'!$C$3="(All)",$F76='Roadmap (Auto)'!$C$3)),1,0))</f>
      </c>
      <c r="W76" s="305">
        <f>IF($B76="","",COUNTIF($Y$2:$Y$151,"&lt;"&amp;$Y76)+1)</f>
      </c>
      <c r="X76" s="305">
        <f>IF($B76="","",IF(TRIM('UX + Dev'!D76)="","",TRIM('UX + Dev'!D76)))</f>
      </c>
      <c r="Y76" s="305">
        <f>IF($B76="","",SUBSTITUTE(SUBSTITUTE(SUBSTITUTE(SUBSTITUTE(SUBSTITUTE(SUBSTITUTE(SUBSTITUTE(SUBSTITUTE(SUBSTITUTE(SUBSTITUTE(SUBSTITUTE(SUBSTITUTE(SUBSTITUTE(SUBSTITUTE(SUBSTITUTE(SUBSTITUTE(SUBSTITUTE(SUBSTITUTE(SUBSTITUTE(SUBSTITUTE(SUBSTITUTE(SUBSTITUTE(SUBSTITUTE(SUBSTITUTE(SUBSTITUTE(UPPER($B76)," ",""),"-",""),":",""),"/",""),"&amp;",""),"|",""),"'",""),"’",""),"&lt;",""),"&gt;",""),",",""),"$",""),".",""),"(",""),")",""),"*",""),"?",""),"~",""),"_",""),"+",""),"#",""),";",""),"!",""),"%",""),"@",""))</f>
      </c>
      <c r="AA76">
        <f>IF($B76="",0,COUNTIFS('UX + Dev'!$AB$1:$DN$1,"&gt;="&amp;AA$1,'UX + Dev'!$AB$1:$DN$1,"&lt;="&amp;EOMONTH(AA$1,0),'UX + Dev'!$AB76:$DN76,"&lt;&gt;"))</f>
      </c>
      <c r="AB76">
        <f>IF($B76="",0,COUNTIFS('UX + Dev'!$AB$1:$DN$1,"&gt;="&amp;AB$1,'UX + Dev'!$AB$1:$DN$1,"&lt;="&amp;EOMONTH(AB$1,0),'UX + Dev'!$AB76:$DN76,"&lt;&gt;"))</f>
      </c>
      <c r="AC76">
        <f>IF($B76="",0,COUNTIFS('UX + Dev'!$AB$1:$DN$1,"&gt;="&amp;AC$1,'UX + Dev'!$AB$1:$DN$1,"&lt;="&amp;EOMONTH(AC$1,0),'UX + Dev'!$AB76:$DN76,"&lt;&gt;"))</f>
      </c>
      <c r="AD76">
        <f>IF($B76="",0,COUNTIFS('UX + Dev'!$AB$1:$DN$1,"&gt;="&amp;AD$1,'UX + Dev'!$AB$1:$DN$1,"&lt;="&amp;EOMONTH(AD$1,0),'UX + Dev'!$AB76:$DN76,"&lt;&gt;"))</f>
      </c>
      <c r="AE76">
        <f>IF($B76="",0,COUNTIFS('UX + Dev'!$AB$1:$DN$1,"&gt;="&amp;AE$1,'UX + Dev'!$AB$1:$DN$1,"&lt;="&amp;EOMONTH(AE$1,0),'UX + Dev'!$AB76:$DN76,"&lt;&gt;"))</f>
      </c>
      <c r="AF76">
        <f>IF($B76="",0,COUNTIFS('UX + Dev'!$AB$1:$DN$1,"&gt;="&amp;AF$1,'UX + Dev'!$AB$1:$DN$1,"&lt;="&amp;EOMONTH(AF$1,0),'UX + Dev'!$AB76:$DN76,"&lt;&gt;"))</f>
      </c>
      <c r="AG76">
        <f>IF($B76="",0,COUNTIFS('UX + Dev'!$AB$1:$DN$1,"&gt;="&amp;AG$1,'UX + Dev'!$AB$1:$DN$1,"&lt;="&amp;EOMONTH(AG$1,0),'UX + Dev'!$AB76:$DN76,"&lt;&gt;"))</f>
      </c>
      <c r="AH76">
        <f>IF($B76="",0,COUNTIFS('UX + Dev'!$AB$1:$DN$1,"&gt;="&amp;AH$1,'UX + Dev'!$AB$1:$DN$1,"&lt;="&amp;EOMONTH(AH$1,0),'UX + Dev'!$AB76:$DN76,"&lt;&gt;"))</f>
      </c>
      <c r="AI76">
        <f>IF($B76="",0,COUNTIFS('UX + Dev'!$AB$1:$DN$1,"&gt;="&amp;AI$1,'UX + Dev'!$AB$1:$DN$1,"&lt;="&amp;EOMONTH(AI$1,0),'UX + Dev'!$AB76:$DN76,"&lt;&gt;"))</f>
      </c>
      <c r="AJ76">
        <f>IF($B76="",0,COUNTIFS('UX + Dev'!$AB$1:$DN$1,"&gt;="&amp;AJ$1,'UX + Dev'!$AB$1:$DN$1,"&lt;="&amp;EOMONTH(AJ$1,0),'UX + Dev'!$AB76:$DN76,"&lt;&gt;"))</f>
      </c>
      <c r="AK76">
        <f>IF($B76="",0,COUNTIFS('UX + Dev'!$AB$1:$DN$1,"&gt;="&amp;AK$1,'UX + Dev'!$AB$1:$DN$1,"&lt;="&amp;EOMONTH(AK$1,0),'UX + Dev'!$AB76:$DN76,"&lt;&gt;"))</f>
      </c>
      <c r="AL76">
        <f>IF($B76="",0,COUNTIFS('UX + Dev'!$AB$1:$DN$1,"&gt;="&amp;AL$1,'UX + Dev'!$AB$1:$DN$1,"&lt;="&amp;EOMONTH(AL$1,0),'UX + Dev'!$AB76:$DN76,"&lt;&gt;"))</f>
      </c>
      <c r="AM76">
        <f>IF($B76="",0,COUNTIFS('UX + Dev'!$AB$1:$DN$1,"&gt;="&amp;AM$1,'UX + Dev'!$AB$1:$DN$1,"&lt;="&amp;EOMONTH(AM$1,0),'UX + Dev'!$AB76:$DN76,"&lt;&gt;"))</f>
      </c>
      <c r="AN76">
        <f>IF($B76="",0,COUNTIFS('UX + Dev'!$AB$1:$DN$1,"&gt;="&amp;AN$1,'UX + Dev'!$AB$1:$DN$1,"&lt;="&amp;EOMONTH(AN$1,0),'UX + Dev'!$AB76:$DN76,"&lt;&gt;"))</f>
      </c>
      <c r="AO76">
        <f>IF($B76="",0,COUNTIFS('UX + Dev'!$AB$1:$DN$1,"&gt;="&amp;AO$1,'UX + Dev'!$AB$1:$DN$1,"&lt;="&amp;EOMONTH(AO$1,0),'UX + Dev'!$AB76:$DN76,"&lt;&gt;"))</f>
      </c>
      <c r="AP76">
        <f>IF($B76="",0,COUNTIFS('UX + Dev'!$AB$1:$DN$1,"&gt;="&amp;AP$1,'UX + Dev'!$AB$1:$DN$1,"&lt;="&amp;EOMONTH(AP$1,0),'UX + Dev'!$AB76:$DN76,"&lt;&gt;"))</f>
      </c>
      <c r="AQ76">
        <f>IF($B76="",0,COUNTIFS('UX + Dev'!$AB$1:$DN$1,"&gt;="&amp;AQ$1,'UX + Dev'!$AB$1:$DN$1,"&lt;="&amp;EOMONTH(AQ$1,0),'UX + Dev'!$AB76:$DN76,"&lt;&gt;"))</f>
      </c>
      <c r="AR76">
        <f>IF($B76="",0,COUNTIFS('UX + Dev'!$AB$1:$DN$1,"&gt;="&amp;AR$1,'UX + Dev'!$AB$1:$DN$1,"&lt;="&amp;EOMONTH(AR$1,0),'UX + Dev'!$AB76:$DN76,"&lt;&gt;"))</f>
      </c>
      <c r="AS76">
        <f>IF($B76="",0,COUNTIFS('UX + Dev'!$AB$1:$DN$1,"&gt;="&amp;AS$1,'UX + Dev'!$AB$1:$DN$1,"&lt;="&amp;EOMONTH(AS$1,0),'UX + Dev'!$AB76:$DN76,"&lt;&gt;"))</f>
      </c>
      <c r="AT76">
        <f>IF($B76="",0,COUNTIFS('UX + Dev'!$AB$1:$DN$1,"&gt;="&amp;AT$1,'UX + Dev'!$AB$1:$DN$1,"&lt;="&amp;EOMONTH(AT$1,0),'UX + Dev'!$AB76:$DN76,"&lt;&gt;"))</f>
      </c>
      <c r="AU76">
        <f>IF($B76="",0,COUNTIFS('UX + Dev'!$AB$1:$DN$1,"&gt;="&amp;AU$1,'UX + Dev'!$AB$1:$DN$1,"&lt;="&amp;EOMONTH(AU$1,0),'UX + Dev'!$AB76:$DN76,"&lt;&gt;"))</f>
      </c>
      <c r="AV76">
        <f>IF($B76="",0,COUNTIFS('UX + Dev'!$AB$1:$DN$1,"&gt;="&amp;AV$1,'UX + Dev'!$AB$1:$DN$1,"&lt;="&amp;EOMONTH(AV$1,0),'UX + Dev'!$AB76:$DN76,"&lt;&gt;"))</f>
      </c>
      <c r="AW76">
        <f>IF($B76="",0,COUNTIFS('UX + Dev'!$AB$1:$DN$1,"&gt;="&amp;AW$1,'UX + Dev'!$AB$1:$DN$1,"&lt;="&amp;EOMONTH(AW$1,0),'UX + Dev'!$AB76:$DN76,"&lt;&gt;"))</f>
      </c>
      <c r="AX76">
        <f>IF($B76="",0,COUNTIFS('UX + Dev'!$AB$1:$DN$1,"&gt;="&amp;AX$1,'UX + Dev'!$AB$1:$DN$1,"&lt;="&amp;EOMONTH(AX$1,0),'UX + Dev'!$AB76:$DN76,"&lt;&gt;"))</f>
      </c>
      <c r="BB76" s="308">
        <f>IF($B76="","",IF(COUNTA('UX + Dev'!U76)&gt;0,DATE(YEAR('UX + Dev'!U76),MONTH('UX + Dev'!U76),1),IF(COUNTA('UX + Dev'!V76)&gt;0,DATE(YEAR('UX + Dev'!V76),MONTH('UX + Dev'!V76),1),"")))</f>
      </c>
      <c r="BC76" s="308">
        <f>IF($B76="","",IF(COUNTA('UX + Dev'!V76)&gt;0,EOMONTH('UX + Dev'!V76,0),IF(COUNTA('UX + Dev'!U76)&gt;0,EOMONTH('UX + Dev'!U76,0),"")))</f>
      </c>
    </row>
    <row r="77">
      <c r="A77" s="305" t="n">
        <v>77</v>
      </c>
      <c r="B77" s="305">
        <f>IF(TRIM('UX + Dev'!E77)="","",TRIM('UX + Dev'!E77))</f>
      </c>
      <c r="C77" s="305">
        <f>IF($B77="","",'UX + Dev'!B77)</f>
      </c>
      <c r="D77" s="305">
        <f>IF($B77="","",IF(TRIM('UX + Dev'!C77)="","(No theme assigned)",TRIM('UX + Dev'!C77)))</f>
      </c>
      <c r="E77" s="305">
        <f>IF($B77="","",TRIM('UX + Dev'!F77))</f>
      </c>
      <c r="F77" s="305">
        <f>IF($B77="","",'UX + Dev'!G77)</f>
      </c>
      <c r="G77" s="306">
        <f t="array" ref="G77">IF($B77="","",IF($T77=0,"",IFERROR(MIN(IF('UX + Dev'!$AB77:$DN77&lt;&gt;"",'UX + Dev'!$AB$1:$DN$1)),"")))</f>
      </c>
      <c r="H77" s="306">
        <f t="array" ref="H77">IF($B77="","",IF($T77=0,"",IFERROR(MAX(IF('UX + Dev'!$AB77:$DN77&lt;&gt;"",'UX + Dev'!$AB$1:$DN$1)),"")))</f>
      </c>
      <c r="I77" s="307">
        <f>IF($R77&lt;&gt;"",$R77,IF($S77&lt;&gt;"",$S77,""))</f>
      </c>
      <c r="J77" s="307">
        <f>IF($S77&lt;&gt;"",EOMONTH($S77,0),IF($R77&lt;&gt;"",EOMONTH($R77,0),""))</f>
      </c>
      <c r="K77" s="305">
        <f>IF($B77="","",IF(COUNTA('UX + Dev'!AA77)=0,"",TRIM('UX + Dev'!AA77)))</f>
      </c>
      <c r="L77" s="305">
        <f>IF($B77="","",IFERROR(MATCH($D77,Control!$E$4:$E$30,0),99))</f>
      </c>
      <c r="M77" s="305">
        <f>IF($B77="","",IFERROR(MATCH($F77,Control!$B$4:$B$30,0),99))</f>
      </c>
      <c r="N77" s="305">
        <f>IF($V77&lt;&gt;1,"",IF('Roadmap (Auto)'!$D$3="Status, then Theme",$M77*1000000+$L77*10000+ROW(),IF('Roadmap (Auto)'!$D$3="Dev start (earliest)",IF($I77="",99999999,$I77)*10000+ROW(),IF('Roadmap (Auto)'!$D$3="UX start (earliest)",IF($G77="",99999999,$G77)*10000+ROW(),IF('Roadmap (Auto)'!$D$3="Deliverable A-Z",$W77*10000+ROW(),$L77*1000000+$M77*10000+ROW())))))</f>
      </c>
      <c r="O77" s="305">
        <f>IF($N77="","",COUNTIF($N$2:$N$151,"&lt;"&amp;$N77)+1)</f>
      </c>
      <c r="P77" s="305">
        <f>IF($B77="","",IF(COUNTA('UX + Dev'!X77)=0,"",'UX + Dev'!X77))</f>
      </c>
      <c r="Q77" s="305">
        <f>IF($B77="","",IF(COUNTA('UX + Dev'!Y77)=0,"",'UX + Dev'!Y77))</f>
      </c>
      <c r="R77" s="307">
        <f>IF($P77="","",IF(ISNUMBER($P77),DATE(YEAR($P77),MONTH($P77),1),IFERROR(DATE(IFERROR(VALUE(RIGHT(TRIM($P77),4)),YEAR(TODAY())),(SEARCH(LEFT(TRIM($P77),3),"JanFebMarAprMayJunJulAugSepOctNovDec")+2)/3,1),"")))</f>
      </c>
      <c r="S77" s="307">
        <f>IF($Q77="","",IF(ISNUMBER($Q77),DATE(YEAR($Q77),MONTH($Q77),1),IFERROR(DATE(IFERROR(VALUE(RIGHT(TRIM($Q77),4)),YEAR(TODAY())),(SEARCH(LEFT(TRIM($Q77),3),"JanFebMarAprMayJunJulAugSepOctNovDec")+2)/3,1),"")))</f>
      </c>
      <c r="T77" s="305">
        <f>IF($B77="","",COUNTA('UX + Dev'!$AB77:$DN77))</f>
      </c>
      <c r="U77" s="305">
        <f>IF($B77="","",IFERROR(MATCH($D77,Control!$E$4:$E$30,0)+3,0))</f>
      </c>
      <c r="V77" s="305">
        <f>IF($B77="","",IF(AND(OR('Roadmap (Auto)'!$A$3="",'Roadmap (Auto)'!$A$3="(All)",ISNUMBER(SEARCH('Roadmap (Auto)'!$A$3,$C77&amp;""))),OR('Roadmap (Auto)'!$B$3="",'Roadmap (Auto)'!$B$3="(All)",$D77='Roadmap (Auto)'!$B$3,$X77='Roadmap (Auto)'!$B$3),OR('Roadmap (Auto)'!$C$3="",'Roadmap (Auto)'!$C$3="(All)",$F77='Roadmap (Auto)'!$C$3)),1,0))</f>
      </c>
      <c r="W77" s="305">
        <f>IF($B77="","",COUNTIF($Y$2:$Y$151,"&lt;"&amp;$Y77)+1)</f>
      </c>
      <c r="X77" s="305">
        <f>IF($B77="","",IF(TRIM('UX + Dev'!D77)="","",TRIM('UX + Dev'!D77)))</f>
      </c>
      <c r="Y77" s="305">
        <f>IF($B77="","",SUBSTITUTE(SUBSTITUTE(SUBSTITUTE(SUBSTITUTE(SUBSTITUTE(SUBSTITUTE(SUBSTITUTE(SUBSTITUTE(SUBSTITUTE(SUBSTITUTE(SUBSTITUTE(SUBSTITUTE(SUBSTITUTE(SUBSTITUTE(SUBSTITUTE(SUBSTITUTE(SUBSTITUTE(SUBSTITUTE(SUBSTITUTE(SUBSTITUTE(SUBSTITUTE(SUBSTITUTE(SUBSTITUTE(SUBSTITUTE(SUBSTITUTE(UPPER($B77)," ",""),"-",""),":",""),"/",""),"&amp;",""),"|",""),"'",""),"’",""),"&lt;",""),"&gt;",""),",",""),"$",""),".",""),"(",""),")",""),"*",""),"?",""),"~",""),"_",""),"+",""),"#",""),";",""),"!",""),"%",""),"@",""))</f>
      </c>
      <c r="AA77">
        <f>IF($B77="",0,COUNTIFS('UX + Dev'!$AB$1:$DN$1,"&gt;="&amp;AA$1,'UX + Dev'!$AB$1:$DN$1,"&lt;="&amp;EOMONTH(AA$1,0),'UX + Dev'!$AB77:$DN77,"&lt;&gt;"))</f>
      </c>
      <c r="AB77">
        <f>IF($B77="",0,COUNTIFS('UX + Dev'!$AB$1:$DN$1,"&gt;="&amp;AB$1,'UX + Dev'!$AB$1:$DN$1,"&lt;="&amp;EOMONTH(AB$1,0),'UX + Dev'!$AB77:$DN77,"&lt;&gt;"))</f>
      </c>
      <c r="AC77">
        <f>IF($B77="",0,COUNTIFS('UX + Dev'!$AB$1:$DN$1,"&gt;="&amp;AC$1,'UX + Dev'!$AB$1:$DN$1,"&lt;="&amp;EOMONTH(AC$1,0),'UX + Dev'!$AB77:$DN77,"&lt;&gt;"))</f>
      </c>
      <c r="AD77">
        <f>IF($B77="",0,COUNTIFS('UX + Dev'!$AB$1:$DN$1,"&gt;="&amp;AD$1,'UX + Dev'!$AB$1:$DN$1,"&lt;="&amp;EOMONTH(AD$1,0),'UX + Dev'!$AB77:$DN77,"&lt;&gt;"))</f>
      </c>
      <c r="AE77">
        <f>IF($B77="",0,COUNTIFS('UX + Dev'!$AB$1:$DN$1,"&gt;="&amp;AE$1,'UX + Dev'!$AB$1:$DN$1,"&lt;="&amp;EOMONTH(AE$1,0),'UX + Dev'!$AB77:$DN77,"&lt;&gt;"))</f>
      </c>
      <c r="AF77">
        <f>IF($B77="",0,COUNTIFS('UX + Dev'!$AB$1:$DN$1,"&gt;="&amp;AF$1,'UX + Dev'!$AB$1:$DN$1,"&lt;="&amp;EOMONTH(AF$1,0),'UX + Dev'!$AB77:$DN77,"&lt;&gt;"))</f>
      </c>
      <c r="AG77">
        <f>IF($B77="",0,COUNTIFS('UX + Dev'!$AB$1:$DN$1,"&gt;="&amp;AG$1,'UX + Dev'!$AB$1:$DN$1,"&lt;="&amp;EOMONTH(AG$1,0),'UX + Dev'!$AB77:$DN77,"&lt;&gt;"))</f>
      </c>
      <c r="AH77">
        <f>IF($B77="",0,COUNTIFS('UX + Dev'!$AB$1:$DN$1,"&gt;="&amp;AH$1,'UX + Dev'!$AB$1:$DN$1,"&lt;="&amp;EOMONTH(AH$1,0),'UX + Dev'!$AB77:$DN77,"&lt;&gt;"))</f>
      </c>
      <c r="AI77">
        <f>IF($B77="",0,COUNTIFS('UX + Dev'!$AB$1:$DN$1,"&gt;="&amp;AI$1,'UX + Dev'!$AB$1:$DN$1,"&lt;="&amp;EOMONTH(AI$1,0),'UX + Dev'!$AB77:$DN77,"&lt;&gt;"))</f>
      </c>
      <c r="AJ77">
        <f>IF($B77="",0,COUNTIFS('UX + Dev'!$AB$1:$DN$1,"&gt;="&amp;AJ$1,'UX + Dev'!$AB$1:$DN$1,"&lt;="&amp;EOMONTH(AJ$1,0),'UX + Dev'!$AB77:$DN77,"&lt;&gt;"))</f>
      </c>
      <c r="AK77">
        <f>IF($B77="",0,COUNTIFS('UX + Dev'!$AB$1:$DN$1,"&gt;="&amp;AK$1,'UX + Dev'!$AB$1:$DN$1,"&lt;="&amp;EOMONTH(AK$1,0),'UX + Dev'!$AB77:$DN77,"&lt;&gt;"))</f>
      </c>
      <c r="AL77">
        <f>IF($B77="",0,COUNTIFS('UX + Dev'!$AB$1:$DN$1,"&gt;="&amp;AL$1,'UX + Dev'!$AB$1:$DN$1,"&lt;="&amp;EOMONTH(AL$1,0),'UX + Dev'!$AB77:$DN77,"&lt;&gt;"))</f>
      </c>
      <c r="AM77">
        <f>IF($B77="",0,COUNTIFS('UX + Dev'!$AB$1:$DN$1,"&gt;="&amp;AM$1,'UX + Dev'!$AB$1:$DN$1,"&lt;="&amp;EOMONTH(AM$1,0),'UX + Dev'!$AB77:$DN77,"&lt;&gt;"))</f>
      </c>
      <c r="AN77">
        <f>IF($B77="",0,COUNTIFS('UX + Dev'!$AB$1:$DN$1,"&gt;="&amp;AN$1,'UX + Dev'!$AB$1:$DN$1,"&lt;="&amp;EOMONTH(AN$1,0),'UX + Dev'!$AB77:$DN77,"&lt;&gt;"))</f>
      </c>
      <c r="AO77">
        <f>IF($B77="",0,COUNTIFS('UX + Dev'!$AB$1:$DN$1,"&gt;="&amp;AO$1,'UX + Dev'!$AB$1:$DN$1,"&lt;="&amp;EOMONTH(AO$1,0),'UX + Dev'!$AB77:$DN77,"&lt;&gt;"))</f>
      </c>
      <c r="AP77">
        <f>IF($B77="",0,COUNTIFS('UX + Dev'!$AB$1:$DN$1,"&gt;="&amp;AP$1,'UX + Dev'!$AB$1:$DN$1,"&lt;="&amp;EOMONTH(AP$1,0),'UX + Dev'!$AB77:$DN77,"&lt;&gt;"))</f>
      </c>
      <c r="AQ77">
        <f>IF($B77="",0,COUNTIFS('UX + Dev'!$AB$1:$DN$1,"&gt;="&amp;AQ$1,'UX + Dev'!$AB$1:$DN$1,"&lt;="&amp;EOMONTH(AQ$1,0),'UX + Dev'!$AB77:$DN77,"&lt;&gt;"))</f>
      </c>
      <c r="AR77">
        <f>IF($B77="",0,COUNTIFS('UX + Dev'!$AB$1:$DN$1,"&gt;="&amp;AR$1,'UX + Dev'!$AB$1:$DN$1,"&lt;="&amp;EOMONTH(AR$1,0),'UX + Dev'!$AB77:$DN77,"&lt;&gt;"))</f>
      </c>
      <c r="AS77">
        <f>IF($B77="",0,COUNTIFS('UX + Dev'!$AB$1:$DN$1,"&gt;="&amp;AS$1,'UX + Dev'!$AB$1:$DN$1,"&lt;="&amp;EOMONTH(AS$1,0),'UX + Dev'!$AB77:$DN77,"&lt;&gt;"))</f>
      </c>
      <c r="AT77">
        <f>IF($B77="",0,COUNTIFS('UX + Dev'!$AB$1:$DN$1,"&gt;="&amp;AT$1,'UX + Dev'!$AB$1:$DN$1,"&lt;="&amp;EOMONTH(AT$1,0),'UX + Dev'!$AB77:$DN77,"&lt;&gt;"))</f>
      </c>
      <c r="AU77">
        <f>IF($B77="",0,COUNTIFS('UX + Dev'!$AB$1:$DN$1,"&gt;="&amp;AU$1,'UX + Dev'!$AB$1:$DN$1,"&lt;="&amp;EOMONTH(AU$1,0),'UX + Dev'!$AB77:$DN77,"&lt;&gt;"))</f>
      </c>
      <c r="AV77">
        <f>IF($B77="",0,COUNTIFS('UX + Dev'!$AB$1:$DN$1,"&gt;="&amp;AV$1,'UX + Dev'!$AB$1:$DN$1,"&lt;="&amp;EOMONTH(AV$1,0),'UX + Dev'!$AB77:$DN77,"&lt;&gt;"))</f>
      </c>
      <c r="AW77">
        <f>IF($B77="",0,COUNTIFS('UX + Dev'!$AB$1:$DN$1,"&gt;="&amp;AW$1,'UX + Dev'!$AB$1:$DN$1,"&lt;="&amp;EOMONTH(AW$1,0),'UX + Dev'!$AB77:$DN77,"&lt;&gt;"))</f>
      </c>
      <c r="AX77">
        <f>IF($B77="",0,COUNTIFS('UX + Dev'!$AB$1:$DN$1,"&gt;="&amp;AX$1,'UX + Dev'!$AB$1:$DN$1,"&lt;="&amp;EOMONTH(AX$1,0),'UX + Dev'!$AB77:$DN77,"&lt;&gt;"))</f>
      </c>
      <c r="BB77" s="308">
        <f>IF($B77="","",IF(COUNTA('UX + Dev'!U77)&gt;0,DATE(YEAR('UX + Dev'!U77),MONTH('UX + Dev'!U77),1),IF(COUNTA('UX + Dev'!V77)&gt;0,DATE(YEAR('UX + Dev'!V77),MONTH('UX + Dev'!V77),1),"")))</f>
      </c>
      <c r="BC77" s="308">
        <f>IF($B77="","",IF(COUNTA('UX + Dev'!V77)&gt;0,EOMONTH('UX + Dev'!V77,0),IF(COUNTA('UX + Dev'!U77)&gt;0,EOMONTH('UX + Dev'!U77,0),"")))</f>
      </c>
    </row>
    <row r="78">
      <c r="A78" s="305" t="n">
        <v>78</v>
      </c>
      <c r="B78" s="305">
        <f>IF(TRIM('UX + Dev'!E78)="","",TRIM('UX + Dev'!E78))</f>
      </c>
      <c r="C78" s="305">
        <f>IF($B78="","",'UX + Dev'!B78)</f>
      </c>
      <c r="D78" s="305">
        <f>IF($B78="","",IF(TRIM('UX + Dev'!C78)="","(No theme assigned)",TRIM('UX + Dev'!C78)))</f>
      </c>
      <c r="E78" s="305">
        <f>IF($B78="","",TRIM('UX + Dev'!F78))</f>
      </c>
      <c r="F78" s="305">
        <f>IF($B78="","",'UX + Dev'!G78)</f>
      </c>
      <c r="G78" s="306">
        <f t="array" ref="G78">IF($B78="","",IF($T78=0,"",IFERROR(MIN(IF('UX + Dev'!$AB78:$DN78&lt;&gt;"",'UX + Dev'!$AB$1:$DN$1)),"")))</f>
      </c>
      <c r="H78" s="306">
        <f t="array" ref="H78">IF($B78="","",IF($T78=0,"",IFERROR(MAX(IF('UX + Dev'!$AB78:$DN78&lt;&gt;"",'UX + Dev'!$AB$1:$DN$1)),"")))</f>
      </c>
      <c r="I78" s="307">
        <f>IF($R78&lt;&gt;"",$R78,IF($S78&lt;&gt;"",$S78,""))</f>
      </c>
      <c r="J78" s="307">
        <f>IF($S78&lt;&gt;"",EOMONTH($S78,0),IF($R78&lt;&gt;"",EOMONTH($R78,0),""))</f>
      </c>
      <c r="K78" s="305">
        <f>IF($B78="","",IF(COUNTA('UX + Dev'!AA78)=0,"",TRIM('UX + Dev'!AA78)))</f>
      </c>
      <c r="L78" s="305">
        <f>IF($B78="","",IFERROR(MATCH($D78,Control!$E$4:$E$30,0),99))</f>
      </c>
      <c r="M78" s="305">
        <f>IF($B78="","",IFERROR(MATCH($F78,Control!$B$4:$B$30,0),99))</f>
      </c>
      <c r="N78" s="305">
        <f>IF($V78&lt;&gt;1,"",IF('Roadmap (Auto)'!$D$3="Status, then Theme",$M78*1000000+$L78*10000+ROW(),IF('Roadmap (Auto)'!$D$3="Dev start (earliest)",IF($I78="",99999999,$I78)*10000+ROW(),IF('Roadmap (Auto)'!$D$3="UX start (earliest)",IF($G78="",99999999,$G78)*10000+ROW(),IF('Roadmap (Auto)'!$D$3="Deliverable A-Z",$W78*10000+ROW(),$L78*1000000+$M78*10000+ROW())))))</f>
      </c>
      <c r="O78" s="305">
        <f>IF($N78="","",COUNTIF($N$2:$N$151,"&lt;"&amp;$N78)+1)</f>
      </c>
      <c r="P78" s="305">
        <f>IF($B78="","",IF(COUNTA('UX + Dev'!X78)=0,"",'UX + Dev'!X78))</f>
      </c>
      <c r="Q78" s="305">
        <f>IF($B78="","",IF(COUNTA('UX + Dev'!Y78)=0,"",'UX + Dev'!Y78))</f>
      </c>
      <c r="R78" s="307">
        <f>IF($P78="","",IF(ISNUMBER($P78),DATE(YEAR($P78),MONTH($P78),1),IFERROR(DATE(IFERROR(VALUE(RIGHT(TRIM($P78),4)),YEAR(TODAY())),(SEARCH(LEFT(TRIM($P78),3),"JanFebMarAprMayJunJulAugSepOctNovDec")+2)/3,1),"")))</f>
      </c>
      <c r="S78" s="307">
        <f>IF($Q78="","",IF(ISNUMBER($Q78),DATE(YEAR($Q78),MONTH($Q78),1),IFERROR(DATE(IFERROR(VALUE(RIGHT(TRIM($Q78),4)),YEAR(TODAY())),(SEARCH(LEFT(TRIM($Q78),3),"JanFebMarAprMayJunJulAugSepOctNovDec")+2)/3,1),"")))</f>
      </c>
      <c r="T78" s="305">
        <f>IF($B78="","",COUNTA('UX + Dev'!$AB78:$DN78))</f>
      </c>
      <c r="U78" s="305">
        <f>IF($B78="","",IFERROR(MATCH($D78,Control!$E$4:$E$30,0)+3,0))</f>
      </c>
      <c r="V78" s="305">
        <f>IF($B78="","",IF(AND(OR('Roadmap (Auto)'!$A$3="",'Roadmap (Auto)'!$A$3="(All)",ISNUMBER(SEARCH('Roadmap (Auto)'!$A$3,$C78&amp;""))),OR('Roadmap (Auto)'!$B$3="",'Roadmap (Auto)'!$B$3="(All)",$D78='Roadmap (Auto)'!$B$3,$X78='Roadmap (Auto)'!$B$3),OR('Roadmap (Auto)'!$C$3="",'Roadmap (Auto)'!$C$3="(All)",$F78='Roadmap (Auto)'!$C$3)),1,0))</f>
      </c>
      <c r="W78" s="305">
        <f>IF($B78="","",COUNTIF($Y$2:$Y$151,"&lt;"&amp;$Y78)+1)</f>
      </c>
      <c r="X78" s="305">
        <f>IF($B78="","",IF(TRIM('UX + Dev'!D78)="","",TRIM('UX + Dev'!D78)))</f>
      </c>
      <c r="Y78" s="305">
        <f>IF($B78="","",SUBSTITUTE(SUBSTITUTE(SUBSTITUTE(SUBSTITUTE(SUBSTITUTE(SUBSTITUTE(SUBSTITUTE(SUBSTITUTE(SUBSTITUTE(SUBSTITUTE(SUBSTITUTE(SUBSTITUTE(SUBSTITUTE(SUBSTITUTE(SUBSTITUTE(SUBSTITUTE(SUBSTITUTE(SUBSTITUTE(SUBSTITUTE(SUBSTITUTE(SUBSTITUTE(SUBSTITUTE(SUBSTITUTE(SUBSTITUTE(SUBSTITUTE(UPPER($B78)," ",""),"-",""),":",""),"/",""),"&amp;",""),"|",""),"'",""),"’",""),"&lt;",""),"&gt;",""),",",""),"$",""),".",""),"(",""),")",""),"*",""),"?",""),"~",""),"_",""),"+",""),"#",""),";",""),"!",""),"%",""),"@",""))</f>
      </c>
      <c r="AA78">
        <f>IF($B78="",0,COUNTIFS('UX + Dev'!$AB$1:$DN$1,"&gt;="&amp;AA$1,'UX + Dev'!$AB$1:$DN$1,"&lt;="&amp;EOMONTH(AA$1,0),'UX + Dev'!$AB78:$DN78,"&lt;&gt;"))</f>
      </c>
      <c r="AB78">
        <f>IF($B78="",0,COUNTIFS('UX + Dev'!$AB$1:$DN$1,"&gt;="&amp;AB$1,'UX + Dev'!$AB$1:$DN$1,"&lt;="&amp;EOMONTH(AB$1,0),'UX + Dev'!$AB78:$DN78,"&lt;&gt;"))</f>
      </c>
      <c r="AC78">
        <f>IF($B78="",0,COUNTIFS('UX + Dev'!$AB$1:$DN$1,"&gt;="&amp;AC$1,'UX + Dev'!$AB$1:$DN$1,"&lt;="&amp;EOMONTH(AC$1,0),'UX + Dev'!$AB78:$DN78,"&lt;&gt;"))</f>
      </c>
      <c r="AD78">
        <f>IF($B78="",0,COUNTIFS('UX + Dev'!$AB$1:$DN$1,"&gt;="&amp;AD$1,'UX + Dev'!$AB$1:$DN$1,"&lt;="&amp;EOMONTH(AD$1,0),'UX + Dev'!$AB78:$DN78,"&lt;&gt;"))</f>
      </c>
      <c r="AE78">
        <f>IF($B78="",0,COUNTIFS('UX + Dev'!$AB$1:$DN$1,"&gt;="&amp;AE$1,'UX + Dev'!$AB$1:$DN$1,"&lt;="&amp;EOMONTH(AE$1,0),'UX + Dev'!$AB78:$DN78,"&lt;&gt;"))</f>
      </c>
      <c r="AF78">
        <f>IF($B78="",0,COUNTIFS('UX + Dev'!$AB$1:$DN$1,"&gt;="&amp;AF$1,'UX + Dev'!$AB$1:$DN$1,"&lt;="&amp;EOMONTH(AF$1,0),'UX + Dev'!$AB78:$DN78,"&lt;&gt;"))</f>
      </c>
      <c r="AG78">
        <f>IF($B78="",0,COUNTIFS('UX + Dev'!$AB$1:$DN$1,"&gt;="&amp;AG$1,'UX + Dev'!$AB$1:$DN$1,"&lt;="&amp;EOMONTH(AG$1,0),'UX + Dev'!$AB78:$DN78,"&lt;&gt;"))</f>
      </c>
      <c r="AH78">
        <f>IF($B78="",0,COUNTIFS('UX + Dev'!$AB$1:$DN$1,"&gt;="&amp;AH$1,'UX + Dev'!$AB$1:$DN$1,"&lt;="&amp;EOMONTH(AH$1,0),'UX + Dev'!$AB78:$DN78,"&lt;&gt;"))</f>
      </c>
      <c r="AI78">
        <f>IF($B78="",0,COUNTIFS('UX + Dev'!$AB$1:$DN$1,"&gt;="&amp;AI$1,'UX + Dev'!$AB$1:$DN$1,"&lt;="&amp;EOMONTH(AI$1,0),'UX + Dev'!$AB78:$DN78,"&lt;&gt;"))</f>
      </c>
      <c r="AJ78">
        <f>IF($B78="",0,COUNTIFS('UX + Dev'!$AB$1:$DN$1,"&gt;="&amp;AJ$1,'UX + Dev'!$AB$1:$DN$1,"&lt;="&amp;EOMONTH(AJ$1,0),'UX + Dev'!$AB78:$DN78,"&lt;&gt;"))</f>
      </c>
      <c r="AK78">
        <f>IF($B78="",0,COUNTIFS('UX + Dev'!$AB$1:$DN$1,"&gt;="&amp;AK$1,'UX + Dev'!$AB$1:$DN$1,"&lt;="&amp;EOMONTH(AK$1,0),'UX + Dev'!$AB78:$DN78,"&lt;&gt;"))</f>
      </c>
      <c r="AL78">
        <f>IF($B78="",0,COUNTIFS('UX + Dev'!$AB$1:$DN$1,"&gt;="&amp;AL$1,'UX + Dev'!$AB$1:$DN$1,"&lt;="&amp;EOMONTH(AL$1,0),'UX + Dev'!$AB78:$DN78,"&lt;&gt;"))</f>
      </c>
      <c r="AM78">
        <f>IF($B78="",0,COUNTIFS('UX + Dev'!$AB$1:$DN$1,"&gt;="&amp;AM$1,'UX + Dev'!$AB$1:$DN$1,"&lt;="&amp;EOMONTH(AM$1,0),'UX + Dev'!$AB78:$DN78,"&lt;&gt;"))</f>
      </c>
      <c r="AN78">
        <f>IF($B78="",0,COUNTIFS('UX + Dev'!$AB$1:$DN$1,"&gt;="&amp;AN$1,'UX + Dev'!$AB$1:$DN$1,"&lt;="&amp;EOMONTH(AN$1,0),'UX + Dev'!$AB78:$DN78,"&lt;&gt;"))</f>
      </c>
      <c r="AO78">
        <f>IF($B78="",0,COUNTIFS('UX + Dev'!$AB$1:$DN$1,"&gt;="&amp;AO$1,'UX + Dev'!$AB$1:$DN$1,"&lt;="&amp;EOMONTH(AO$1,0),'UX + Dev'!$AB78:$DN78,"&lt;&gt;"))</f>
      </c>
      <c r="AP78">
        <f>IF($B78="",0,COUNTIFS('UX + Dev'!$AB$1:$DN$1,"&gt;="&amp;AP$1,'UX + Dev'!$AB$1:$DN$1,"&lt;="&amp;EOMONTH(AP$1,0),'UX + Dev'!$AB78:$DN78,"&lt;&gt;"))</f>
      </c>
      <c r="AQ78">
        <f>IF($B78="",0,COUNTIFS('UX + Dev'!$AB$1:$DN$1,"&gt;="&amp;AQ$1,'UX + Dev'!$AB$1:$DN$1,"&lt;="&amp;EOMONTH(AQ$1,0),'UX + Dev'!$AB78:$DN78,"&lt;&gt;"))</f>
      </c>
      <c r="AR78">
        <f>IF($B78="",0,COUNTIFS('UX + Dev'!$AB$1:$DN$1,"&gt;="&amp;AR$1,'UX + Dev'!$AB$1:$DN$1,"&lt;="&amp;EOMONTH(AR$1,0),'UX + Dev'!$AB78:$DN78,"&lt;&gt;"))</f>
      </c>
      <c r="AS78">
        <f>IF($B78="",0,COUNTIFS('UX + Dev'!$AB$1:$DN$1,"&gt;="&amp;AS$1,'UX + Dev'!$AB$1:$DN$1,"&lt;="&amp;EOMONTH(AS$1,0),'UX + Dev'!$AB78:$DN78,"&lt;&gt;"))</f>
      </c>
      <c r="AT78">
        <f>IF($B78="",0,COUNTIFS('UX + Dev'!$AB$1:$DN$1,"&gt;="&amp;AT$1,'UX + Dev'!$AB$1:$DN$1,"&lt;="&amp;EOMONTH(AT$1,0),'UX + Dev'!$AB78:$DN78,"&lt;&gt;"))</f>
      </c>
      <c r="AU78">
        <f>IF($B78="",0,COUNTIFS('UX + Dev'!$AB$1:$DN$1,"&gt;="&amp;AU$1,'UX + Dev'!$AB$1:$DN$1,"&lt;="&amp;EOMONTH(AU$1,0),'UX + Dev'!$AB78:$DN78,"&lt;&gt;"))</f>
      </c>
      <c r="AV78">
        <f>IF($B78="",0,COUNTIFS('UX + Dev'!$AB$1:$DN$1,"&gt;="&amp;AV$1,'UX + Dev'!$AB$1:$DN$1,"&lt;="&amp;EOMONTH(AV$1,0),'UX + Dev'!$AB78:$DN78,"&lt;&gt;"))</f>
      </c>
      <c r="AW78">
        <f>IF($B78="",0,COUNTIFS('UX + Dev'!$AB$1:$DN$1,"&gt;="&amp;AW$1,'UX + Dev'!$AB$1:$DN$1,"&lt;="&amp;EOMONTH(AW$1,0),'UX + Dev'!$AB78:$DN78,"&lt;&gt;"))</f>
      </c>
      <c r="AX78">
        <f>IF($B78="",0,COUNTIFS('UX + Dev'!$AB$1:$DN$1,"&gt;="&amp;AX$1,'UX + Dev'!$AB$1:$DN$1,"&lt;="&amp;EOMONTH(AX$1,0),'UX + Dev'!$AB78:$DN78,"&lt;&gt;"))</f>
      </c>
      <c r="BB78" s="308">
        <f>IF($B78="","",IF(COUNTA('UX + Dev'!U78)&gt;0,DATE(YEAR('UX + Dev'!U78),MONTH('UX + Dev'!U78),1),IF(COUNTA('UX + Dev'!V78)&gt;0,DATE(YEAR('UX + Dev'!V78),MONTH('UX + Dev'!V78),1),"")))</f>
      </c>
      <c r="BC78" s="308">
        <f>IF($B78="","",IF(COUNTA('UX + Dev'!V78)&gt;0,EOMONTH('UX + Dev'!V78,0),IF(COUNTA('UX + Dev'!U78)&gt;0,EOMONTH('UX + Dev'!U78,0),"")))</f>
      </c>
    </row>
    <row r="79">
      <c r="A79" s="305" t="n">
        <v>79</v>
      </c>
      <c r="B79" s="305">
        <f>IF(TRIM('UX + Dev'!E79)="","",TRIM('UX + Dev'!E79))</f>
      </c>
      <c r="C79" s="305">
        <f>IF($B79="","",'UX + Dev'!B79)</f>
      </c>
      <c r="D79" s="305">
        <f>IF($B79="","",IF(TRIM('UX + Dev'!C79)="","(No theme assigned)",TRIM('UX + Dev'!C79)))</f>
      </c>
      <c r="E79" s="305">
        <f>IF($B79="","",TRIM('UX + Dev'!F79))</f>
      </c>
      <c r="F79" s="305">
        <f>IF($B79="","",'UX + Dev'!G79)</f>
      </c>
      <c r="G79" s="306">
        <f t="array" ref="G79">IF($B79="","",IF($T79=0,"",IFERROR(MIN(IF('UX + Dev'!$AB79:$DN79&lt;&gt;"",'UX + Dev'!$AB$1:$DN$1)),"")))</f>
      </c>
      <c r="H79" s="306">
        <f t="array" ref="H79">IF($B79="","",IF($T79=0,"",IFERROR(MAX(IF('UX + Dev'!$AB79:$DN79&lt;&gt;"",'UX + Dev'!$AB$1:$DN$1)),"")))</f>
      </c>
      <c r="I79" s="307">
        <f>IF($R79&lt;&gt;"",$R79,IF($S79&lt;&gt;"",$S79,""))</f>
      </c>
      <c r="J79" s="307">
        <f>IF($S79&lt;&gt;"",EOMONTH($S79,0),IF($R79&lt;&gt;"",EOMONTH($R79,0),""))</f>
      </c>
      <c r="K79" s="305">
        <f>IF($B79="","",IF(COUNTA('UX + Dev'!AA79)=0,"",TRIM('UX + Dev'!AA79)))</f>
      </c>
      <c r="L79" s="305">
        <f>IF($B79="","",IFERROR(MATCH($D79,Control!$E$4:$E$30,0),99))</f>
      </c>
      <c r="M79" s="305">
        <f>IF($B79="","",IFERROR(MATCH($F79,Control!$B$4:$B$30,0),99))</f>
      </c>
      <c r="N79" s="305">
        <f>IF($V79&lt;&gt;1,"",IF('Roadmap (Auto)'!$D$3="Status, then Theme",$M79*1000000+$L79*10000+ROW(),IF('Roadmap (Auto)'!$D$3="Dev start (earliest)",IF($I79="",99999999,$I79)*10000+ROW(),IF('Roadmap (Auto)'!$D$3="UX start (earliest)",IF($G79="",99999999,$G79)*10000+ROW(),IF('Roadmap (Auto)'!$D$3="Deliverable A-Z",$W79*10000+ROW(),$L79*1000000+$M79*10000+ROW())))))</f>
      </c>
      <c r="O79" s="305">
        <f>IF($N79="","",COUNTIF($N$2:$N$151,"&lt;"&amp;$N79)+1)</f>
      </c>
      <c r="P79" s="305">
        <f>IF($B79="","",IF(COUNTA('UX + Dev'!X79)=0,"",'UX + Dev'!X79))</f>
      </c>
      <c r="Q79" s="305">
        <f>IF($B79="","",IF(COUNTA('UX + Dev'!Y79)=0,"",'UX + Dev'!Y79))</f>
      </c>
      <c r="R79" s="307">
        <f>IF($P79="","",IF(ISNUMBER($P79),DATE(YEAR($P79),MONTH($P79),1),IFERROR(DATE(IFERROR(VALUE(RIGHT(TRIM($P79),4)),YEAR(TODAY())),(SEARCH(LEFT(TRIM($P79),3),"JanFebMarAprMayJunJulAugSepOctNovDec")+2)/3,1),"")))</f>
      </c>
      <c r="S79" s="307">
        <f>IF($Q79="","",IF(ISNUMBER($Q79),DATE(YEAR($Q79),MONTH($Q79),1),IFERROR(DATE(IFERROR(VALUE(RIGHT(TRIM($Q79),4)),YEAR(TODAY())),(SEARCH(LEFT(TRIM($Q79),3),"JanFebMarAprMayJunJulAugSepOctNovDec")+2)/3,1),"")))</f>
      </c>
      <c r="T79" s="305">
        <f>IF($B79="","",COUNTA('UX + Dev'!$AB79:$DN79))</f>
      </c>
      <c r="U79" s="305">
        <f>IF($B79="","",IFERROR(MATCH($D79,Control!$E$4:$E$30,0)+3,0))</f>
      </c>
      <c r="V79" s="305">
        <f>IF($B79="","",IF(AND(OR('Roadmap (Auto)'!$A$3="",'Roadmap (Auto)'!$A$3="(All)",ISNUMBER(SEARCH('Roadmap (Auto)'!$A$3,$C79&amp;""))),OR('Roadmap (Auto)'!$B$3="",'Roadmap (Auto)'!$B$3="(All)",$D79='Roadmap (Auto)'!$B$3,$X79='Roadmap (Auto)'!$B$3),OR('Roadmap (Auto)'!$C$3="",'Roadmap (Auto)'!$C$3="(All)",$F79='Roadmap (Auto)'!$C$3)),1,0))</f>
      </c>
      <c r="W79" s="305">
        <f>IF($B79="","",COUNTIF($Y$2:$Y$151,"&lt;"&amp;$Y79)+1)</f>
      </c>
      <c r="X79" s="305">
        <f>IF($B79="","",IF(TRIM('UX + Dev'!D79)="","",TRIM('UX + Dev'!D79)))</f>
      </c>
      <c r="Y79" s="305">
        <f>IF($B79="","",SUBSTITUTE(SUBSTITUTE(SUBSTITUTE(SUBSTITUTE(SUBSTITUTE(SUBSTITUTE(SUBSTITUTE(SUBSTITUTE(SUBSTITUTE(SUBSTITUTE(SUBSTITUTE(SUBSTITUTE(SUBSTITUTE(SUBSTITUTE(SUBSTITUTE(SUBSTITUTE(SUBSTITUTE(SUBSTITUTE(SUBSTITUTE(SUBSTITUTE(SUBSTITUTE(SUBSTITUTE(SUBSTITUTE(SUBSTITUTE(SUBSTITUTE(UPPER($B79)," ",""),"-",""),":",""),"/",""),"&amp;",""),"|",""),"'",""),"’",""),"&lt;",""),"&gt;",""),",",""),"$",""),".",""),"(",""),")",""),"*",""),"?",""),"~",""),"_",""),"+",""),"#",""),";",""),"!",""),"%",""),"@",""))</f>
      </c>
      <c r="AA79">
        <f>IF($B79="",0,COUNTIFS('UX + Dev'!$AB$1:$DN$1,"&gt;="&amp;AA$1,'UX + Dev'!$AB$1:$DN$1,"&lt;="&amp;EOMONTH(AA$1,0),'UX + Dev'!$AB79:$DN79,"&lt;&gt;"))</f>
      </c>
      <c r="AB79">
        <f>IF($B79="",0,COUNTIFS('UX + Dev'!$AB$1:$DN$1,"&gt;="&amp;AB$1,'UX + Dev'!$AB$1:$DN$1,"&lt;="&amp;EOMONTH(AB$1,0),'UX + Dev'!$AB79:$DN79,"&lt;&gt;"))</f>
      </c>
      <c r="AC79">
        <f>IF($B79="",0,COUNTIFS('UX + Dev'!$AB$1:$DN$1,"&gt;="&amp;AC$1,'UX + Dev'!$AB$1:$DN$1,"&lt;="&amp;EOMONTH(AC$1,0),'UX + Dev'!$AB79:$DN79,"&lt;&gt;"))</f>
      </c>
      <c r="AD79">
        <f>IF($B79="",0,COUNTIFS('UX + Dev'!$AB$1:$DN$1,"&gt;="&amp;AD$1,'UX + Dev'!$AB$1:$DN$1,"&lt;="&amp;EOMONTH(AD$1,0),'UX + Dev'!$AB79:$DN79,"&lt;&gt;"))</f>
      </c>
      <c r="AE79">
        <f>IF($B79="",0,COUNTIFS('UX + Dev'!$AB$1:$DN$1,"&gt;="&amp;AE$1,'UX + Dev'!$AB$1:$DN$1,"&lt;="&amp;EOMONTH(AE$1,0),'UX + Dev'!$AB79:$DN79,"&lt;&gt;"))</f>
      </c>
      <c r="AF79">
        <f>IF($B79="",0,COUNTIFS('UX + Dev'!$AB$1:$DN$1,"&gt;="&amp;AF$1,'UX + Dev'!$AB$1:$DN$1,"&lt;="&amp;EOMONTH(AF$1,0),'UX + Dev'!$AB79:$DN79,"&lt;&gt;"))</f>
      </c>
      <c r="AG79">
        <f>IF($B79="",0,COUNTIFS('UX + Dev'!$AB$1:$DN$1,"&gt;="&amp;AG$1,'UX + Dev'!$AB$1:$DN$1,"&lt;="&amp;EOMONTH(AG$1,0),'UX + Dev'!$AB79:$DN79,"&lt;&gt;"))</f>
      </c>
      <c r="AH79">
        <f>IF($B79="",0,COUNTIFS('UX + Dev'!$AB$1:$DN$1,"&gt;="&amp;AH$1,'UX + Dev'!$AB$1:$DN$1,"&lt;="&amp;EOMONTH(AH$1,0),'UX + Dev'!$AB79:$DN79,"&lt;&gt;"))</f>
      </c>
      <c r="AI79">
        <f>IF($B79="",0,COUNTIFS('UX + Dev'!$AB$1:$DN$1,"&gt;="&amp;AI$1,'UX + Dev'!$AB$1:$DN$1,"&lt;="&amp;EOMONTH(AI$1,0),'UX + Dev'!$AB79:$DN79,"&lt;&gt;"))</f>
      </c>
      <c r="AJ79">
        <f>IF($B79="",0,COUNTIFS('UX + Dev'!$AB$1:$DN$1,"&gt;="&amp;AJ$1,'UX + Dev'!$AB$1:$DN$1,"&lt;="&amp;EOMONTH(AJ$1,0),'UX + Dev'!$AB79:$DN79,"&lt;&gt;"))</f>
      </c>
      <c r="AK79">
        <f>IF($B79="",0,COUNTIFS('UX + Dev'!$AB$1:$DN$1,"&gt;="&amp;AK$1,'UX + Dev'!$AB$1:$DN$1,"&lt;="&amp;EOMONTH(AK$1,0),'UX + Dev'!$AB79:$DN79,"&lt;&gt;"))</f>
      </c>
      <c r="AL79">
        <f>IF($B79="",0,COUNTIFS('UX + Dev'!$AB$1:$DN$1,"&gt;="&amp;AL$1,'UX + Dev'!$AB$1:$DN$1,"&lt;="&amp;EOMONTH(AL$1,0),'UX + Dev'!$AB79:$DN79,"&lt;&gt;"))</f>
      </c>
      <c r="AM79">
        <f>IF($B79="",0,COUNTIFS('UX + Dev'!$AB$1:$DN$1,"&gt;="&amp;AM$1,'UX + Dev'!$AB$1:$DN$1,"&lt;="&amp;EOMONTH(AM$1,0),'UX + Dev'!$AB79:$DN79,"&lt;&gt;"))</f>
      </c>
      <c r="AN79">
        <f>IF($B79="",0,COUNTIFS('UX + Dev'!$AB$1:$DN$1,"&gt;="&amp;AN$1,'UX + Dev'!$AB$1:$DN$1,"&lt;="&amp;EOMONTH(AN$1,0),'UX + Dev'!$AB79:$DN79,"&lt;&gt;"))</f>
      </c>
      <c r="AO79">
        <f>IF($B79="",0,COUNTIFS('UX + Dev'!$AB$1:$DN$1,"&gt;="&amp;AO$1,'UX + Dev'!$AB$1:$DN$1,"&lt;="&amp;EOMONTH(AO$1,0),'UX + Dev'!$AB79:$DN79,"&lt;&gt;"))</f>
      </c>
      <c r="AP79">
        <f>IF($B79="",0,COUNTIFS('UX + Dev'!$AB$1:$DN$1,"&gt;="&amp;AP$1,'UX + Dev'!$AB$1:$DN$1,"&lt;="&amp;EOMONTH(AP$1,0),'UX + Dev'!$AB79:$DN79,"&lt;&gt;"))</f>
      </c>
      <c r="AQ79">
        <f>IF($B79="",0,COUNTIFS('UX + Dev'!$AB$1:$DN$1,"&gt;="&amp;AQ$1,'UX + Dev'!$AB$1:$DN$1,"&lt;="&amp;EOMONTH(AQ$1,0),'UX + Dev'!$AB79:$DN79,"&lt;&gt;"))</f>
      </c>
      <c r="AR79">
        <f>IF($B79="",0,COUNTIFS('UX + Dev'!$AB$1:$DN$1,"&gt;="&amp;AR$1,'UX + Dev'!$AB$1:$DN$1,"&lt;="&amp;EOMONTH(AR$1,0),'UX + Dev'!$AB79:$DN79,"&lt;&gt;"))</f>
      </c>
      <c r="AS79">
        <f>IF($B79="",0,COUNTIFS('UX + Dev'!$AB$1:$DN$1,"&gt;="&amp;AS$1,'UX + Dev'!$AB$1:$DN$1,"&lt;="&amp;EOMONTH(AS$1,0),'UX + Dev'!$AB79:$DN79,"&lt;&gt;"))</f>
      </c>
      <c r="AT79">
        <f>IF($B79="",0,COUNTIFS('UX + Dev'!$AB$1:$DN$1,"&gt;="&amp;AT$1,'UX + Dev'!$AB$1:$DN$1,"&lt;="&amp;EOMONTH(AT$1,0),'UX + Dev'!$AB79:$DN79,"&lt;&gt;"))</f>
      </c>
      <c r="AU79">
        <f>IF($B79="",0,COUNTIFS('UX + Dev'!$AB$1:$DN$1,"&gt;="&amp;AU$1,'UX + Dev'!$AB$1:$DN$1,"&lt;="&amp;EOMONTH(AU$1,0),'UX + Dev'!$AB79:$DN79,"&lt;&gt;"))</f>
      </c>
      <c r="AV79">
        <f>IF($B79="",0,COUNTIFS('UX + Dev'!$AB$1:$DN$1,"&gt;="&amp;AV$1,'UX + Dev'!$AB$1:$DN$1,"&lt;="&amp;EOMONTH(AV$1,0),'UX + Dev'!$AB79:$DN79,"&lt;&gt;"))</f>
      </c>
      <c r="AW79">
        <f>IF($B79="",0,COUNTIFS('UX + Dev'!$AB$1:$DN$1,"&gt;="&amp;AW$1,'UX + Dev'!$AB$1:$DN$1,"&lt;="&amp;EOMONTH(AW$1,0),'UX + Dev'!$AB79:$DN79,"&lt;&gt;"))</f>
      </c>
      <c r="AX79">
        <f>IF($B79="",0,COUNTIFS('UX + Dev'!$AB$1:$DN$1,"&gt;="&amp;AX$1,'UX + Dev'!$AB$1:$DN$1,"&lt;="&amp;EOMONTH(AX$1,0),'UX + Dev'!$AB79:$DN79,"&lt;&gt;"))</f>
      </c>
      <c r="BB79" s="308">
        <f>IF($B79="","",IF(COUNTA('UX + Dev'!U79)&gt;0,DATE(YEAR('UX + Dev'!U79),MONTH('UX + Dev'!U79),1),IF(COUNTA('UX + Dev'!V79)&gt;0,DATE(YEAR('UX + Dev'!V79),MONTH('UX + Dev'!V79),1),"")))</f>
      </c>
      <c r="BC79" s="308">
        <f>IF($B79="","",IF(COUNTA('UX + Dev'!V79)&gt;0,EOMONTH('UX + Dev'!V79,0),IF(COUNTA('UX + Dev'!U79)&gt;0,EOMONTH('UX + Dev'!U79,0),"")))</f>
      </c>
    </row>
    <row r="80">
      <c r="A80" s="305" t="n">
        <v>80</v>
      </c>
      <c r="B80" s="305">
        <f>IF(TRIM('UX + Dev'!E80)="","",TRIM('UX + Dev'!E80))</f>
      </c>
      <c r="C80" s="305">
        <f>IF($B80="","",'UX + Dev'!B80)</f>
      </c>
      <c r="D80" s="305">
        <f>IF($B80="","",IF(TRIM('UX + Dev'!C80)="","(No theme assigned)",TRIM('UX + Dev'!C80)))</f>
      </c>
      <c r="E80" s="305">
        <f>IF($B80="","",TRIM('UX + Dev'!F80))</f>
      </c>
      <c r="F80" s="305">
        <f>IF($B80="","",'UX + Dev'!G80)</f>
      </c>
      <c r="G80" s="306">
        <f t="array" ref="G80">IF($B80="","",IF($T80=0,"",IFERROR(MIN(IF('UX + Dev'!$AB80:$DN80&lt;&gt;"",'UX + Dev'!$AB$1:$DN$1)),"")))</f>
      </c>
      <c r="H80" s="306">
        <f t="array" ref="H80">IF($B80="","",IF($T80=0,"",IFERROR(MAX(IF('UX + Dev'!$AB80:$DN80&lt;&gt;"",'UX + Dev'!$AB$1:$DN$1)),"")))</f>
      </c>
      <c r="I80" s="307">
        <f>IF($R80&lt;&gt;"",$R80,IF($S80&lt;&gt;"",$S80,""))</f>
      </c>
      <c r="J80" s="307">
        <f>IF($S80&lt;&gt;"",EOMONTH($S80,0),IF($R80&lt;&gt;"",EOMONTH($R80,0),""))</f>
      </c>
      <c r="K80" s="305">
        <f>IF($B80="","",IF(COUNTA('UX + Dev'!AA80)=0,"",TRIM('UX + Dev'!AA80)))</f>
      </c>
      <c r="L80" s="305">
        <f>IF($B80="","",IFERROR(MATCH($D80,Control!$E$4:$E$30,0),99))</f>
      </c>
      <c r="M80" s="305">
        <f>IF($B80="","",IFERROR(MATCH($F80,Control!$B$4:$B$30,0),99))</f>
      </c>
      <c r="N80" s="305">
        <f>IF($V80&lt;&gt;1,"",IF('Roadmap (Auto)'!$D$3="Status, then Theme",$M80*1000000+$L80*10000+ROW(),IF('Roadmap (Auto)'!$D$3="Dev start (earliest)",IF($I80="",99999999,$I80)*10000+ROW(),IF('Roadmap (Auto)'!$D$3="UX start (earliest)",IF($G80="",99999999,$G80)*10000+ROW(),IF('Roadmap (Auto)'!$D$3="Deliverable A-Z",$W80*10000+ROW(),$L80*1000000+$M80*10000+ROW())))))</f>
      </c>
      <c r="O80" s="305">
        <f>IF($N80="","",COUNTIF($N$2:$N$151,"&lt;"&amp;$N80)+1)</f>
      </c>
      <c r="P80" s="305">
        <f>IF($B80="","",IF(COUNTA('UX + Dev'!X80)=0,"",'UX + Dev'!X80))</f>
      </c>
      <c r="Q80" s="305">
        <f>IF($B80="","",IF(COUNTA('UX + Dev'!Y80)=0,"",'UX + Dev'!Y80))</f>
      </c>
      <c r="R80" s="307">
        <f>IF($P80="","",IF(ISNUMBER($P80),DATE(YEAR($P80),MONTH($P80),1),IFERROR(DATE(IFERROR(VALUE(RIGHT(TRIM($P80),4)),YEAR(TODAY())),(SEARCH(LEFT(TRIM($P80),3),"JanFebMarAprMayJunJulAugSepOctNovDec")+2)/3,1),"")))</f>
      </c>
      <c r="S80" s="307">
        <f>IF($Q80="","",IF(ISNUMBER($Q80),DATE(YEAR($Q80),MONTH($Q80),1),IFERROR(DATE(IFERROR(VALUE(RIGHT(TRIM($Q80),4)),YEAR(TODAY())),(SEARCH(LEFT(TRIM($Q80),3),"JanFebMarAprMayJunJulAugSepOctNovDec")+2)/3,1),"")))</f>
      </c>
      <c r="T80" s="305">
        <f>IF($B80="","",COUNTA('UX + Dev'!$AB80:$DN80))</f>
      </c>
      <c r="U80" s="305">
        <f>IF($B80="","",IFERROR(MATCH($D80,Control!$E$4:$E$30,0)+3,0))</f>
      </c>
      <c r="V80" s="305">
        <f>IF($B80="","",IF(AND(OR('Roadmap (Auto)'!$A$3="",'Roadmap (Auto)'!$A$3="(All)",ISNUMBER(SEARCH('Roadmap (Auto)'!$A$3,$C80&amp;""))),OR('Roadmap (Auto)'!$B$3="",'Roadmap (Auto)'!$B$3="(All)",$D80='Roadmap (Auto)'!$B$3,$X80='Roadmap (Auto)'!$B$3),OR('Roadmap (Auto)'!$C$3="",'Roadmap (Auto)'!$C$3="(All)",$F80='Roadmap (Auto)'!$C$3)),1,0))</f>
      </c>
      <c r="W80" s="305">
        <f>IF($B80="","",COUNTIF($Y$2:$Y$151,"&lt;"&amp;$Y80)+1)</f>
      </c>
      <c r="X80" s="305">
        <f>IF($B80="","",IF(TRIM('UX + Dev'!D80)="","",TRIM('UX + Dev'!D80)))</f>
      </c>
      <c r="Y80" s="305">
        <f>IF($B80="","",SUBSTITUTE(SUBSTITUTE(SUBSTITUTE(SUBSTITUTE(SUBSTITUTE(SUBSTITUTE(SUBSTITUTE(SUBSTITUTE(SUBSTITUTE(SUBSTITUTE(SUBSTITUTE(SUBSTITUTE(SUBSTITUTE(SUBSTITUTE(SUBSTITUTE(SUBSTITUTE(SUBSTITUTE(SUBSTITUTE(SUBSTITUTE(SUBSTITUTE(SUBSTITUTE(SUBSTITUTE(SUBSTITUTE(SUBSTITUTE(SUBSTITUTE(UPPER($B80)," ",""),"-",""),":",""),"/",""),"&amp;",""),"|",""),"'",""),"’",""),"&lt;",""),"&gt;",""),",",""),"$",""),".",""),"(",""),")",""),"*",""),"?",""),"~",""),"_",""),"+",""),"#",""),";",""),"!",""),"%",""),"@",""))</f>
      </c>
      <c r="AA80">
        <f>IF($B80="",0,COUNTIFS('UX + Dev'!$AB$1:$DN$1,"&gt;="&amp;AA$1,'UX + Dev'!$AB$1:$DN$1,"&lt;="&amp;EOMONTH(AA$1,0),'UX + Dev'!$AB80:$DN80,"&lt;&gt;"))</f>
      </c>
      <c r="AB80">
        <f>IF($B80="",0,COUNTIFS('UX + Dev'!$AB$1:$DN$1,"&gt;="&amp;AB$1,'UX + Dev'!$AB$1:$DN$1,"&lt;="&amp;EOMONTH(AB$1,0),'UX + Dev'!$AB80:$DN80,"&lt;&gt;"))</f>
      </c>
      <c r="AC80">
        <f>IF($B80="",0,COUNTIFS('UX + Dev'!$AB$1:$DN$1,"&gt;="&amp;AC$1,'UX + Dev'!$AB$1:$DN$1,"&lt;="&amp;EOMONTH(AC$1,0),'UX + Dev'!$AB80:$DN80,"&lt;&gt;"))</f>
      </c>
      <c r="AD80">
        <f>IF($B80="",0,COUNTIFS('UX + Dev'!$AB$1:$DN$1,"&gt;="&amp;AD$1,'UX + Dev'!$AB$1:$DN$1,"&lt;="&amp;EOMONTH(AD$1,0),'UX + Dev'!$AB80:$DN80,"&lt;&gt;"))</f>
      </c>
      <c r="AE80">
        <f>IF($B80="",0,COUNTIFS('UX + Dev'!$AB$1:$DN$1,"&gt;="&amp;AE$1,'UX + Dev'!$AB$1:$DN$1,"&lt;="&amp;EOMONTH(AE$1,0),'UX + Dev'!$AB80:$DN80,"&lt;&gt;"))</f>
      </c>
      <c r="AF80">
        <f>IF($B80="",0,COUNTIFS('UX + Dev'!$AB$1:$DN$1,"&gt;="&amp;AF$1,'UX + Dev'!$AB$1:$DN$1,"&lt;="&amp;EOMONTH(AF$1,0),'UX + Dev'!$AB80:$DN80,"&lt;&gt;"))</f>
      </c>
      <c r="AG80">
        <f>IF($B80="",0,COUNTIFS('UX + Dev'!$AB$1:$DN$1,"&gt;="&amp;AG$1,'UX + Dev'!$AB$1:$DN$1,"&lt;="&amp;EOMONTH(AG$1,0),'UX + Dev'!$AB80:$DN80,"&lt;&gt;"))</f>
      </c>
      <c r="AH80">
        <f>IF($B80="",0,COUNTIFS('UX + Dev'!$AB$1:$DN$1,"&gt;="&amp;AH$1,'UX + Dev'!$AB$1:$DN$1,"&lt;="&amp;EOMONTH(AH$1,0),'UX + Dev'!$AB80:$DN80,"&lt;&gt;"))</f>
      </c>
      <c r="AI80">
        <f>IF($B80="",0,COUNTIFS('UX + Dev'!$AB$1:$DN$1,"&gt;="&amp;AI$1,'UX + Dev'!$AB$1:$DN$1,"&lt;="&amp;EOMONTH(AI$1,0),'UX + Dev'!$AB80:$DN80,"&lt;&gt;"))</f>
      </c>
      <c r="AJ80">
        <f>IF($B80="",0,COUNTIFS('UX + Dev'!$AB$1:$DN$1,"&gt;="&amp;AJ$1,'UX + Dev'!$AB$1:$DN$1,"&lt;="&amp;EOMONTH(AJ$1,0),'UX + Dev'!$AB80:$DN80,"&lt;&gt;"))</f>
      </c>
      <c r="AK80">
        <f>IF($B80="",0,COUNTIFS('UX + Dev'!$AB$1:$DN$1,"&gt;="&amp;AK$1,'UX + Dev'!$AB$1:$DN$1,"&lt;="&amp;EOMONTH(AK$1,0),'UX + Dev'!$AB80:$DN80,"&lt;&gt;"))</f>
      </c>
      <c r="AL80">
        <f>IF($B80="",0,COUNTIFS('UX + Dev'!$AB$1:$DN$1,"&gt;="&amp;AL$1,'UX + Dev'!$AB$1:$DN$1,"&lt;="&amp;EOMONTH(AL$1,0),'UX + Dev'!$AB80:$DN80,"&lt;&gt;"))</f>
      </c>
      <c r="AM80">
        <f>IF($B80="",0,COUNTIFS('UX + Dev'!$AB$1:$DN$1,"&gt;="&amp;AM$1,'UX + Dev'!$AB$1:$DN$1,"&lt;="&amp;EOMONTH(AM$1,0),'UX + Dev'!$AB80:$DN80,"&lt;&gt;"))</f>
      </c>
      <c r="AN80">
        <f>IF($B80="",0,COUNTIFS('UX + Dev'!$AB$1:$DN$1,"&gt;="&amp;AN$1,'UX + Dev'!$AB$1:$DN$1,"&lt;="&amp;EOMONTH(AN$1,0),'UX + Dev'!$AB80:$DN80,"&lt;&gt;"))</f>
      </c>
      <c r="AO80">
        <f>IF($B80="",0,COUNTIFS('UX + Dev'!$AB$1:$DN$1,"&gt;="&amp;AO$1,'UX + Dev'!$AB$1:$DN$1,"&lt;="&amp;EOMONTH(AO$1,0),'UX + Dev'!$AB80:$DN80,"&lt;&gt;"))</f>
      </c>
      <c r="AP80">
        <f>IF($B80="",0,COUNTIFS('UX + Dev'!$AB$1:$DN$1,"&gt;="&amp;AP$1,'UX + Dev'!$AB$1:$DN$1,"&lt;="&amp;EOMONTH(AP$1,0),'UX + Dev'!$AB80:$DN80,"&lt;&gt;"))</f>
      </c>
      <c r="AQ80">
        <f>IF($B80="",0,COUNTIFS('UX + Dev'!$AB$1:$DN$1,"&gt;="&amp;AQ$1,'UX + Dev'!$AB$1:$DN$1,"&lt;="&amp;EOMONTH(AQ$1,0),'UX + Dev'!$AB80:$DN80,"&lt;&gt;"))</f>
      </c>
      <c r="AR80">
        <f>IF($B80="",0,COUNTIFS('UX + Dev'!$AB$1:$DN$1,"&gt;="&amp;AR$1,'UX + Dev'!$AB$1:$DN$1,"&lt;="&amp;EOMONTH(AR$1,0),'UX + Dev'!$AB80:$DN80,"&lt;&gt;"))</f>
      </c>
      <c r="AS80">
        <f>IF($B80="",0,COUNTIFS('UX + Dev'!$AB$1:$DN$1,"&gt;="&amp;AS$1,'UX + Dev'!$AB$1:$DN$1,"&lt;="&amp;EOMONTH(AS$1,0),'UX + Dev'!$AB80:$DN80,"&lt;&gt;"))</f>
      </c>
      <c r="AT80">
        <f>IF($B80="",0,COUNTIFS('UX + Dev'!$AB$1:$DN$1,"&gt;="&amp;AT$1,'UX + Dev'!$AB$1:$DN$1,"&lt;="&amp;EOMONTH(AT$1,0),'UX + Dev'!$AB80:$DN80,"&lt;&gt;"))</f>
      </c>
      <c r="AU80">
        <f>IF($B80="",0,COUNTIFS('UX + Dev'!$AB$1:$DN$1,"&gt;="&amp;AU$1,'UX + Dev'!$AB$1:$DN$1,"&lt;="&amp;EOMONTH(AU$1,0),'UX + Dev'!$AB80:$DN80,"&lt;&gt;"))</f>
      </c>
      <c r="AV80">
        <f>IF($B80="",0,COUNTIFS('UX + Dev'!$AB$1:$DN$1,"&gt;="&amp;AV$1,'UX + Dev'!$AB$1:$DN$1,"&lt;="&amp;EOMONTH(AV$1,0),'UX + Dev'!$AB80:$DN80,"&lt;&gt;"))</f>
      </c>
      <c r="AW80">
        <f>IF($B80="",0,COUNTIFS('UX + Dev'!$AB$1:$DN$1,"&gt;="&amp;AW$1,'UX + Dev'!$AB$1:$DN$1,"&lt;="&amp;EOMONTH(AW$1,0),'UX + Dev'!$AB80:$DN80,"&lt;&gt;"))</f>
      </c>
      <c r="AX80">
        <f>IF($B80="",0,COUNTIFS('UX + Dev'!$AB$1:$DN$1,"&gt;="&amp;AX$1,'UX + Dev'!$AB$1:$DN$1,"&lt;="&amp;EOMONTH(AX$1,0),'UX + Dev'!$AB80:$DN80,"&lt;&gt;"))</f>
      </c>
      <c r="BB80" s="308">
        <f>IF($B80="","",IF(COUNTA('UX + Dev'!U80)&gt;0,DATE(YEAR('UX + Dev'!U80),MONTH('UX + Dev'!U80),1),IF(COUNTA('UX + Dev'!V80)&gt;0,DATE(YEAR('UX + Dev'!V80),MONTH('UX + Dev'!V80),1),"")))</f>
      </c>
      <c r="BC80" s="308">
        <f>IF($B80="","",IF(COUNTA('UX + Dev'!V80)&gt;0,EOMONTH('UX + Dev'!V80,0),IF(COUNTA('UX + Dev'!U80)&gt;0,EOMONTH('UX + Dev'!U80,0),"")))</f>
      </c>
    </row>
    <row r="81">
      <c r="A81" s="305" t="n">
        <v>81</v>
      </c>
      <c r="B81" s="305">
        <f>IF(TRIM('UX + Dev'!E81)="","",TRIM('UX + Dev'!E81))</f>
      </c>
      <c r="C81" s="305">
        <f>IF($B81="","",'UX + Dev'!B81)</f>
      </c>
      <c r="D81" s="305">
        <f>IF($B81="","",IF(TRIM('UX + Dev'!C81)="","(No theme assigned)",TRIM('UX + Dev'!C81)))</f>
      </c>
      <c r="E81" s="305">
        <f>IF($B81="","",TRIM('UX + Dev'!F81))</f>
      </c>
      <c r="F81" s="305">
        <f>IF($B81="","",'UX + Dev'!G81)</f>
      </c>
      <c r="G81" s="306">
        <f t="array" ref="G81">IF($B81="","",IF($T81=0,"",IFERROR(MIN(IF('UX + Dev'!$AB81:$DN81&lt;&gt;"",'UX + Dev'!$AB$1:$DN$1)),"")))</f>
      </c>
      <c r="H81" s="306">
        <f t="array" ref="H81">IF($B81="","",IF($T81=0,"",IFERROR(MAX(IF('UX + Dev'!$AB81:$DN81&lt;&gt;"",'UX + Dev'!$AB$1:$DN$1)),"")))</f>
      </c>
      <c r="I81" s="307">
        <f>IF($R81&lt;&gt;"",$R81,IF($S81&lt;&gt;"",$S81,""))</f>
      </c>
      <c r="J81" s="307">
        <f>IF($S81&lt;&gt;"",EOMONTH($S81,0),IF($R81&lt;&gt;"",EOMONTH($R81,0),""))</f>
      </c>
      <c r="K81" s="305">
        <f>IF($B81="","",IF(COUNTA('UX + Dev'!AA81)=0,"",TRIM('UX + Dev'!AA81)))</f>
      </c>
      <c r="L81" s="305">
        <f>IF($B81="","",IFERROR(MATCH($D81,Control!$E$4:$E$30,0),99))</f>
      </c>
      <c r="M81" s="305">
        <f>IF($B81="","",IFERROR(MATCH($F81,Control!$B$4:$B$30,0),99))</f>
      </c>
      <c r="N81" s="305">
        <f>IF($V81&lt;&gt;1,"",IF('Roadmap (Auto)'!$D$3="Status, then Theme",$M81*1000000+$L81*10000+ROW(),IF('Roadmap (Auto)'!$D$3="Dev start (earliest)",IF($I81="",99999999,$I81)*10000+ROW(),IF('Roadmap (Auto)'!$D$3="UX start (earliest)",IF($G81="",99999999,$G81)*10000+ROW(),IF('Roadmap (Auto)'!$D$3="Deliverable A-Z",$W81*10000+ROW(),$L81*1000000+$M81*10000+ROW())))))</f>
      </c>
      <c r="O81" s="305">
        <f>IF($N81="","",COUNTIF($N$2:$N$151,"&lt;"&amp;$N81)+1)</f>
      </c>
      <c r="P81" s="305">
        <f>IF($B81="","",IF(COUNTA('UX + Dev'!X81)=0,"",'UX + Dev'!X81))</f>
      </c>
      <c r="Q81" s="305">
        <f>IF($B81="","",IF(COUNTA('UX + Dev'!Y81)=0,"",'UX + Dev'!Y81))</f>
      </c>
      <c r="R81" s="307">
        <f>IF($P81="","",IF(ISNUMBER($P81),DATE(YEAR($P81),MONTH($P81),1),IFERROR(DATE(IFERROR(VALUE(RIGHT(TRIM($P81),4)),YEAR(TODAY())),(SEARCH(LEFT(TRIM($P81),3),"JanFebMarAprMayJunJulAugSepOctNovDec")+2)/3,1),"")))</f>
      </c>
      <c r="S81" s="307">
        <f>IF($Q81="","",IF(ISNUMBER($Q81),DATE(YEAR($Q81),MONTH($Q81),1),IFERROR(DATE(IFERROR(VALUE(RIGHT(TRIM($Q81),4)),YEAR(TODAY())),(SEARCH(LEFT(TRIM($Q81),3),"JanFebMarAprMayJunJulAugSepOctNovDec")+2)/3,1),"")))</f>
      </c>
      <c r="T81" s="305">
        <f>IF($B81="","",COUNTA('UX + Dev'!$AB81:$DN81))</f>
      </c>
      <c r="U81" s="305">
        <f>IF($B81="","",IFERROR(MATCH($D81,Control!$E$4:$E$30,0)+3,0))</f>
      </c>
      <c r="V81" s="305">
        <f>IF($B81="","",IF(AND(OR('Roadmap (Auto)'!$A$3="",'Roadmap (Auto)'!$A$3="(All)",ISNUMBER(SEARCH('Roadmap (Auto)'!$A$3,$C81&amp;""))),OR('Roadmap (Auto)'!$B$3="",'Roadmap (Auto)'!$B$3="(All)",$D81='Roadmap (Auto)'!$B$3,$X81='Roadmap (Auto)'!$B$3),OR('Roadmap (Auto)'!$C$3="",'Roadmap (Auto)'!$C$3="(All)",$F81='Roadmap (Auto)'!$C$3)),1,0))</f>
      </c>
      <c r="W81" s="305">
        <f>IF($B81="","",COUNTIF($Y$2:$Y$151,"&lt;"&amp;$Y81)+1)</f>
      </c>
      <c r="X81" s="305">
        <f>IF($B81="","",IF(TRIM('UX + Dev'!D81)="","",TRIM('UX + Dev'!D81)))</f>
      </c>
      <c r="Y81" s="305">
        <f>IF($B81="","",SUBSTITUTE(SUBSTITUTE(SUBSTITUTE(SUBSTITUTE(SUBSTITUTE(SUBSTITUTE(SUBSTITUTE(SUBSTITUTE(SUBSTITUTE(SUBSTITUTE(SUBSTITUTE(SUBSTITUTE(SUBSTITUTE(SUBSTITUTE(SUBSTITUTE(SUBSTITUTE(SUBSTITUTE(SUBSTITUTE(SUBSTITUTE(SUBSTITUTE(SUBSTITUTE(SUBSTITUTE(SUBSTITUTE(SUBSTITUTE(SUBSTITUTE(UPPER($B81)," ",""),"-",""),":",""),"/",""),"&amp;",""),"|",""),"'",""),"’",""),"&lt;",""),"&gt;",""),",",""),"$",""),".",""),"(",""),")",""),"*",""),"?",""),"~",""),"_",""),"+",""),"#",""),";",""),"!",""),"%",""),"@",""))</f>
      </c>
      <c r="AA81">
        <f>IF($B81="",0,COUNTIFS('UX + Dev'!$AB$1:$DN$1,"&gt;="&amp;AA$1,'UX + Dev'!$AB$1:$DN$1,"&lt;="&amp;EOMONTH(AA$1,0),'UX + Dev'!$AB81:$DN81,"&lt;&gt;"))</f>
      </c>
      <c r="AB81">
        <f>IF($B81="",0,COUNTIFS('UX + Dev'!$AB$1:$DN$1,"&gt;="&amp;AB$1,'UX + Dev'!$AB$1:$DN$1,"&lt;="&amp;EOMONTH(AB$1,0),'UX + Dev'!$AB81:$DN81,"&lt;&gt;"))</f>
      </c>
      <c r="AC81">
        <f>IF($B81="",0,COUNTIFS('UX + Dev'!$AB$1:$DN$1,"&gt;="&amp;AC$1,'UX + Dev'!$AB$1:$DN$1,"&lt;="&amp;EOMONTH(AC$1,0),'UX + Dev'!$AB81:$DN81,"&lt;&gt;"))</f>
      </c>
      <c r="AD81">
        <f>IF($B81="",0,COUNTIFS('UX + Dev'!$AB$1:$DN$1,"&gt;="&amp;AD$1,'UX + Dev'!$AB$1:$DN$1,"&lt;="&amp;EOMONTH(AD$1,0),'UX + Dev'!$AB81:$DN81,"&lt;&gt;"))</f>
      </c>
      <c r="AE81">
        <f>IF($B81="",0,COUNTIFS('UX + Dev'!$AB$1:$DN$1,"&gt;="&amp;AE$1,'UX + Dev'!$AB$1:$DN$1,"&lt;="&amp;EOMONTH(AE$1,0),'UX + Dev'!$AB81:$DN81,"&lt;&gt;"))</f>
      </c>
      <c r="AF81">
        <f>IF($B81="",0,COUNTIFS('UX + Dev'!$AB$1:$DN$1,"&gt;="&amp;AF$1,'UX + Dev'!$AB$1:$DN$1,"&lt;="&amp;EOMONTH(AF$1,0),'UX + Dev'!$AB81:$DN81,"&lt;&gt;"))</f>
      </c>
      <c r="AG81">
        <f>IF($B81="",0,COUNTIFS('UX + Dev'!$AB$1:$DN$1,"&gt;="&amp;AG$1,'UX + Dev'!$AB$1:$DN$1,"&lt;="&amp;EOMONTH(AG$1,0),'UX + Dev'!$AB81:$DN81,"&lt;&gt;"))</f>
      </c>
      <c r="AH81">
        <f>IF($B81="",0,COUNTIFS('UX + Dev'!$AB$1:$DN$1,"&gt;="&amp;AH$1,'UX + Dev'!$AB$1:$DN$1,"&lt;="&amp;EOMONTH(AH$1,0),'UX + Dev'!$AB81:$DN81,"&lt;&gt;"))</f>
      </c>
      <c r="AI81">
        <f>IF($B81="",0,COUNTIFS('UX + Dev'!$AB$1:$DN$1,"&gt;="&amp;AI$1,'UX + Dev'!$AB$1:$DN$1,"&lt;="&amp;EOMONTH(AI$1,0),'UX + Dev'!$AB81:$DN81,"&lt;&gt;"))</f>
      </c>
      <c r="AJ81">
        <f>IF($B81="",0,COUNTIFS('UX + Dev'!$AB$1:$DN$1,"&gt;="&amp;AJ$1,'UX + Dev'!$AB$1:$DN$1,"&lt;="&amp;EOMONTH(AJ$1,0),'UX + Dev'!$AB81:$DN81,"&lt;&gt;"))</f>
      </c>
      <c r="AK81">
        <f>IF($B81="",0,COUNTIFS('UX + Dev'!$AB$1:$DN$1,"&gt;="&amp;AK$1,'UX + Dev'!$AB$1:$DN$1,"&lt;="&amp;EOMONTH(AK$1,0),'UX + Dev'!$AB81:$DN81,"&lt;&gt;"))</f>
      </c>
      <c r="AL81">
        <f>IF($B81="",0,COUNTIFS('UX + Dev'!$AB$1:$DN$1,"&gt;="&amp;AL$1,'UX + Dev'!$AB$1:$DN$1,"&lt;="&amp;EOMONTH(AL$1,0),'UX + Dev'!$AB81:$DN81,"&lt;&gt;"))</f>
      </c>
      <c r="AM81">
        <f>IF($B81="",0,COUNTIFS('UX + Dev'!$AB$1:$DN$1,"&gt;="&amp;AM$1,'UX + Dev'!$AB$1:$DN$1,"&lt;="&amp;EOMONTH(AM$1,0),'UX + Dev'!$AB81:$DN81,"&lt;&gt;"))</f>
      </c>
      <c r="AN81">
        <f>IF($B81="",0,COUNTIFS('UX + Dev'!$AB$1:$DN$1,"&gt;="&amp;AN$1,'UX + Dev'!$AB$1:$DN$1,"&lt;="&amp;EOMONTH(AN$1,0),'UX + Dev'!$AB81:$DN81,"&lt;&gt;"))</f>
      </c>
      <c r="AO81">
        <f>IF($B81="",0,COUNTIFS('UX + Dev'!$AB$1:$DN$1,"&gt;="&amp;AO$1,'UX + Dev'!$AB$1:$DN$1,"&lt;="&amp;EOMONTH(AO$1,0),'UX + Dev'!$AB81:$DN81,"&lt;&gt;"))</f>
      </c>
      <c r="AP81">
        <f>IF($B81="",0,COUNTIFS('UX + Dev'!$AB$1:$DN$1,"&gt;="&amp;AP$1,'UX + Dev'!$AB$1:$DN$1,"&lt;="&amp;EOMONTH(AP$1,0),'UX + Dev'!$AB81:$DN81,"&lt;&gt;"))</f>
      </c>
      <c r="AQ81">
        <f>IF($B81="",0,COUNTIFS('UX + Dev'!$AB$1:$DN$1,"&gt;="&amp;AQ$1,'UX + Dev'!$AB$1:$DN$1,"&lt;="&amp;EOMONTH(AQ$1,0),'UX + Dev'!$AB81:$DN81,"&lt;&gt;"))</f>
      </c>
      <c r="AR81">
        <f>IF($B81="",0,COUNTIFS('UX + Dev'!$AB$1:$DN$1,"&gt;="&amp;AR$1,'UX + Dev'!$AB$1:$DN$1,"&lt;="&amp;EOMONTH(AR$1,0),'UX + Dev'!$AB81:$DN81,"&lt;&gt;"))</f>
      </c>
      <c r="AS81">
        <f>IF($B81="",0,COUNTIFS('UX + Dev'!$AB$1:$DN$1,"&gt;="&amp;AS$1,'UX + Dev'!$AB$1:$DN$1,"&lt;="&amp;EOMONTH(AS$1,0),'UX + Dev'!$AB81:$DN81,"&lt;&gt;"))</f>
      </c>
      <c r="AT81">
        <f>IF($B81="",0,COUNTIFS('UX + Dev'!$AB$1:$DN$1,"&gt;="&amp;AT$1,'UX + Dev'!$AB$1:$DN$1,"&lt;="&amp;EOMONTH(AT$1,0),'UX + Dev'!$AB81:$DN81,"&lt;&gt;"))</f>
      </c>
      <c r="AU81">
        <f>IF($B81="",0,COUNTIFS('UX + Dev'!$AB$1:$DN$1,"&gt;="&amp;AU$1,'UX + Dev'!$AB$1:$DN$1,"&lt;="&amp;EOMONTH(AU$1,0),'UX + Dev'!$AB81:$DN81,"&lt;&gt;"))</f>
      </c>
      <c r="AV81">
        <f>IF($B81="",0,COUNTIFS('UX + Dev'!$AB$1:$DN$1,"&gt;="&amp;AV$1,'UX + Dev'!$AB$1:$DN$1,"&lt;="&amp;EOMONTH(AV$1,0),'UX + Dev'!$AB81:$DN81,"&lt;&gt;"))</f>
      </c>
      <c r="AW81">
        <f>IF($B81="",0,COUNTIFS('UX + Dev'!$AB$1:$DN$1,"&gt;="&amp;AW$1,'UX + Dev'!$AB$1:$DN$1,"&lt;="&amp;EOMONTH(AW$1,0),'UX + Dev'!$AB81:$DN81,"&lt;&gt;"))</f>
      </c>
      <c r="AX81">
        <f>IF($B81="",0,COUNTIFS('UX + Dev'!$AB$1:$DN$1,"&gt;="&amp;AX$1,'UX + Dev'!$AB$1:$DN$1,"&lt;="&amp;EOMONTH(AX$1,0),'UX + Dev'!$AB81:$DN81,"&lt;&gt;"))</f>
      </c>
      <c r="BB81" s="308">
        <f>IF($B81="","",IF(COUNTA('UX + Dev'!U81)&gt;0,DATE(YEAR('UX + Dev'!U81),MONTH('UX + Dev'!U81),1),IF(COUNTA('UX + Dev'!V81)&gt;0,DATE(YEAR('UX + Dev'!V81),MONTH('UX + Dev'!V81),1),"")))</f>
      </c>
      <c r="BC81" s="308">
        <f>IF($B81="","",IF(COUNTA('UX + Dev'!V81)&gt;0,EOMONTH('UX + Dev'!V81,0),IF(COUNTA('UX + Dev'!U81)&gt;0,EOMONTH('UX + Dev'!U81,0),"")))</f>
      </c>
    </row>
    <row r="82">
      <c r="A82" s="305" t="n">
        <v>82</v>
      </c>
      <c r="B82" s="305">
        <f>IF(TRIM('UX + Dev'!E82)="","",TRIM('UX + Dev'!E82))</f>
      </c>
      <c r="C82" s="305">
        <f>IF($B82="","",'UX + Dev'!B82)</f>
      </c>
      <c r="D82" s="305">
        <f>IF($B82="","",IF(TRIM('UX + Dev'!C82)="","(No theme assigned)",TRIM('UX + Dev'!C82)))</f>
      </c>
      <c r="E82" s="305">
        <f>IF($B82="","",TRIM('UX + Dev'!F82))</f>
      </c>
      <c r="F82" s="305">
        <f>IF($B82="","",'UX + Dev'!G82)</f>
      </c>
      <c r="G82" s="306">
        <f t="array" ref="G82">IF($B82="","",IF($T82=0,"",IFERROR(MIN(IF('UX + Dev'!$AB82:$DN82&lt;&gt;"",'UX + Dev'!$AB$1:$DN$1)),"")))</f>
      </c>
      <c r="H82" s="306">
        <f t="array" ref="H82">IF($B82="","",IF($T82=0,"",IFERROR(MAX(IF('UX + Dev'!$AB82:$DN82&lt;&gt;"",'UX + Dev'!$AB$1:$DN$1)),"")))</f>
      </c>
      <c r="I82" s="307">
        <f>IF($R82&lt;&gt;"",$R82,IF($S82&lt;&gt;"",$S82,""))</f>
      </c>
      <c r="J82" s="307">
        <f>IF($S82&lt;&gt;"",EOMONTH($S82,0),IF($R82&lt;&gt;"",EOMONTH($R82,0),""))</f>
      </c>
      <c r="K82" s="305">
        <f>IF($B82="","",IF(COUNTA('UX + Dev'!AA82)=0,"",TRIM('UX + Dev'!AA82)))</f>
      </c>
      <c r="L82" s="305">
        <f>IF($B82="","",IFERROR(MATCH($D82,Control!$E$4:$E$30,0),99))</f>
      </c>
      <c r="M82" s="305">
        <f>IF($B82="","",IFERROR(MATCH($F82,Control!$B$4:$B$30,0),99))</f>
      </c>
      <c r="N82" s="305">
        <f>IF($V82&lt;&gt;1,"",IF('Roadmap (Auto)'!$D$3="Status, then Theme",$M82*1000000+$L82*10000+ROW(),IF('Roadmap (Auto)'!$D$3="Dev start (earliest)",IF($I82="",99999999,$I82)*10000+ROW(),IF('Roadmap (Auto)'!$D$3="UX start (earliest)",IF($G82="",99999999,$G82)*10000+ROW(),IF('Roadmap (Auto)'!$D$3="Deliverable A-Z",$W82*10000+ROW(),$L82*1000000+$M82*10000+ROW())))))</f>
      </c>
      <c r="O82" s="305">
        <f>IF($N82="","",COUNTIF($N$2:$N$151,"&lt;"&amp;$N82)+1)</f>
      </c>
      <c r="P82" s="305">
        <f>IF($B82="","",IF(COUNTA('UX + Dev'!X82)=0,"",'UX + Dev'!X82))</f>
      </c>
      <c r="Q82" s="305">
        <f>IF($B82="","",IF(COUNTA('UX + Dev'!Y82)=0,"",'UX + Dev'!Y82))</f>
      </c>
      <c r="R82" s="307">
        <f>IF($P82="","",IF(ISNUMBER($P82),DATE(YEAR($P82),MONTH($P82),1),IFERROR(DATE(IFERROR(VALUE(RIGHT(TRIM($P82),4)),YEAR(TODAY())),(SEARCH(LEFT(TRIM($P82),3),"JanFebMarAprMayJunJulAugSepOctNovDec")+2)/3,1),"")))</f>
      </c>
      <c r="S82" s="307">
        <f>IF($Q82="","",IF(ISNUMBER($Q82),DATE(YEAR($Q82),MONTH($Q82),1),IFERROR(DATE(IFERROR(VALUE(RIGHT(TRIM($Q82),4)),YEAR(TODAY())),(SEARCH(LEFT(TRIM($Q82),3),"JanFebMarAprMayJunJulAugSepOctNovDec")+2)/3,1),"")))</f>
      </c>
      <c r="T82" s="305">
        <f>IF($B82="","",COUNTA('UX + Dev'!$AB82:$DN82))</f>
      </c>
      <c r="U82" s="305">
        <f>IF($B82="","",IFERROR(MATCH($D82,Control!$E$4:$E$30,0)+3,0))</f>
      </c>
      <c r="V82" s="305">
        <f>IF($B82="","",IF(AND(OR('Roadmap (Auto)'!$A$3="",'Roadmap (Auto)'!$A$3="(All)",ISNUMBER(SEARCH('Roadmap (Auto)'!$A$3,$C82&amp;""))),OR('Roadmap (Auto)'!$B$3="",'Roadmap (Auto)'!$B$3="(All)",$D82='Roadmap (Auto)'!$B$3,$X82='Roadmap (Auto)'!$B$3),OR('Roadmap (Auto)'!$C$3="",'Roadmap (Auto)'!$C$3="(All)",$F82='Roadmap (Auto)'!$C$3)),1,0))</f>
      </c>
      <c r="W82" s="305">
        <f>IF($B82="","",COUNTIF($Y$2:$Y$151,"&lt;"&amp;$Y82)+1)</f>
      </c>
      <c r="X82" s="305">
        <f>IF($B82="","",IF(TRIM('UX + Dev'!D82)="","",TRIM('UX + Dev'!D82)))</f>
      </c>
      <c r="Y82" s="305">
        <f>IF($B82="","",SUBSTITUTE(SUBSTITUTE(SUBSTITUTE(SUBSTITUTE(SUBSTITUTE(SUBSTITUTE(SUBSTITUTE(SUBSTITUTE(SUBSTITUTE(SUBSTITUTE(SUBSTITUTE(SUBSTITUTE(SUBSTITUTE(SUBSTITUTE(SUBSTITUTE(SUBSTITUTE(SUBSTITUTE(SUBSTITUTE(SUBSTITUTE(SUBSTITUTE(SUBSTITUTE(SUBSTITUTE(SUBSTITUTE(SUBSTITUTE(SUBSTITUTE(UPPER($B82)," ",""),"-",""),":",""),"/",""),"&amp;",""),"|",""),"'",""),"’",""),"&lt;",""),"&gt;",""),",",""),"$",""),".",""),"(",""),")",""),"*",""),"?",""),"~",""),"_",""),"+",""),"#",""),";",""),"!",""),"%",""),"@",""))</f>
      </c>
      <c r="AA82">
        <f>IF($B82="",0,COUNTIFS('UX + Dev'!$AB$1:$DN$1,"&gt;="&amp;AA$1,'UX + Dev'!$AB$1:$DN$1,"&lt;="&amp;EOMONTH(AA$1,0),'UX + Dev'!$AB82:$DN82,"&lt;&gt;"))</f>
      </c>
      <c r="AB82">
        <f>IF($B82="",0,COUNTIFS('UX + Dev'!$AB$1:$DN$1,"&gt;="&amp;AB$1,'UX + Dev'!$AB$1:$DN$1,"&lt;="&amp;EOMONTH(AB$1,0),'UX + Dev'!$AB82:$DN82,"&lt;&gt;"))</f>
      </c>
      <c r="AC82">
        <f>IF($B82="",0,COUNTIFS('UX + Dev'!$AB$1:$DN$1,"&gt;="&amp;AC$1,'UX + Dev'!$AB$1:$DN$1,"&lt;="&amp;EOMONTH(AC$1,0),'UX + Dev'!$AB82:$DN82,"&lt;&gt;"))</f>
      </c>
      <c r="AD82">
        <f>IF($B82="",0,COUNTIFS('UX + Dev'!$AB$1:$DN$1,"&gt;="&amp;AD$1,'UX + Dev'!$AB$1:$DN$1,"&lt;="&amp;EOMONTH(AD$1,0),'UX + Dev'!$AB82:$DN82,"&lt;&gt;"))</f>
      </c>
      <c r="AE82">
        <f>IF($B82="",0,COUNTIFS('UX + Dev'!$AB$1:$DN$1,"&gt;="&amp;AE$1,'UX + Dev'!$AB$1:$DN$1,"&lt;="&amp;EOMONTH(AE$1,0),'UX + Dev'!$AB82:$DN82,"&lt;&gt;"))</f>
      </c>
      <c r="AF82">
        <f>IF($B82="",0,COUNTIFS('UX + Dev'!$AB$1:$DN$1,"&gt;="&amp;AF$1,'UX + Dev'!$AB$1:$DN$1,"&lt;="&amp;EOMONTH(AF$1,0),'UX + Dev'!$AB82:$DN82,"&lt;&gt;"))</f>
      </c>
      <c r="AG82">
        <f>IF($B82="",0,COUNTIFS('UX + Dev'!$AB$1:$DN$1,"&gt;="&amp;AG$1,'UX + Dev'!$AB$1:$DN$1,"&lt;="&amp;EOMONTH(AG$1,0),'UX + Dev'!$AB82:$DN82,"&lt;&gt;"))</f>
      </c>
      <c r="AH82">
        <f>IF($B82="",0,COUNTIFS('UX + Dev'!$AB$1:$DN$1,"&gt;="&amp;AH$1,'UX + Dev'!$AB$1:$DN$1,"&lt;="&amp;EOMONTH(AH$1,0),'UX + Dev'!$AB82:$DN82,"&lt;&gt;"))</f>
      </c>
      <c r="AI82">
        <f>IF($B82="",0,COUNTIFS('UX + Dev'!$AB$1:$DN$1,"&gt;="&amp;AI$1,'UX + Dev'!$AB$1:$DN$1,"&lt;="&amp;EOMONTH(AI$1,0),'UX + Dev'!$AB82:$DN82,"&lt;&gt;"))</f>
      </c>
      <c r="AJ82">
        <f>IF($B82="",0,COUNTIFS('UX + Dev'!$AB$1:$DN$1,"&gt;="&amp;AJ$1,'UX + Dev'!$AB$1:$DN$1,"&lt;="&amp;EOMONTH(AJ$1,0),'UX + Dev'!$AB82:$DN82,"&lt;&gt;"))</f>
      </c>
      <c r="AK82">
        <f>IF($B82="",0,COUNTIFS('UX + Dev'!$AB$1:$DN$1,"&gt;="&amp;AK$1,'UX + Dev'!$AB$1:$DN$1,"&lt;="&amp;EOMONTH(AK$1,0),'UX + Dev'!$AB82:$DN82,"&lt;&gt;"))</f>
      </c>
      <c r="AL82">
        <f>IF($B82="",0,COUNTIFS('UX + Dev'!$AB$1:$DN$1,"&gt;="&amp;AL$1,'UX + Dev'!$AB$1:$DN$1,"&lt;="&amp;EOMONTH(AL$1,0),'UX + Dev'!$AB82:$DN82,"&lt;&gt;"))</f>
      </c>
      <c r="AM82">
        <f>IF($B82="",0,COUNTIFS('UX + Dev'!$AB$1:$DN$1,"&gt;="&amp;AM$1,'UX + Dev'!$AB$1:$DN$1,"&lt;="&amp;EOMONTH(AM$1,0),'UX + Dev'!$AB82:$DN82,"&lt;&gt;"))</f>
      </c>
      <c r="AN82">
        <f>IF($B82="",0,COUNTIFS('UX + Dev'!$AB$1:$DN$1,"&gt;="&amp;AN$1,'UX + Dev'!$AB$1:$DN$1,"&lt;="&amp;EOMONTH(AN$1,0),'UX + Dev'!$AB82:$DN82,"&lt;&gt;"))</f>
      </c>
      <c r="AO82">
        <f>IF($B82="",0,COUNTIFS('UX + Dev'!$AB$1:$DN$1,"&gt;="&amp;AO$1,'UX + Dev'!$AB$1:$DN$1,"&lt;="&amp;EOMONTH(AO$1,0),'UX + Dev'!$AB82:$DN82,"&lt;&gt;"))</f>
      </c>
      <c r="AP82">
        <f>IF($B82="",0,COUNTIFS('UX + Dev'!$AB$1:$DN$1,"&gt;="&amp;AP$1,'UX + Dev'!$AB$1:$DN$1,"&lt;="&amp;EOMONTH(AP$1,0),'UX + Dev'!$AB82:$DN82,"&lt;&gt;"))</f>
      </c>
      <c r="AQ82">
        <f>IF($B82="",0,COUNTIFS('UX + Dev'!$AB$1:$DN$1,"&gt;="&amp;AQ$1,'UX + Dev'!$AB$1:$DN$1,"&lt;="&amp;EOMONTH(AQ$1,0),'UX + Dev'!$AB82:$DN82,"&lt;&gt;"))</f>
      </c>
      <c r="AR82">
        <f>IF($B82="",0,COUNTIFS('UX + Dev'!$AB$1:$DN$1,"&gt;="&amp;AR$1,'UX + Dev'!$AB$1:$DN$1,"&lt;="&amp;EOMONTH(AR$1,0),'UX + Dev'!$AB82:$DN82,"&lt;&gt;"))</f>
      </c>
      <c r="AS82">
        <f>IF($B82="",0,COUNTIFS('UX + Dev'!$AB$1:$DN$1,"&gt;="&amp;AS$1,'UX + Dev'!$AB$1:$DN$1,"&lt;="&amp;EOMONTH(AS$1,0),'UX + Dev'!$AB82:$DN82,"&lt;&gt;"))</f>
      </c>
      <c r="AT82">
        <f>IF($B82="",0,COUNTIFS('UX + Dev'!$AB$1:$DN$1,"&gt;="&amp;AT$1,'UX + Dev'!$AB$1:$DN$1,"&lt;="&amp;EOMONTH(AT$1,0),'UX + Dev'!$AB82:$DN82,"&lt;&gt;"))</f>
      </c>
      <c r="AU82">
        <f>IF($B82="",0,COUNTIFS('UX + Dev'!$AB$1:$DN$1,"&gt;="&amp;AU$1,'UX + Dev'!$AB$1:$DN$1,"&lt;="&amp;EOMONTH(AU$1,0),'UX + Dev'!$AB82:$DN82,"&lt;&gt;"))</f>
      </c>
      <c r="AV82">
        <f>IF($B82="",0,COUNTIFS('UX + Dev'!$AB$1:$DN$1,"&gt;="&amp;AV$1,'UX + Dev'!$AB$1:$DN$1,"&lt;="&amp;EOMONTH(AV$1,0),'UX + Dev'!$AB82:$DN82,"&lt;&gt;"))</f>
      </c>
      <c r="AW82">
        <f>IF($B82="",0,COUNTIFS('UX + Dev'!$AB$1:$DN$1,"&gt;="&amp;AW$1,'UX + Dev'!$AB$1:$DN$1,"&lt;="&amp;EOMONTH(AW$1,0),'UX + Dev'!$AB82:$DN82,"&lt;&gt;"))</f>
      </c>
      <c r="AX82">
        <f>IF($B82="",0,COUNTIFS('UX + Dev'!$AB$1:$DN$1,"&gt;="&amp;AX$1,'UX + Dev'!$AB$1:$DN$1,"&lt;="&amp;EOMONTH(AX$1,0),'UX + Dev'!$AB82:$DN82,"&lt;&gt;"))</f>
      </c>
      <c r="BB82" s="308">
        <f>IF($B82="","",IF(COUNTA('UX + Dev'!U82)&gt;0,DATE(YEAR('UX + Dev'!U82),MONTH('UX + Dev'!U82),1),IF(COUNTA('UX + Dev'!V82)&gt;0,DATE(YEAR('UX + Dev'!V82),MONTH('UX + Dev'!V82),1),"")))</f>
      </c>
      <c r="BC82" s="308">
        <f>IF($B82="","",IF(COUNTA('UX + Dev'!V82)&gt;0,EOMONTH('UX + Dev'!V82,0),IF(COUNTA('UX + Dev'!U82)&gt;0,EOMONTH('UX + Dev'!U82,0),"")))</f>
      </c>
    </row>
    <row r="83">
      <c r="A83" s="305" t="n">
        <v>83</v>
      </c>
      <c r="B83" s="305">
        <f>IF(TRIM('UX + Dev'!E83)="","",TRIM('UX + Dev'!E83))</f>
      </c>
      <c r="C83" s="305">
        <f>IF($B83="","",'UX + Dev'!B83)</f>
      </c>
      <c r="D83" s="305">
        <f>IF($B83="","",IF(TRIM('UX + Dev'!C83)="","(No theme assigned)",TRIM('UX + Dev'!C83)))</f>
      </c>
      <c r="E83" s="305">
        <f>IF($B83="","",TRIM('UX + Dev'!F83))</f>
      </c>
      <c r="F83" s="305">
        <f>IF($B83="","",'UX + Dev'!G83)</f>
      </c>
      <c r="G83" s="306">
        <f t="array" ref="G83">IF($B83="","",IF($T83=0,"",IFERROR(MIN(IF('UX + Dev'!$AB83:$DN83&lt;&gt;"",'UX + Dev'!$AB$1:$DN$1)),"")))</f>
      </c>
      <c r="H83" s="306">
        <f t="array" ref="H83">IF($B83="","",IF($T83=0,"",IFERROR(MAX(IF('UX + Dev'!$AB83:$DN83&lt;&gt;"",'UX + Dev'!$AB$1:$DN$1)),"")))</f>
      </c>
      <c r="I83" s="307">
        <f>IF($R83&lt;&gt;"",$R83,IF($S83&lt;&gt;"",$S83,""))</f>
      </c>
      <c r="J83" s="307">
        <f>IF($S83&lt;&gt;"",EOMONTH($S83,0),IF($R83&lt;&gt;"",EOMONTH($R83,0),""))</f>
      </c>
      <c r="K83" s="305">
        <f>IF($B83="","",IF(COUNTA('UX + Dev'!AA83)=0,"",TRIM('UX + Dev'!AA83)))</f>
      </c>
      <c r="L83" s="305">
        <f>IF($B83="","",IFERROR(MATCH($D83,Control!$E$4:$E$30,0),99))</f>
      </c>
      <c r="M83" s="305">
        <f>IF($B83="","",IFERROR(MATCH($F83,Control!$B$4:$B$30,0),99))</f>
      </c>
      <c r="N83" s="305">
        <f>IF($V83&lt;&gt;1,"",IF('Roadmap (Auto)'!$D$3="Status, then Theme",$M83*1000000+$L83*10000+ROW(),IF('Roadmap (Auto)'!$D$3="Dev start (earliest)",IF($I83="",99999999,$I83)*10000+ROW(),IF('Roadmap (Auto)'!$D$3="UX start (earliest)",IF($G83="",99999999,$G83)*10000+ROW(),IF('Roadmap (Auto)'!$D$3="Deliverable A-Z",$W83*10000+ROW(),$L83*1000000+$M83*10000+ROW())))))</f>
      </c>
      <c r="O83" s="305">
        <f>IF($N83="","",COUNTIF($N$2:$N$151,"&lt;"&amp;$N83)+1)</f>
      </c>
      <c r="P83" s="305">
        <f>IF($B83="","",IF(COUNTA('UX + Dev'!X83)=0,"",'UX + Dev'!X83))</f>
      </c>
      <c r="Q83" s="305">
        <f>IF($B83="","",IF(COUNTA('UX + Dev'!Y83)=0,"",'UX + Dev'!Y83))</f>
      </c>
      <c r="R83" s="307">
        <f>IF($P83="","",IF(ISNUMBER($P83),DATE(YEAR($P83),MONTH($P83),1),IFERROR(DATE(IFERROR(VALUE(RIGHT(TRIM($P83),4)),YEAR(TODAY())),(SEARCH(LEFT(TRIM($P83),3),"JanFebMarAprMayJunJulAugSepOctNovDec")+2)/3,1),"")))</f>
      </c>
      <c r="S83" s="307">
        <f>IF($Q83="","",IF(ISNUMBER($Q83),DATE(YEAR($Q83),MONTH($Q83),1),IFERROR(DATE(IFERROR(VALUE(RIGHT(TRIM($Q83),4)),YEAR(TODAY())),(SEARCH(LEFT(TRIM($Q83),3),"JanFebMarAprMayJunJulAugSepOctNovDec")+2)/3,1),"")))</f>
      </c>
      <c r="T83" s="305">
        <f>IF($B83="","",COUNTA('UX + Dev'!$AB83:$DN83))</f>
      </c>
      <c r="U83" s="305">
        <f>IF($B83="","",IFERROR(MATCH($D83,Control!$E$4:$E$30,0)+3,0))</f>
      </c>
      <c r="V83" s="305">
        <f>IF($B83="","",IF(AND(OR('Roadmap (Auto)'!$A$3="",'Roadmap (Auto)'!$A$3="(All)",ISNUMBER(SEARCH('Roadmap (Auto)'!$A$3,$C83&amp;""))),OR('Roadmap (Auto)'!$B$3="",'Roadmap (Auto)'!$B$3="(All)",$D83='Roadmap (Auto)'!$B$3,$X83='Roadmap (Auto)'!$B$3),OR('Roadmap (Auto)'!$C$3="",'Roadmap (Auto)'!$C$3="(All)",$F83='Roadmap (Auto)'!$C$3)),1,0))</f>
      </c>
      <c r="W83" s="305">
        <f>IF($B83="","",COUNTIF($Y$2:$Y$151,"&lt;"&amp;$Y83)+1)</f>
      </c>
      <c r="X83" s="305">
        <f>IF($B83="","",IF(TRIM('UX + Dev'!D83)="","",TRIM('UX + Dev'!D83)))</f>
      </c>
      <c r="Y83" s="305">
        <f>IF($B83="","",SUBSTITUTE(SUBSTITUTE(SUBSTITUTE(SUBSTITUTE(SUBSTITUTE(SUBSTITUTE(SUBSTITUTE(SUBSTITUTE(SUBSTITUTE(SUBSTITUTE(SUBSTITUTE(SUBSTITUTE(SUBSTITUTE(SUBSTITUTE(SUBSTITUTE(SUBSTITUTE(SUBSTITUTE(SUBSTITUTE(SUBSTITUTE(SUBSTITUTE(SUBSTITUTE(SUBSTITUTE(SUBSTITUTE(SUBSTITUTE(SUBSTITUTE(UPPER($B83)," ",""),"-",""),":",""),"/",""),"&amp;",""),"|",""),"'",""),"’",""),"&lt;",""),"&gt;",""),",",""),"$",""),".",""),"(",""),")",""),"*",""),"?",""),"~",""),"_",""),"+",""),"#",""),";",""),"!",""),"%",""),"@",""))</f>
      </c>
      <c r="AA83">
        <f>IF($B83="",0,COUNTIFS('UX + Dev'!$AB$1:$DN$1,"&gt;="&amp;AA$1,'UX + Dev'!$AB$1:$DN$1,"&lt;="&amp;EOMONTH(AA$1,0),'UX + Dev'!$AB83:$DN83,"&lt;&gt;"))</f>
      </c>
      <c r="AB83">
        <f>IF($B83="",0,COUNTIFS('UX + Dev'!$AB$1:$DN$1,"&gt;="&amp;AB$1,'UX + Dev'!$AB$1:$DN$1,"&lt;="&amp;EOMONTH(AB$1,0),'UX + Dev'!$AB83:$DN83,"&lt;&gt;"))</f>
      </c>
      <c r="AC83">
        <f>IF($B83="",0,COUNTIFS('UX + Dev'!$AB$1:$DN$1,"&gt;="&amp;AC$1,'UX + Dev'!$AB$1:$DN$1,"&lt;="&amp;EOMONTH(AC$1,0),'UX + Dev'!$AB83:$DN83,"&lt;&gt;"))</f>
      </c>
      <c r="AD83">
        <f>IF($B83="",0,COUNTIFS('UX + Dev'!$AB$1:$DN$1,"&gt;="&amp;AD$1,'UX + Dev'!$AB$1:$DN$1,"&lt;="&amp;EOMONTH(AD$1,0),'UX + Dev'!$AB83:$DN83,"&lt;&gt;"))</f>
      </c>
      <c r="AE83">
        <f>IF($B83="",0,COUNTIFS('UX + Dev'!$AB$1:$DN$1,"&gt;="&amp;AE$1,'UX + Dev'!$AB$1:$DN$1,"&lt;="&amp;EOMONTH(AE$1,0),'UX + Dev'!$AB83:$DN83,"&lt;&gt;"))</f>
      </c>
      <c r="AF83">
        <f>IF($B83="",0,COUNTIFS('UX + Dev'!$AB$1:$DN$1,"&gt;="&amp;AF$1,'UX + Dev'!$AB$1:$DN$1,"&lt;="&amp;EOMONTH(AF$1,0),'UX + Dev'!$AB83:$DN83,"&lt;&gt;"))</f>
      </c>
      <c r="AG83">
        <f>IF($B83="",0,COUNTIFS('UX + Dev'!$AB$1:$DN$1,"&gt;="&amp;AG$1,'UX + Dev'!$AB$1:$DN$1,"&lt;="&amp;EOMONTH(AG$1,0),'UX + Dev'!$AB83:$DN83,"&lt;&gt;"))</f>
      </c>
      <c r="AH83">
        <f>IF($B83="",0,COUNTIFS('UX + Dev'!$AB$1:$DN$1,"&gt;="&amp;AH$1,'UX + Dev'!$AB$1:$DN$1,"&lt;="&amp;EOMONTH(AH$1,0),'UX + Dev'!$AB83:$DN83,"&lt;&gt;"))</f>
      </c>
      <c r="AI83">
        <f>IF($B83="",0,COUNTIFS('UX + Dev'!$AB$1:$DN$1,"&gt;="&amp;AI$1,'UX + Dev'!$AB$1:$DN$1,"&lt;="&amp;EOMONTH(AI$1,0),'UX + Dev'!$AB83:$DN83,"&lt;&gt;"))</f>
      </c>
      <c r="AJ83">
        <f>IF($B83="",0,COUNTIFS('UX + Dev'!$AB$1:$DN$1,"&gt;="&amp;AJ$1,'UX + Dev'!$AB$1:$DN$1,"&lt;="&amp;EOMONTH(AJ$1,0),'UX + Dev'!$AB83:$DN83,"&lt;&gt;"))</f>
      </c>
      <c r="AK83">
        <f>IF($B83="",0,COUNTIFS('UX + Dev'!$AB$1:$DN$1,"&gt;="&amp;AK$1,'UX + Dev'!$AB$1:$DN$1,"&lt;="&amp;EOMONTH(AK$1,0),'UX + Dev'!$AB83:$DN83,"&lt;&gt;"))</f>
      </c>
      <c r="AL83">
        <f>IF($B83="",0,COUNTIFS('UX + Dev'!$AB$1:$DN$1,"&gt;="&amp;AL$1,'UX + Dev'!$AB$1:$DN$1,"&lt;="&amp;EOMONTH(AL$1,0),'UX + Dev'!$AB83:$DN83,"&lt;&gt;"))</f>
      </c>
      <c r="AM83">
        <f>IF($B83="",0,COUNTIFS('UX + Dev'!$AB$1:$DN$1,"&gt;="&amp;AM$1,'UX + Dev'!$AB$1:$DN$1,"&lt;="&amp;EOMONTH(AM$1,0),'UX + Dev'!$AB83:$DN83,"&lt;&gt;"))</f>
      </c>
      <c r="AN83">
        <f>IF($B83="",0,COUNTIFS('UX + Dev'!$AB$1:$DN$1,"&gt;="&amp;AN$1,'UX + Dev'!$AB$1:$DN$1,"&lt;="&amp;EOMONTH(AN$1,0),'UX + Dev'!$AB83:$DN83,"&lt;&gt;"))</f>
      </c>
      <c r="AO83">
        <f>IF($B83="",0,COUNTIFS('UX + Dev'!$AB$1:$DN$1,"&gt;="&amp;AO$1,'UX + Dev'!$AB$1:$DN$1,"&lt;="&amp;EOMONTH(AO$1,0),'UX + Dev'!$AB83:$DN83,"&lt;&gt;"))</f>
      </c>
      <c r="AP83">
        <f>IF($B83="",0,COUNTIFS('UX + Dev'!$AB$1:$DN$1,"&gt;="&amp;AP$1,'UX + Dev'!$AB$1:$DN$1,"&lt;="&amp;EOMONTH(AP$1,0),'UX + Dev'!$AB83:$DN83,"&lt;&gt;"))</f>
      </c>
      <c r="AQ83">
        <f>IF($B83="",0,COUNTIFS('UX + Dev'!$AB$1:$DN$1,"&gt;="&amp;AQ$1,'UX + Dev'!$AB$1:$DN$1,"&lt;="&amp;EOMONTH(AQ$1,0),'UX + Dev'!$AB83:$DN83,"&lt;&gt;"))</f>
      </c>
      <c r="AR83">
        <f>IF($B83="",0,COUNTIFS('UX + Dev'!$AB$1:$DN$1,"&gt;="&amp;AR$1,'UX + Dev'!$AB$1:$DN$1,"&lt;="&amp;EOMONTH(AR$1,0),'UX + Dev'!$AB83:$DN83,"&lt;&gt;"))</f>
      </c>
      <c r="AS83">
        <f>IF($B83="",0,COUNTIFS('UX + Dev'!$AB$1:$DN$1,"&gt;="&amp;AS$1,'UX + Dev'!$AB$1:$DN$1,"&lt;="&amp;EOMONTH(AS$1,0),'UX + Dev'!$AB83:$DN83,"&lt;&gt;"))</f>
      </c>
      <c r="AT83">
        <f>IF($B83="",0,COUNTIFS('UX + Dev'!$AB$1:$DN$1,"&gt;="&amp;AT$1,'UX + Dev'!$AB$1:$DN$1,"&lt;="&amp;EOMONTH(AT$1,0),'UX + Dev'!$AB83:$DN83,"&lt;&gt;"))</f>
      </c>
      <c r="AU83">
        <f>IF($B83="",0,COUNTIFS('UX + Dev'!$AB$1:$DN$1,"&gt;="&amp;AU$1,'UX + Dev'!$AB$1:$DN$1,"&lt;="&amp;EOMONTH(AU$1,0),'UX + Dev'!$AB83:$DN83,"&lt;&gt;"))</f>
      </c>
      <c r="AV83">
        <f>IF($B83="",0,COUNTIFS('UX + Dev'!$AB$1:$DN$1,"&gt;="&amp;AV$1,'UX + Dev'!$AB$1:$DN$1,"&lt;="&amp;EOMONTH(AV$1,0),'UX + Dev'!$AB83:$DN83,"&lt;&gt;"))</f>
      </c>
      <c r="AW83">
        <f>IF($B83="",0,COUNTIFS('UX + Dev'!$AB$1:$DN$1,"&gt;="&amp;AW$1,'UX + Dev'!$AB$1:$DN$1,"&lt;="&amp;EOMONTH(AW$1,0),'UX + Dev'!$AB83:$DN83,"&lt;&gt;"))</f>
      </c>
      <c r="AX83">
        <f>IF($B83="",0,COUNTIFS('UX + Dev'!$AB$1:$DN$1,"&gt;="&amp;AX$1,'UX + Dev'!$AB$1:$DN$1,"&lt;="&amp;EOMONTH(AX$1,0),'UX + Dev'!$AB83:$DN83,"&lt;&gt;"))</f>
      </c>
      <c r="BB83" s="308">
        <f>IF($B83="","",IF(COUNTA('UX + Dev'!U83)&gt;0,DATE(YEAR('UX + Dev'!U83),MONTH('UX + Dev'!U83),1),IF(COUNTA('UX + Dev'!V83)&gt;0,DATE(YEAR('UX + Dev'!V83),MONTH('UX + Dev'!V83),1),"")))</f>
      </c>
      <c r="BC83" s="308">
        <f>IF($B83="","",IF(COUNTA('UX + Dev'!V83)&gt;0,EOMONTH('UX + Dev'!V83,0),IF(COUNTA('UX + Dev'!U83)&gt;0,EOMONTH('UX + Dev'!U83,0),"")))</f>
      </c>
    </row>
    <row r="84">
      <c r="A84" s="305" t="n">
        <v>84</v>
      </c>
      <c r="B84" s="305">
        <f>IF(TRIM('UX + Dev'!E84)="","",TRIM('UX + Dev'!E84))</f>
      </c>
      <c r="C84" s="305">
        <f>IF($B84="","",'UX + Dev'!B84)</f>
      </c>
      <c r="D84" s="305">
        <f>IF($B84="","",IF(TRIM('UX + Dev'!C84)="","(No theme assigned)",TRIM('UX + Dev'!C84)))</f>
      </c>
      <c r="E84" s="305">
        <f>IF($B84="","",TRIM('UX + Dev'!F84))</f>
      </c>
      <c r="F84" s="305">
        <f>IF($B84="","",'UX + Dev'!G84)</f>
      </c>
      <c r="G84" s="306">
        <f t="array" ref="G84">IF($B84="","",IF($T84=0,"",IFERROR(MIN(IF('UX + Dev'!$AB84:$DN84&lt;&gt;"",'UX + Dev'!$AB$1:$DN$1)),"")))</f>
      </c>
      <c r="H84" s="306">
        <f t="array" ref="H84">IF($B84="","",IF($T84=0,"",IFERROR(MAX(IF('UX + Dev'!$AB84:$DN84&lt;&gt;"",'UX + Dev'!$AB$1:$DN$1)),"")))</f>
      </c>
      <c r="I84" s="307">
        <f>IF($R84&lt;&gt;"",$R84,IF($S84&lt;&gt;"",$S84,""))</f>
      </c>
      <c r="J84" s="307">
        <f>IF($S84&lt;&gt;"",EOMONTH($S84,0),IF($R84&lt;&gt;"",EOMONTH($R84,0),""))</f>
      </c>
      <c r="K84" s="305">
        <f>IF($B84="","",IF(COUNTA('UX + Dev'!AA84)=0,"",TRIM('UX + Dev'!AA84)))</f>
      </c>
      <c r="L84" s="305">
        <f>IF($B84="","",IFERROR(MATCH($D84,Control!$E$4:$E$30,0),99))</f>
      </c>
      <c r="M84" s="305">
        <f>IF($B84="","",IFERROR(MATCH($F84,Control!$B$4:$B$30,0),99))</f>
      </c>
      <c r="N84" s="305">
        <f>IF($V84&lt;&gt;1,"",IF('Roadmap (Auto)'!$D$3="Status, then Theme",$M84*1000000+$L84*10000+ROW(),IF('Roadmap (Auto)'!$D$3="Dev start (earliest)",IF($I84="",99999999,$I84)*10000+ROW(),IF('Roadmap (Auto)'!$D$3="UX start (earliest)",IF($G84="",99999999,$G84)*10000+ROW(),IF('Roadmap (Auto)'!$D$3="Deliverable A-Z",$W84*10000+ROW(),$L84*1000000+$M84*10000+ROW())))))</f>
      </c>
      <c r="O84" s="305">
        <f>IF($N84="","",COUNTIF($N$2:$N$151,"&lt;"&amp;$N84)+1)</f>
      </c>
      <c r="P84" s="305">
        <f>IF($B84="","",IF(COUNTA('UX + Dev'!X84)=0,"",'UX + Dev'!X84))</f>
      </c>
      <c r="Q84" s="305">
        <f>IF($B84="","",IF(COUNTA('UX + Dev'!Y84)=0,"",'UX + Dev'!Y84))</f>
      </c>
      <c r="R84" s="307">
        <f>IF($P84="","",IF(ISNUMBER($P84),DATE(YEAR($P84),MONTH($P84),1),IFERROR(DATE(IFERROR(VALUE(RIGHT(TRIM($P84),4)),YEAR(TODAY())),(SEARCH(LEFT(TRIM($P84),3),"JanFebMarAprMayJunJulAugSepOctNovDec")+2)/3,1),"")))</f>
      </c>
      <c r="S84" s="307">
        <f>IF($Q84="","",IF(ISNUMBER($Q84),DATE(YEAR($Q84),MONTH($Q84),1),IFERROR(DATE(IFERROR(VALUE(RIGHT(TRIM($Q84),4)),YEAR(TODAY())),(SEARCH(LEFT(TRIM($Q84),3),"JanFebMarAprMayJunJulAugSepOctNovDec")+2)/3,1),"")))</f>
      </c>
      <c r="T84" s="305">
        <f>IF($B84="","",COUNTA('UX + Dev'!$AB84:$DN84))</f>
      </c>
      <c r="U84" s="305">
        <f>IF($B84="","",IFERROR(MATCH($D84,Control!$E$4:$E$30,0)+3,0))</f>
      </c>
      <c r="V84" s="305">
        <f>IF($B84="","",IF(AND(OR('Roadmap (Auto)'!$A$3="",'Roadmap (Auto)'!$A$3="(All)",ISNUMBER(SEARCH('Roadmap (Auto)'!$A$3,$C84&amp;""))),OR('Roadmap (Auto)'!$B$3="",'Roadmap (Auto)'!$B$3="(All)",$D84='Roadmap (Auto)'!$B$3,$X84='Roadmap (Auto)'!$B$3),OR('Roadmap (Auto)'!$C$3="",'Roadmap (Auto)'!$C$3="(All)",$F84='Roadmap (Auto)'!$C$3)),1,0))</f>
      </c>
      <c r="W84" s="305">
        <f>IF($B84="","",COUNTIF($Y$2:$Y$151,"&lt;"&amp;$Y84)+1)</f>
      </c>
      <c r="X84" s="305">
        <f>IF($B84="","",IF(TRIM('UX + Dev'!D84)="","",TRIM('UX + Dev'!D84)))</f>
      </c>
      <c r="Y84" s="305">
        <f>IF($B84="","",SUBSTITUTE(SUBSTITUTE(SUBSTITUTE(SUBSTITUTE(SUBSTITUTE(SUBSTITUTE(SUBSTITUTE(SUBSTITUTE(SUBSTITUTE(SUBSTITUTE(SUBSTITUTE(SUBSTITUTE(SUBSTITUTE(SUBSTITUTE(SUBSTITUTE(SUBSTITUTE(SUBSTITUTE(SUBSTITUTE(SUBSTITUTE(SUBSTITUTE(SUBSTITUTE(SUBSTITUTE(SUBSTITUTE(SUBSTITUTE(SUBSTITUTE(UPPER($B84)," ",""),"-",""),":",""),"/",""),"&amp;",""),"|",""),"'",""),"’",""),"&lt;",""),"&gt;",""),",",""),"$",""),".",""),"(",""),")",""),"*",""),"?",""),"~",""),"_",""),"+",""),"#",""),";",""),"!",""),"%",""),"@",""))</f>
      </c>
      <c r="AA84">
        <f>IF($B84="",0,COUNTIFS('UX + Dev'!$AB$1:$DN$1,"&gt;="&amp;AA$1,'UX + Dev'!$AB$1:$DN$1,"&lt;="&amp;EOMONTH(AA$1,0),'UX + Dev'!$AB84:$DN84,"&lt;&gt;"))</f>
      </c>
      <c r="AB84">
        <f>IF($B84="",0,COUNTIFS('UX + Dev'!$AB$1:$DN$1,"&gt;="&amp;AB$1,'UX + Dev'!$AB$1:$DN$1,"&lt;="&amp;EOMONTH(AB$1,0),'UX + Dev'!$AB84:$DN84,"&lt;&gt;"))</f>
      </c>
      <c r="AC84">
        <f>IF($B84="",0,COUNTIFS('UX + Dev'!$AB$1:$DN$1,"&gt;="&amp;AC$1,'UX + Dev'!$AB$1:$DN$1,"&lt;="&amp;EOMONTH(AC$1,0),'UX + Dev'!$AB84:$DN84,"&lt;&gt;"))</f>
      </c>
      <c r="AD84">
        <f>IF($B84="",0,COUNTIFS('UX + Dev'!$AB$1:$DN$1,"&gt;="&amp;AD$1,'UX + Dev'!$AB$1:$DN$1,"&lt;="&amp;EOMONTH(AD$1,0),'UX + Dev'!$AB84:$DN84,"&lt;&gt;"))</f>
      </c>
      <c r="AE84">
        <f>IF($B84="",0,COUNTIFS('UX + Dev'!$AB$1:$DN$1,"&gt;="&amp;AE$1,'UX + Dev'!$AB$1:$DN$1,"&lt;="&amp;EOMONTH(AE$1,0),'UX + Dev'!$AB84:$DN84,"&lt;&gt;"))</f>
      </c>
      <c r="AF84">
        <f>IF($B84="",0,COUNTIFS('UX + Dev'!$AB$1:$DN$1,"&gt;="&amp;AF$1,'UX + Dev'!$AB$1:$DN$1,"&lt;="&amp;EOMONTH(AF$1,0),'UX + Dev'!$AB84:$DN84,"&lt;&gt;"))</f>
      </c>
      <c r="AG84">
        <f>IF($B84="",0,COUNTIFS('UX + Dev'!$AB$1:$DN$1,"&gt;="&amp;AG$1,'UX + Dev'!$AB$1:$DN$1,"&lt;="&amp;EOMONTH(AG$1,0),'UX + Dev'!$AB84:$DN84,"&lt;&gt;"))</f>
      </c>
      <c r="AH84">
        <f>IF($B84="",0,COUNTIFS('UX + Dev'!$AB$1:$DN$1,"&gt;="&amp;AH$1,'UX + Dev'!$AB$1:$DN$1,"&lt;="&amp;EOMONTH(AH$1,0),'UX + Dev'!$AB84:$DN84,"&lt;&gt;"))</f>
      </c>
      <c r="AI84">
        <f>IF($B84="",0,COUNTIFS('UX + Dev'!$AB$1:$DN$1,"&gt;="&amp;AI$1,'UX + Dev'!$AB$1:$DN$1,"&lt;="&amp;EOMONTH(AI$1,0),'UX + Dev'!$AB84:$DN84,"&lt;&gt;"))</f>
      </c>
      <c r="AJ84">
        <f>IF($B84="",0,COUNTIFS('UX + Dev'!$AB$1:$DN$1,"&gt;="&amp;AJ$1,'UX + Dev'!$AB$1:$DN$1,"&lt;="&amp;EOMONTH(AJ$1,0),'UX + Dev'!$AB84:$DN84,"&lt;&gt;"))</f>
      </c>
      <c r="AK84">
        <f>IF($B84="",0,COUNTIFS('UX + Dev'!$AB$1:$DN$1,"&gt;="&amp;AK$1,'UX + Dev'!$AB$1:$DN$1,"&lt;="&amp;EOMONTH(AK$1,0),'UX + Dev'!$AB84:$DN84,"&lt;&gt;"))</f>
      </c>
      <c r="AL84">
        <f>IF($B84="",0,COUNTIFS('UX + Dev'!$AB$1:$DN$1,"&gt;="&amp;AL$1,'UX + Dev'!$AB$1:$DN$1,"&lt;="&amp;EOMONTH(AL$1,0),'UX + Dev'!$AB84:$DN84,"&lt;&gt;"))</f>
      </c>
      <c r="AM84">
        <f>IF($B84="",0,COUNTIFS('UX + Dev'!$AB$1:$DN$1,"&gt;="&amp;AM$1,'UX + Dev'!$AB$1:$DN$1,"&lt;="&amp;EOMONTH(AM$1,0),'UX + Dev'!$AB84:$DN84,"&lt;&gt;"))</f>
      </c>
      <c r="AN84">
        <f>IF($B84="",0,COUNTIFS('UX + Dev'!$AB$1:$DN$1,"&gt;="&amp;AN$1,'UX + Dev'!$AB$1:$DN$1,"&lt;="&amp;EOMONTH(AN$1,0),'UX + Dev'!$AB84:$DN84,"&lt;&gt;"))</f>
      </c>
      <c r="AO84">
        <f>IF($B84="",0,COUNTIFS('UX + Dev'!$AB$1:$DN$1,"&gt;="&amp;AO$1,'UX + Dev'!$AB$1:$DN$1,"&lt;="&amp;EOMONTH(AO$1,0),'UX + Dev'!$AB84:$DN84,"&lt;&gt;"))</f>
      </c>
      <c r="AP84">
        <f>IF($B84="",0,COUNTIFS('UX + Dev'!$AB$1:$DN$1,"&gt;="&amp;AP$1,'UX + Dev'!$AB$1:$DN$1,"&lt;="&amp;EOMONTH(AP$1,0),'UX + Dev'!$AB84:$DN84,"&lt;&gt;"))</f>
      </c>
      <c r="AQ84">
        <f>IF($B84="",0,COUNTIFS('UX + Dev'!$AB$1:$DN$1,"&gt;="&amp;AQ$1,'UX + Dev'!$AB$1:$DN$1,"&lt;="&amp;EOMONTH(AQ$1,0),'UX + Dev'!$AB84:$DN84,"&lt;&gt;"))</f>
      </c>
      <c r="AR84">
        <f>IF($B84="",0,COUNTIFS('UX + Dev'!$AB$1:$DN$1,"&gt;="&amp;AR$1,'UX + Dev'!$AB$1:$DN$1,"&lt;="&amp;EOMONTH(AR$1,0),'UX + Dev'!$AB84:$DN84,"&lt;&gt;"))</f>
      </c>
      <c r="AS84">
        <f>IF($B84="",0,COUNTIFS('UX + Dev'!$AB$1:$DN$1,"&gt;="&amp;AS$1,'UX + Dev'!$AB$1:$DN$1,"&lt;="&amp;EOMONTH(AS$1,0),'UX + Dev'!$AB84:$DN84,"&lt;&gt;"))</f>
      </c>
      <c r="AT84">
        <f>IF($B84="",0,COUNTIFS('UX + Dev'!$AB$1:$DN$1,"&gt;="&amp;AT$1,'UX + Dev'!$AB$1:$DN$1,"&lt;="&amp;EOMONTH(AT$1,0),'UX + Dev'!$AB84:$DN84,"&lt;&gt;"))</f>
      </c>
      <c r="AU84">
        <f>IF($B84="",0,COUNTIFS('UX + Dev'!$AB$1:$DN$1,"&gt;="&amp;AU$1,'UX + Dev'!$AB$1:$DN$1,"&lt;="&amp;EOMONTH(AU$1,0),'UX + Dev'!$AB84:$DN84,"&lt;&gt;"))</f>
      </c>
      <c r="AV84">
        <f>IF($B84="",0,COUNTIFS('UX + Dev'!$AB$1:$DN$1,"&gt;="&amp;AV$1,'UX + Dev'!$AB$1:$DN$1,"&lt;="&amp;EOMONTH(AV$1,0),'UX + Dev'!$AB84:$DN84,"&lt;&gt;"))</f>
      </c>
      <c r="AW84">
        <f>IF($B84="",0,COUNTIFS('UX + Dev'!$AB$1:$DN$1,"&gt;="&amp;AW$1,'UX + Dev'!$AB$1:$DN$1,"&lt;="&amp;EOMONTH(AW$1,0),'UX + Dev'!$AB84:$DN84,"&lt;&gt;"))</f>
      </c>
      <c r="AX84">
        <f>IF($B84="",0,COUNTIFS('UX + Dev'!$AB$1:$DN$1,"&gt;="&amp;AX$1,'UX + Dev'!$AB$1:$DN$1,"&lt;="&amp;EOMONTH(AX$1,0),'UX + Dev'!$AB84:$DN84,"&lt;&gt;"))</f>
      </c>
      <c r="BB84" s="308">
        <f>IF($B84="","",IF(COUNTA('UX + Dev'!U84)&gt;0,DATE(YEAR('UX + Dev'!U84),MONTH('UX + Dev'!U84),1),IF(COUNTA('UX + Dev'!V84)&gt;0,DATE(YEAR('UX + Dev'!V84),MONTH('UX + Dev'!V84),1),"")))</f>
      </c>
      <c r="BC84" s="308">
        <f>IF($B84="","",IF(COUNTA('UX + Dev'!V84)&gt;0,EOMONTH('UX + Dev'!V84,0),IF(COUNTA('UX + Dev'!U84)&gt;0,EOMONTH('UX + Dev'!U84,0),"")))</f>
      </c>
    </row>
    <row r="85">
      <c r="A85" s="305" t="n">
        <v>85</v>
      </c>
      <c r="B85" s="305">
        <f>IF(TRIM('UX + Dev'!E85)="","",TRIM('UX + Dev'!E85))</f>
      </c>
      <c r="C85" s="305">
        <f>IF($B85="","",'UX + Dev'!B85)</f>
      </c>
      <c r="D85" s="305">
        <f>IF($B85="","",IF(TRIM('UX + Dev'!C85)="","(No theme assigned)",TRIM('UX + Dev'!C85)))</f>
      </c>
      <c r="E85" s="305">
        <f>IF($B85="","",TRIM('UX + Dev'!F85))</f>
      </c>
      <c r="F85" s="305">
        <f>IF($B85="","",'UX + Dev'!G85)</f>
      </c>
      <c r="G85" s="306">
        <f t="array" ref="G85">IF($B85="","",IF($T85=0,"",IFERROR(MIN(IF('UX + Dev'!$AB85:$DN85&lt;&gt;"",'UX + Dev'!$AB$1:$DN$1)),"")))</f>
      </c>
      <c r="H85" s="306">
        <f t="array" ref="H85">IF($B85="","",IF($T85=0,"",IFERROR(MAX(IF('UX + Dev'!$AB85:$DN85&lt;&gt;"",'UX + Dev'!$AB$1:$DN$1)),"")))</f>
      </c>
      <c r="I85" s="307">
        <f>IF($R85&lt;&gt;"",$R85,IF($S85&lt;&gt;"",$S85,""))</f>
      </c>
      <c r="J85" s="307">
        <f>IF($S85&lt;&gt;"",EOMONTH($S85,0),IF($R85&lt;&gt;"",EOMONTH($R85,0),""))</f>
      </c>
      <c r="K85" s="305">
        <f>IF($B85="","",IF(COUNTA('UX + Dev'!AA85)=0,"",TRIM('UX + Dev'!AA85)))</f>
      </c>
      <c r="L85" s="305">
        <f>IF($B85="","",IFERROR(MATCH($D85,Control!$E$4:$E$30,0),99))</f>
      </c>
      <c r="M85" s="305">
        <f>IF($B85="","",IFERROR(MATCH($F85,Control!$B$4:$B$30,0),99))</f>
      </c>
      <c r="N85" s="305">
        <f>IF($V85&lt;&gt;1,"",IF('Roadmap (Auto)'!$D$3="Status, then Theme",$M85*1000000+$L85*10000+ROW(),IF('Roadmap (Auto)'!$D$3="Dev start (earliest)",IF($I85="",99999999,$I85)*10000+ROW(),IF('Roadmap (Auto)'!$D$3="UX start (earliest)",IF($G85="",99999999,$G85)*10000+ROW(),IF('Roadmap (Auto)'!$D$3="Deliverable A-Z",$W85*10000+ROW(),$L85*1000000+$M85*10000+ROW())))))</f>
      </c>
      <c r="O85" s="305">
        <f>IF($N85="","",COUNTIF($N$2:$N$151,"&lt;"&amp;$N85)+1)</f>
      </c>
      <c r="P85" s="305">
        <f>IF($B85="","",IF(COUNTA('UX + Dev'!X85)=0,"",'UX + Dev'!X85))</f>
      </c>
      <c r="Q85" s="305">
        <f>IF($B85="","",IF(COUNTA('UX + Dev'!Y85)=0,"",'UX + Dev'!Y85))</f>
      </c>
      <c r="R85" s="307">
        <f>IF($P85="","",IF(ISNUMBER($P85),DATE(YEAR($P85),MONTH($P85),1),IFERROR(DATE(IFERROR(VALUE(RIGHT(TRIM($P85),4)),YEAR(TODAY())),(SEARCH(LEFT(TRIM($P85),3),"JanFebMarAprMayJunJulAugSepOctNovDec")+2)/3,1),"")))</f>
      </c>
      <c r="S85" s="307">
        <f>IF($Q85="","",IF(ISNUMBER($Q85),DATE(YEAR($Q85),MONTH($Q85),1),IFERROR(DATE(IFERROR(VALUE(RIGHT(TRIM($Q85),4)),YEAR(TODAY())),(SEARCH(LEFT(TRIM($Q85),3),"JanFebMarAprMayJunJulAugSepOctNovDec")+2)/3,1),"")))</f>
      </c>
      <c r="T85" s="305">
        <f>IF($B85="","",COUNTA('UX + Dev'!$AB85:$DN85))</f>
      </c>
      <c r="U85" s="305">
        <f>IF($B85="","",IFERROR(MATCH($D85,Control!$E$4:$E$30,0)+3,0))</f>
      </c>
      <c r="V85" s="305">
        <f>IF($B85="","",IF(AND(OR('Roadmap (Auto)'!$A$3="",'Roadmap (Auto)'!$A$3="(All)",ISNUMBER(SEARCH('Roadmap (Auto)'!$A$3,$C85&amp;""))),OR('Roadmap (Auto)'!$B$3="",'Roadmap (Auto)'!$B$3="(All)",$D85='Roadmap (Auto)'!$B$3,$X85='Roadmap (Auto)'!$B$3),OR('Roadmap (Auto)'!$C$3="",'Roadmap (Auto)'!$C$3="(All)",$F85='Roadmap (Auto)'!$C$3)),1,0))</f>
      </c>
      <c r="W85" s="305">
        <f>IF($B85="","",COUNTIF($Y$2:$Y$151,"&lt;"&amp;$Y85)+1)</f>
      </c>
      <c r="X85" s="305">
        <f>IF($B85="","",IF(TRIM('UX + Dev'!D85)="","",TRIM('UX + Dev'!D85)))</f>
      </c>
      <c r="Y85" s="305">
        <f>IF($B85="","",SUBSTITUTE(SUBSTITUTE(SUBSTITUTE(SUBSTITUTE(SUBSTITUTE(SUBSTITUTE(SUBSTITUTE(SUBSTITUTE(SUBSTITUTE(SUBSTITUTE(SUBSTITUTE(SUBSTITUTE(SUBSTITUTE(SUBSTITUTE(SUBSTITUTE(SUBSTITUTE(SUBSTITUTE(SUBSTITUTE(SUBSTITUTE(SUBSTITUTE(SUBSTITUTE(SUBSTITUTE(SUBSTITUTE(SUBSTITUTE(SUBSTITUTE(UPPER($B85)," ",""),"-",""),":",""),"/",""),"&amp;",""),"|",""),"'",""),"’",""),"&lt;",""),"&gt;",""),",",""),"$",""),".",""),"(",""),")",""),"*",""),"?",""),"~",""),"_",""),"+",""),"#",""),";",""),"!",""),"%",""),"@",""))</f>
      </c>
      <c r="AA85">
        <f>IF($B85="",0,COUNTIFS('UX + Dev'!$AB$1:$DN$1,"&gt;="&amp;AA$1,'UX + Dev'!$AB$1:$DN$1,"&lt;="&amp;EOMONTH(AA$1,0),'UX + Dev'!$AB85:$DN85,"&lt;&gt;"))</f>
      </c>
      <c r="AB85">
        <f>IF($B85="",0,COUNTIFS('UX + Dev'!$AB$1:$DN$1,"&gt;="&amp;AB$1,'UX + Dev'!$AB$1:$DN$1,"&lt;="&amp;EOMONTH(AB$1,0),'UX + Dev'!$AB85:$DN85,"&lt;&gt;"))</f>
      </c>
      <c r="AC85">
        <f>IF($B85="",0,COUNTIFS('UX + Dev'!$AB$1:$DN$1,"&gt;="&amp;AC$1,'UX + Dev'!$AB$1:$DN$1,"&lt;="&amp;EOMONTH(AC$1,0),'UX + Dev'!$AB85:$DN85,"&lt;&gt;"))</f>
      </c>
      <c r="AD85">
        <f>IF($B85="",0,COUNTIFS('UX + Dev'!$AB$1:$DN$1,"&gt;="&amp;AD$1,'UX + Dev'!$AB$1:$DN$1,"&lt;="&amp;EOMONTH(AD$1,0),'UX + Dev'!$AB85:$DN85,"&lt;&gt;"))</f>
      </c>
      <c r="AE85">
        <f>IF($B85="",0,COUNTIFS('UX + Dev'!$AB$1:$DN$1,"&gt;="&amp;AE$1,'UX + Dev'!$AB$1:$DN$1,"&lt;="&amp;EOMONTH(AE$1,0),'UX + Dev'!$AB85:$DN85,"&lt;&gt;"))</f>
      </c>
      <c r="AF85">
        <f>IF($B85="",0,COUNTIFS('UX + Dev'!$AB$1:$DN$1,"&gt;="&amp;AF$1,'UX + Dev'!$AB$1:$DN$1,"&lt;="&amp;EOMONTH(AF$1,0),'UX + Dev'!$AB85:$DN85,"&lt;&gt;"))</f>
      </c>
      <c r="AG85">
        <f>IF($B85="",0,COUNTIFS('UX + Dev'!$AB$1:$DN$1,"&gt;="&amp;AG$1,'UX + Dev'!$AB$1:$DN$1,"&lt;="&amp;EOMONTH(AG$1,0),'UX + Dev'!$AB85:$DN85,"&lt;&gt;"))</f>
      </c>
      <c r="AH85">
        <f>IF($B85="",0,COUNTIFS('UX + Dev'!$AB$1:$DN$1,"&gt;="&amp;AH$1,'UX + Dev'!$AB$1:$DN$1,"&lt;="&amp;EOMONTH(AH$1,0),'UX + Dev'!$AB85:$DN85,"&lt;&gt;"))</f>
      </c>
      <c r="AI85">
        <f>IF($B85="",0,COUNTIFS('UX + Dev'!$AB$1:$DN$1,"&gt;="&amp;AI$1,'UX + Dev'!$AB$1:$DN$1,"&lt;="&amp;EOMONTH(AI$1,0),'UX + Dev'!$AB85:$DN85,"&lt;&gt;"))</f>
      </c>
      <c r="AJ85">
        <f>IF($B85="",0,COUNTIFS('UX + Dev'!$AB$1:$DN$1,"&gt;="&amp;AJ$1,'UX + Dev'!$AB$1:$DN$1,"&lt;="&amp;EOMONTH(AJ$1,0),'UX + Dev'!$AB85:$DN85,"&lt;&gt;"))</f>
      </c>
      <c r="AK85">
        <f>IF($B85="",0,COUNTIFS('UX + Dev'!$AB$1:$DN$1,"&gt;="&amp;AK$1,'UX + Dev'!$AB$1:$DN$1,"&lt;="&amp;EOMONTH(AK$1,0),'UX + Dev'!$AB85:$DN85,"&lt;&gt;"))</f>
      </c>
      <c r="AL85">
        <f>IF($B85="",0,COUNTIFS('UX + Dev'!$AB$1:$DN$1,"&gt;="&amp;AL$1,'UX + Dev'!$AB$1:$DN$1,"&lt;="&amp;EOMONTH(AL$1,0),'UX + Dev'!$AB85:$DN85,"&lt;&gt;"))</f>
      </c>
      <c r="AM85">
        <f>IF($B85="",0,COUNTIFS('UX + Dev'!$AB$1:$DN$1,"&gt;="&amp;AM$1,'UX + Dev'!$AB$1:$DN$1,"&lt;="&amp;EOMONTH(AM$1,0),'UX + Dev'!$AB85:$DN85,"&lt;&gt;"))</f>
      </c>
      <c r="AN85">
        <f>IF($B85="",0,COUNTIFS('UX + Dev'!$AB$1:$DN$1,"&gt;="&amp;AN$1,'UX + Dev'!$AB$1:$DN$1,"&lt;="&amp;EOMONTH(AN$1,0),'UX + Dev'!$AB85:$DN85,"&lt;&gt;"))</f>
      </c>
      <c r="AO85">
        <f>IF($B85="",0,COUNTIFS('UX + Dev'!$AB$1:$DN$1,"&gt;="&amp;AO$1,'UX + Dev'!$AB$1:$DN$1,"&lt;="&amp;EOMONTH(AO$1,0),'UX + Dev'!$AB85:$DN85,"&lt;&gt;"))</f>
      </c>
      <c r="AP85">
        <f>IF($B85="",0,COUNTIFS('UX + Dev'!$AB$1:$DN$1,"&gt;="&amp;AP$1,'UX + Dev'!$AB$1:$DN$1,"&lt;="&amp;EOMONTH(AP$1,0),'UX + Dev'!$AB85:$DN85,"&lt;&gt;"))</f>
      </c>
      <c r="AQ85">
        <f>IF($B85="",0,COUNTIFS('UX + Dev'!$AB$1:$DN$1,"&gt;="&amp;AQ$1,'UX + Dev'!$AB$1:$DN$1,"&lt;="&amp;EOMONTH(AQ$1,0),'UX + Dev'!$AB85:$DN85,"&lt;&gt;"))</f>
      </c>
      <c r="AR85">
        <f>IF($B85="",0,COUNTIFS('UX + Dev'!$AB$1:$DN$1,"&gt;="&amp;AR$1,'UX + Dev'!$AB$1:$DN$1,"&lt;="&amp;EOMONTH(AR$1,0),'UX + Dev'!$AB85:$DN85,"&lt;&gt;"))</f>
      </c>
      <c r="AS85">
        <f>IF($B85="",0,COUNTIFS('UX + Dev'!$AB$1:$DN$1,"&gt;="&amp;AS$1,'UX + Dev'!$AB$1:$DN$1,"&lt;="&amp;EOMONTH(AS$1,0),'UX + Dev'!$AB85:$DN85,"&lt;&gt;"))</f>
      </c>
      <c r="AT85">
        <f>IF($B85="",0,COUNTIFS('UX + Dev'!$AB$1:$DN$1,"&gt;="&amp;AT$1,'UX + Dev'!$AB$1:$DN$1,"&lt;="&amp;EOMONTH(AT$1,0),'UX + Dev'!$AB85:$DN85,"&lt;&gt;"))</f>
      </c>
      <c r="AU85">
        <f>IF($B85="",0,COUNTIFS('UX + Dev'!$AB$1:$DN$1,"&gt;="&amp;AU$1,'UX + Dev'!$AB$1:$DN$1,"&lt;="&amp;EOMONTH(AU$1,0),'UX + Dev'!$AB85:$DN85,"&lt;&gt;"))</f>
      </c>
      <c r="AV85">
        <f>IF($B85="",0,COUNTIFS('UX + Dev'!$AB$1:$DN$1,"&gt;="&amp;AV$1,'UX + Dev'!$AB$1:$DN$1,"&lt;="&amp;EOMONTH(AV$1,0),'UX + Dev'!$AB85:$DN85,"&lt;&gt;"))</f>
      </c>
      <c r="AW85">
        <f>IF($B85="",0,COUNTIFS('UX + Dev'!$AB$1:$DN$1,"&gt;="&amp;AW$1,'UX + Dev'!$AB$1:$DN$1,"&lt;="&amp;EOMONTH(AW$1,0),'UX + Dev'!$AB85:$DN85,"&lt;&gt;"))</f>
      </c>
      <c r="AX85">
        <f>IF($B85="",0,COUNTIFS('UX + Dev'!$AB$1:$DN$1,"&gt;="&amp;AX$1,'UX + Dev'!$AB$1:$DN$1,"&lt;="&amp;EOMONTH(AX$1,0),'UX + Dev'!$AB85:$DN85,"&lt;&gt;"))</f>
      </c>
      <c r="BB85" s="308">
        <f>IF($B85="","",IF(COUNTA('UX + Dev'!U85)&gt;0,DATE(YEAR('UX + Dev'!U85),MONTH('UX + Dev'!U85),1),IF(COUNTA('UX + Dev'!V85)&gt;0,DATE(YEAR('UX + Dev'!V85),MONTH('UX + Dev'!V85),1),"")))</f>
      </c>
      <c r="BC85" s="308">
        <f>IF($B85="","",IF(COUNTA('UX + Dev'!V85)&gt;0,EOMONTH('UX + Dev'!V85,0),IF(COUNTA('UX + Dev'!U85)&gt;0,EOMONTH('UX + Dev'!U85,0),"")))</f>
      </c>
    </row>
    <row r="86">
      <c r="A86" s="305" t="n">
        <v>86</v>
      </c>
      <c r="B86" s="305">
        <f>IF(TRIM('UX + Dev'!E86)="","",TRIM('UX + Dev'!E86))</f>
      </c>
      <c r="C86" s="305">
        <f>IF($B86="","",'UX + Dev'!B86)</f>
      </c>
      <c r="D86" s="305">
        <f>IF($B86="","",IF(TRIM('UX + Dev'!C86)="","(No theme assigned)",TRIM('UX + Dev'!C86)))</f>
      </c>
      <c r="E86" s="305">
        <f>IF($B86="","",TRIM('UX + Dev'!F86))</f>
      </c>
      <c r="F86" s="305">
        <f>IF($B86="","",'UX + Dev'!G86)</f>
      </c>
      <c r="G86" s="306">
        <f t="array" ref="G86">IF($B86="","",IF($T86=0,"",IFERROR(MIN(IF('UX + Dev'!$AB86:$DN86&lt;&gt;"",'UX + Dev'!$AB$1:$DN$1)),"")))</f>
      </c>
      <c r="H86" s="306">
        <f t="array" ref="H86">IF($B86="","",IF($T86=0,"",IFERROR(MAX(IF('UX + Dev'!$AB86:$DN86&lt;&gt;"",'UX + Dev'!$AB$1:$DN$1)),"")))</f>
      </c>
      <c r="I86" s="307">
        <f>IF($R86&lt;&gt;"",$R86,IF($S86&lt;&gt;"",$S86,""))</f>
      </c>
      <c r="J86" s="307">
        <f>IF($S86&lt;&gt;"",EOMONTH($S86,0),IF($R86&lt;&gt;"",EOMONTH($R86,0),""))</f>
      </c>
      <c r="K86" s="305">
        <f>IF($B86="","",IF(COUNTA('UX + Dev'!AA86)=0,"",TRIM('UX + Dev'!AA86)))</f>
      </c>
      <c r="L86" s="305">
        <f>IF($B86="","",IFERROR(MATCH($D86,Control!$E$4:$E$30,0),99))</f>
      </c>
      <c r="M86" s="305">
        <f>IF($B86="","",IFERROR(MATCH($F86,Control!$B$4:$B$30,0),99))</f>
      </c>
      <c r="N86" s="305">
        <f>IF($V86&lt;&gt;1,"",IF('Roadmap (Auto)'!$D$3="Status, then Theme",$M86*1000000+$L86*10000+ROW(),IF('Roadmap (Auto)'!$D$3="Dev start (earliest)",IF($I86="",99999999,$I86)*10000+ROW(),IF('Roadmap (Auto)'!$D$3="UX start (earliest)",IF($G86="",99999999,$G86)*10000+ROW(),IF('Roadmap (Auto)'!$D$3="Deliverable A-Z",$W86*10000+ROW(),$L86*1000000+$M86*10000+ROW())))))</f>
      </c>
      <c r="O86" s="305">
        <f>IF($N86="","",COUNTIF($N$2:$N$151,"&lt;"&amp;$N86)+1)</f>
      </c>
      <c r="P86" s="305">
        <f>IF($B86="","",IF(COUNTA('UX + Dev'!X86)=0,"",'UX + Dev'!X86))</f>
      </c>
      <c r="Q86" s="305">
        <f>IF($B86="","",IF(COUNTA('UX + Dev'!Y86)=0,"",'UX + Dev'!Y86))</f>
      </c>
      <c r="R86" s="307">
        <f>IF($P86="","",IF(ISNUMBER($P86),DATE(YEAR($P86),MONTH($P86),1),IFERROR(DATE(IFERROR(VALUE(RIGHT(TRIM($P86),4)),YEAR(TODAY())),(SEARCH(LEFT(TRIM($P86),3),"JanFebMarAprMayJunJulAugSepOctNovDec")+2)/3,1),"")))</f>
      </c>
      <c r="S86" s="307">
        <f>IF($Q86="","",IF(ISNUMBER($Q86),DATE(YEAR($Q86),MONTH($Q86),1),IFERROR(DATE(IFERROR(VALUE(RIGHT(TRIM($Q86),4)),YEAR(TODAY())),(SEARCH(LEFT(TRIM($Q86),3),"JanFebMarAprMayJunJulAugSepOctNovDec")+2)/3,1),"")))</f>
      </c>
      <c r="T86" s="305">
        <f>IF($B86="","",COUNTA('UX + Dev'!$AB86:$DN86))</f>
      </c>
      <c r="U86" s="305">
        <f>IF($B86="","",IFERROR(MATCH($D86,Control!$E$4:$E$30,0)+3,0))</f>
      </c>
      <c r="V86" s="305">
        <f>IF($B86="","",IF(AND(OR('Roadmap (Auto)'!$A$3="",'Roadmap (Auto)'!$A$3="(All)",ISNUMBER(SEARCH('Roadmap (Auto)'!$A$3,$C86&amp;""))),OR('Roadmap (Auto)'!$B$3="",'Roadmap (Auto)'!$B$3="(All)",$D86='Roadmap (Auto)'!$B$3,$X86='Roadmap (Auto)'!$B$3),OR('Roadmap (Auto)'!$C$3="",'Roadmap (Auto)'!$C$3="(All)",$F86='Roadmap (Auto)'!$C$3)),1,0))</f>
      </c>
      <c r="W86" s="305">
        <f>IF($B86="","",COUNTIF($Y$2:$Y$151,"&lt;"&amp;$Y86)+1)</f>
      </c>
      <c r="X86" s="305">
        <f>IF($B86="","",IF(TRIM('UX + Dev'!D86)="","",TRIM('UX + Dev'!D86)))</f>
      </c>
      <c r="Y86" s="305">
        <f>IF($B86="","",SUBSTITUTE(SUBSTITUTE(SUBSTITUTE(SUBSTITUTE(SUBSTITUTE(SUBSTITUTE(SUBSTITUTE(SUBSTITUTE(SUBSTITUTE(SUBSTITUTE(SUBSTITUTE(SUBSTITUTE(SUBSTITUTE(SUBSTITUTE(SUBSTITUTE(SUBSTITUTE(SUBSTITUTE(SUBSTITUTE(SUBSTITUTE(SUBSTITUTE(SUBSTITUTE(SUBSTITUTE(SUBSTITUTE(SUBSTITUTE(SUBSTITUTE(UPPER($B86)," ",""),"-",""),":",""),"/",""),"&amp;",""),"|",""),"'",""),"’",""),"&lt;",""),"&gt;",""),",",""),"$",""),".",""),"(",""),")",""),"*",""),"?",""),"~",""),"_",""),"+",""),"#",""),";",""),"!",""),"%",""),"@",""))</f>
      </c>
      <c r="AA86">
        <f>IF($B86="",0,COUNTIFS('UX + Dev'!$AB$1:$DN$1,"&gt;="&amp;AA$1,'UX + Dev'!$AB$1:$DN$1,"&lt;="&amp;EOMONTH(AA$1,0),'UX + Dev'!$AB86:$DN86,"&lt;&gt;"))</f>
      </c>
      <c r="AB86">
        <f>IF($B86="",0,COUNTIFS('UX + Dev'!$AB$1:$DN$1,"&gt;="&amp;AB$1,'UX + Dev'!$AB$1:$DN$1,"&lt;="&amp;EOMONTH(AB$1,0),'UX + Dev'!$AB86:$DN86,"&lt;&gt;"))</f>
      </c>
      <c r="AC86">
        <f>IF($B86="",0,COUNTIFS('UX + Dev'!$AB$1:$DN$1,"&gt;="&amp;AC$1,'UX + Dev'!$AB$1:$DN$1,"&lt;="&amp;EOMONTH(AC$1,0),'UX + Dev'!$AB86:$DN86,"&lt;&gt;"))</f>
      </c>
      <c r="AD86">
        <f>IF($B86="",0,COUNTIFS('UX + Dev'!$AB$1:$DN$1,"&gt;="&amp;AD$1,'UX + Dev'!$AB$1:$DN$1,"&lt;="&amp;EOMONTH(AD$1,0),'UX + Dev'!$AB86:$DN86,"&lt;&gt;"))</f>
      </c>
      <c r="AE86">
        <f>IF($B86="",0,COUNTIFS('UX + Dev'!$AB$1:$DN$1,"&gt;="&amp;AE$1,'UX + Dev'!$AB$1:$DN$1,"&lt;="&amp;EOMONTH(AE$1,0),'UX + Dev'!$AB86:$DN86,"&lt;&gt;"))</f>
      </c>
      <c r="AF86">
        <f>IF($B86="",0,COUNTIFS('UX + Dev'!$AB$1:$DN$1,"&gt;="&amp;AF$1,'UX + Dev'!$AB$1:$DN$1,"&lt;="&amp;EOMONTH(AF$1,0),'UX + Dev'!$AB86:$DN86,"&lt;&gt;"))</f>
      </c>
      <c r="AG86">
        <f>IF($B86="",0,COUNTIFS('UX + Dev'!$AB$1:$DN$1,"&gt;="&amp;AG$1,'UX + Dev'!$AB$1:$DN$1,"&lt;="&amp;EOMONTH(AG$1,0),'UX + Dev'!$AB86:$DN86,"&lt;&gt;"))</f>
      </c>
      <c r="AH86">
        <f>IF($B86="",0,COUNTIFS('UX + Dev'!$AB$1:$DN$1,"&gt;="&amp;AH$1,'UX + Dev'!$AB$1:$DN$1,"&lt;="&amp;EOMONTH(AH$1,0),'UX + Dev'!$AB86:$DN86,"&lt;&gt;"))</f>
      </c>
      <c r="AI86">
        <f>IF($B86="",0,COUNTIFS('UX + Dev'!$AB$1:$DN$1,"&gt;="&amp;AI$1,'UX + Dev'!$AB$1:$DN$1,"&lt;="&amp;EOMONTH(AI$1,0),'UX + Dev'!$AB86:$DN86,"&lt;&gt;"))</f>
      </c>
      <c r="AJ86">
        <f>IF($B86="",0,COUNTIFS('UX + Dev'!$AB$1:$DN$1,"&gt;="&amp;AJ$1,'UX + Dev'!$AB$1:$DN$1,"&lt;="&amp;EOMONTH(AJ$1,0),'UX + Dev'!$AB86:$DN86,"&lt;&gt;"))</f>
      </c>
      <c r="AK86">
        <f>IF($B86="",0,COUNTIFS('UX + Dev'!$AB$1:$DN$1,"&gt;="&amp;AK$1,'UX + Dev'!$AB$1:$DN$1,"&lt;="&amp;EOMONTH(AK$1,0),'UX + Dev'!$AB86:$DN86,"&lt;&gt;"))</f>
      </c>
      <c r="AL86">
        <f>IF($B86="",0,COUNTIFS('UX + Dev'!$AB$1:$DN$1,"&gt;="&amp;AL$1,'UX + Dev'!$AB$1:$DN$1,"&lt;="&amp;EOMONTH(AL$1,0),'UX + Dev'!$AB86:$DN86,"&lt;&gt;"))</f>
      </c>
      <c r="AM86">
        <f>IF($B86="",0,COUNTIFS('UX + Dev'!$AB$1:$DN$1,"&gt;="&amp;AM$1,'UX + Dev'!$AB$1:$DN$1,"&lt;="&amp;EOMONTH(AM$1,0),'UX + Dev'!$AB86:$DN86,"&lt;&gt;"))</f>
      </c>
      <c r="AN86">
        <f>IF($B86="",0,COUNTIFS('UX + Dev'!$AB$1:$DN$1,"&gt;="&amp;AN$1,'UX + Dev'!$AB$1:$DN$1,"&lt;="&amp;EOMONTH(AN$1,0),'UX + Dev'!$AB86:$DN86,"&lt;&gt;"))</f>
      </c>
      <c r="AO86">
        <f>IF($B86="",0,COUNTIFS('UX + Dev'!$AB$1:$DN$1,"&gt;="&amp;AO$1,'UX + Dev'!$AB$1:$DN$1,"&lt;="&amp;EOMONTH(AO$1,0),'UX + Dev'!$AB86:$DN86,"&lt;&gt;"))</f>
      </c>
      <c r="AP86">
        <f>IF($B86="",0,COUNTIFS('UX + Dev'!$AB$1:$DN$1,"&gt;="&amp;AP$1,'UX + Dev'!$AB$1:$DN$1,"&lt;="&amp;EOMONTH(AP$1,0),'UX + Dev'!$AB86:$DN86,"&lt;&gt;"))</f>
      </c>
      <c r="AQ86">
        <f>IF($B86="",0,COUNTIFS('UX + Dev'!$AB$1:$DN$1,"&gt;="&amp;AQ$1,'UX + Dev'!$AB$1:$DN$1,"&lt;="&amp;EOMONTH(AQ$1,0),'UX + Dev'!$AB86:$DN86,"&lt;&gt;"))</f>
      </c>
      <c r="AR86">
        <f>IF($B86="",0,COUNTIFS('UX + Dev'!$AB$1:$DN$1,"&gt;="&amp;AR$1,'UX + Dev'!$AB$1:$DN$1,"&lt;="&amp;EOMONTH(AR$1,0),'UX + Dev'!$AB86:$DN86,"&lt;&gt;"))</f>
      </c>
      <c r="AS86">
        <f>IF($B86="",0,COUNTIFS('UX + Dev'!$AB$1:$DN$1,"&gt;="&amp;AS$1,'UX + Dev'!$AB$1:$DN$1,"&lt;="&amp;EOMONTH(AS$1,0),'UX + Dev'!$AB86:$DN86,"&lt;&gt;"))</f>
      </c>
      <c r="AT86">
        <f>IF($B86="",0,COUNTIFS('UX + Dev'!$AB$1:$DN$1,"&gt;="&amp;AT$1,'UX + Dev'!$AB$1:$DN$1,"&lt;="&amp;EOMONTH(AT$1,0),'UX + Dev'!$AB86:$DN86,"&lt;&gt;"))</f>
      </c>
      <c r="AU86">
        <f>IF($B86="",0,COUNTIFS('UX + Dev'!$AB$1:$DN$1,"&gt;="&amp;AU$1,'UX + Dev'!$AB$1:$DN$1,"&lt;="&amp;EOMONTH(AU$1,0),'UX + Dev'!$AB86:$DN86,"&lt;&gt;"))</f>
      </c>
      <c r="AV86">
        <f>IF($B86="",0,COUNTIFS('UX + Dev'!$AB$1:$DN$1,"&gt;="&amp;AV$1,'UX + Dev'!$AB$1:$DN$1,"&lt;="&amp;EOMONTH(AV$1,0),'UX + Dev'!$AB86:$DN86,"&lt;&gt;"))</f>
      </c>
      <c r="AW86">
        <f>IF($B86="",0,COUNTIFS('UX + Dev'!$AB$1:$DN$1,"&gt;="&amp;AW$1,'UX + Dev'!$AB$1:$DN$1,"&lt;="&amp;EOMONTH(AW$1,0),'UX + Dev'!$AB86:$DN86,"&lt;&gt;"))</f>
      </c>
      <c r="AX86">
        <f>IF($B86="",0,COUNTIFS('UX + Dev'!$AB$1:$DN$1,"&gt;="&amp;AX$1,'UX + Dev'!$AB$1:$DN$1,"&lt;="&amp;EOMONTH(AX$1,0),'UX + Dev'!$AB86:$DN86,"&lt;&gt;"))</f>
      </c>
      <c r="BB86" s="308">
        <f>IF($B86="","",IF(COUNTA('UX + Dev'!U86)&gt;0,DATE(YEAR('UX + Dev'!U86),MONTH('UX + Dev'!U86),1),IF(COUNTA('UX + Dev'!V86)&gt;0,DATE(YEAR('UX + Dev'!V86),MONTH('UX + Dev'!V86),1),"")))</f>
      </c>
      <c r="BC86" s="308">
        <f>IF($B86="","",IF(COUNTA('UX + Dev'!V86)&gt;0,EOMONTH('UX + Dev'!V86,0),IF(COUNTA('UX + Dev'!U86)&gt;0,EOMONTH('UX + Dev'!U86,0),"")))</f>
      </c>
    </row>
    <row r="87">
      <c r="A87" s="305" t="n">
        <v>87</v>
      </c>
      <c r="B87" s="305">
        <f>IF(TRIM('UX + Dev'!E87)="","",TRIM('UX + Dev'!E87))</f>
      </c>
      <c r="C87" s="305">
        <f>IF($B87="","",'UX + Dev'!B87)</f>
      </c>
      <c r="D87" s="305">
        <f>IF($B87="","",IF(TRIM('UX + Dev'!C87)="","(No theme assigned)",TRIM('UX + Dev'!C87)))</f>
      </c>
      <c r="E87" s="305">
        <f>IF($B87="","",TRIM('UX + Dev'!F87))</f>
      </c>
      <c r="F87" s="305">
        <f>IF($B87="","",'UX + Dev'!G87)</f>
      </c>
      <c r="G87" s="306">
        <f t="array" ref="G87">IF($B87="","",IF($T87=0,"",IFERROR(MIN(IF('UX + Dev'!$AB87:$DN87&lt;&gt;"",'UX + Dev'!$AB$1:$DN$1)),"")))</f>
      </c>
      <c r="H87" s="306">
        <f t="array" ref="H87">IF($B87="","",IF($T87=0,"",IFERROR(MAX(IF('UX + Dev'!$AB87:$DN87&lt;&gt;"",'UX + Dev'!$AB$1:$DN$1)),"")))</f>
      </c>
      <c r="I87" s="307">
        <f>IF($R87&lt;&gt;"",$R87,IF($S87&lt;&gt;"",$S87,""))</f>
      </c>
      <c r="J87" s="307">
        <f>IF($S87&lt;&gt;"",EOMONTH($S87,0),IF($R87&lt;&gt;"",EOMONTH($R87,0),""))</f>
      </c>
      <c r="K87" s="305">
        <f>IF($B87="","",IF(COUNTA('UX + Dev'!AA87)=0,"",TRIM('UX + Dev'!AA87)))</f>
      </c>
      <c r="L87" s="305">
        <f>IF($B87="","",IFERROR(MATCH($D87,Control!$E$4:$E$30,0),99))</f>
      </c>
      <c r="M87" s="305">
        <f>IF($B87="","",IFERROR(MATCH($F87,Control!$B$4:$B$30,0),99))</f>
      </c>
      <c r="N87" s="305">
        <f>IF($V87&lt;&gt;1,"",IF('Roadmap (Auto)'!$D$3="Status, then Theme",$M87*1000000+$L87*10000+ROW(),IF('Roadmap (Auto)'!$D$3="Dev start (earliest)",IF($I87="",99999999,$I87)*10000+ROW(),IF('Roadmap (Auto)'!$D$3="UX start (earliest)",IF($G87="",99999999,$G87)*10000+ROW(),IF('Roadmap (Auto)'!$D$3="Deliverable A-Z",$W87*10000+ROW(),$L87*1000000+$M87*10000+ROW())))))</f>
      </c>
      <c r="O87" s="305">
        <f>IF($N87="","",COUNTIF($N$2:$N$151,"&lt;"&amp;$N87)+1)</f>
      </c>
      <c r="P87" s="305">
        <f>IF($B87="","",IF(COUNTA('UX + Dev'!X87)=0,"",'UX + Dev'!X87))</f>
      </c>
      <c r="Q87" s="305">
        <f>IF($B87="","",IF(COUNTA('UX + Dev'!Y87)=0,"",'UX + Dev'!Y87))</f>
      </c>
      <c r="R87" s="307">
        <f>IF($P87="","",IF(ISNUMBER($P87),DATE(YEAR($P87),MONTH($P87),1),IFERROR(DATE(IFERROR(VALUE(RIGHT(TRIM($P87),4)),YEAR(TODAY())),(SEARCH(LEFT(TRIM($P87),3),"JanFebMarAprMayJunJulAugSepOctNovDec")+2)/3,1),"")))</f>
      </c>
      <c r="S87" s="307">
        <f>IF($Q87="","",IF(ISNUMBER($Q87),DATE(YEAR($Q87),MONTH($Q87),1),IFERROR(DATE(IFERROR(VALUE(RIGHT(TRIM($Q87),4)),YEAR(TODAY())),(SEARCH(LEFT(TRIM($Q87),3),"JanFebMarAprMayJunJulAugSepOctNovDec")+2)/3,1),"")))</f>
      </c>
      <c r="T87" s="305">
        <f>IF($B87="","",COUNTA('UX + Dev'!$AB87:$DN87))</f>
      </c>
      <c r="U87" s="305">
        <f>IF($B87="","",IFERROR(MATCH($D87,Control!$E$4:$E$30,0)+3,0))</f>
      </c>
      <c r="V87" s="305">
        <f>IF($B87="","",IF(AND(OR('Roadmap (Auto)'!$A$3="",'Roadmap (Auto)'!$A$3="(All)",ISNUMBER(SEARCH('Roadmap (Auto)'!$A$3,$C87&amp;""))),OR('Roadmap (Auto)'!$B$3="",'Roadmap (Auto)'!$B$3="(All)",$D87='Roadmap (Auto)'!$B$3,$X87='Roadmap (Auto)'!$B$3),OR('Roadmap (Auto)'!$C$3="",'Roadmap (Auto)'!$C$3="(All)",$F87='Roadmap (Auto)'!$C$3)),1,0))</f>
      </c>
      <c r="W87" s="305">
        <f>IF($B87="","",COUNTIF($Y$2:$Y$151,"&lt;"&amp;$Y87)+1)</f>
      </c>
      <c r="X87" s="305">
        <f>IF($B87="","",IF(TRIM('UX + Dev'!D87)="","",TRIM('UX + Dev'!D87)))</f>
      </c>
      <c r="Y87" s="305">
        <f>IF($B87="","",SUBSTITUTE(SUBSTITUTE(SUBSTITUTE(SUBSTITUTE(SUBSTITUTE(SUBSTITUTE(SUBSTITUTE(SUBSTITUTE(SUBSTITUTE(SUBSTITUTE(SUBSTITUTE(SUBSTITUTE(SUBSTITUTE(SUBSTITUTE(SUBSTITUTE(SUBSTITUTE(SUBSTITUTE(SUBSTITUTE(SUBSTITUTE(SUBSTITUTE(SUBSTITUTE(SUBSTITUTE(SUBSTITUTE(SUBSTITUTE(SUBSTITUTE(UPPER($B87)," ",""),"-",""),":",""),"/",""),"&amp;",""),"|",""),"'",""),"’",""),"&lt;",""),"&gt;",""),",",""),"$",""),".",""),"(",""),")",""),"*",""),"?",""),"~",""),"_",""),"+",""),"#",""),";",""),"!",""),"%",""),"@",""))</f>
      </c>
      <c r="AA87">
        <f>IF($B87="",0,COUNTIFS('UX + Dev'!$AB$1:$DN$1,"&gt;="&amp;AA$1,'UX + Dev'!$AB$1:$DN$1,"&lt;="&amp;EOMONTH(AA$1,0),'UX + Dev'!$AB87:$DN87,"&lt;&gt;"))</f>
      </c>
      <c r="AB87">
        <f>IF($B87="",0,COUNTIFS('UX + Dev'!$AB$1:$DN$1,"&gt;="&amp;AB$1,'UX + Dev'!$AB$1:$DN$1,"&lt;="&amp;EOMONTH(AB$1,0),'UX + Dev'!$AB87:$DN87,"&lt;&gt;"))</f>
      </c>
      <c r="AC87">
        <f>IF($B87="",0,COUNTIFS('UX + Dev'!$AB$1:$DN$1,"&gt;="&amp;AC$1,'UX + Dev'!$AB$1:$DN$1,"&lt;="&amp;EOMONTH(AC$1,0),'UX + Dev'!$AB87:$DN87,"&lt;&gt;"))</f>
      </c>
      <c r="AD87">
        <f>IF($B87="",0,COUNTIFS('UX + Dev'!$AB$1:$DN$1,"&gt;="&amp;AD$1,'UX + Dev'!$AB$1:$DN$1,"&lt;="&amp;EOMONTH(AD$1,0),'UX + Dev'!$AB87:$DN87,"&lt;&gt;"))</f>
      </c>
      <c r="AE87">
        <f>IF($B87="",0,COUNTIFS('UX + Dev'!$AB$1:$DN$1,"&gt;="&amp;AE$1,'UX + Dev'!$AB$1:$DN$1,"&lt;="&amp;EOMONTH(AE$1,0),'UX + Dev'!$AB87:$DN87,"&lt;&gt;"))</f>
      </c>
      <c r="AF87">
        <f>IF($B87="",0,COUNTIFS('UX + Dev'!$AB$1:$DN$1,"&gt;="&amp;AF$1,'UX + Dev'!$AB$1:$DN$1,"&lt;="&amp;EOMONTH(AF$1,0),'UX + Dev'!$AB87:$DN87,"&lt;&gt;"))</f>
      </c>
      <c r="AG87">
        <f>IF($B87="",0,COUNTIFS('UX + Dev'!$AB$1:$DN$1,"&gt;="&amp;AG$1,'UX + Dev'!$AB$1:$DN$1,"&lt;="&amp;EOMONTH(AG$1,0),'UX + Dev'!$AB87:$DN87,"&lt;&gt;"))</f>
      </c>
      <c r="AH87">
        <f>IF($B87="",0,COUNTIFS('UX + Dev'!$AB$1:$DN$1,"&gt;="&amp;AH$1,'UX + Dev'!$AB$1:$DN$1,"&lt;="&amp;EOMONTH(AH$1,0),'UX + Dev'!$AB87:$DN87,"&lt;&gt;"))</f>
      </c>
      <c r="AI87">
        <f>IF($B87="",0,COUNTIFS('UX + Dev'!$AB$1:$DN$1,"&gt;="&amp;AI$1,'UX + Dev'!$AB$1:$DN$1,"&lt;="&amp;EOMONTH(AI$1,0),'UX + Dev'!$AB87:$DN87,"&lt;&gt;"))</f>
      </c>
      <c r="AJ87">
        <f>IF($B87="",0,COUNTIFS('UX + Dev'!$AB$1:$DN$1,"&gt;="&amp;AJ$1,'UX + Dev'!$AB$1:$DN$1,"&lt;="&amp;EOMONTH(AJ$1,0),'UX + Dev'!$AB87:$DN87,"&lt;&gt;"))</f>
      </c>
      <c r="AK87">
        <f>IF($B87="",0,COUNTIFS('UX + Dev'!$AB$1:$DN$1,"&gt;="&amp;AK$1,'UX + Dev'!$AB$1:$DN$1,"&lt;="&amp;EOMONTH(AK$1,0),'UX + Dev'!$AB87:$DN87,"&lt;&gt;"))</f>
      </c>
      <c r="AL87">
        <f>IF($B87="",0,COUNTIFS('UX + Dev'!$AB$1:$DN$1,"&gt;="&amp;AL$1,'UX + Dev'!$AB$1:$DN$1,"&lt;="&amp;EOMONTH(AL$1,0),'UX + Dev'!$AB87:$DN87,"&lt;&gt;"))</f>
      </c>
      <c r="AM87">
        <f>IF($B87="",0,COUNTIFS('UX + Dev'!$AB$1:$DN$1,"&gt;="&amp;AM$1,'UX + Dev'!$AB$1:$DN$1,"&lt;="&amp;EOMONTH(AM$1,0),'UX + Dev'!$AB87:$DN87,"&lt;&gt;"))</f>
      </c>
      <c r="AN87">
        <f>IF($B87="",0,COUNTIFS('UX + Dev'!$AB$1:$DN$1,"&gt;="&amp;AN$1,'UX + Dev'!$AB$1:$DN$1,"&lt;="&amp;EOMONTH(AN$1,0),'UX + Dev'!$AB87:$DN87,"&lt;&gt;"))</f>
      </c>
      <c r="AO87">
        <f>IF($B87="",0,COUNTIFS('UX + Dev'!$AB$1:$DN$1,"&gt;="&amp;AO$1,'UX + Dev'!$AB$1:$DN$1,"&lt;="&amp;EOMONTH(AO$1,0),'UX + Dev'!$AB87:$DN87,"&lt;&gt;"))</f>
      </c>
      <c r="AP87">
        <f>IF($B87="",0,COUNTIFS('UX + Dev'!$AB$1:$DN$1,"&gt;="&amp;AP$1,'UX + Dev'!$AB$1:$DN$1,"&lt;="&amp;EOMONTH(AP$1,0),'UX + Dev'!$AB87:$DN87,"&lt;&gt;"))</f>
      </c>
      <c r="AQ87">
        <f>IF($B87="",0,COUNTIFS('UX + Dev'!$AB$1:$DN$1,"&gt;="&amp;AQ$1,'UX + Dev'!$AB$1:$DN$1,"&lt;="&amp;EOMONTH(AQ$1,0),'UX + Dev'!$AB87:$DN87,"&lt;&gt;"))</f>
      </c>
      <c r="AR87">
        <f>IF($B87="",0,COUNTIFS('UX + Dev'!$AB$1:$DN$1,"&gt;="&amp;AR$1,'UX + Dev'!$AB$1:$DN$1,"&lt;="&amp;EOMONTH(AR$1,0),'UX + Dev'!$AB87:$DN87,"&lt;&gt;"))</f>
      </c>
      <c r="AS87">
        <f>IF($B87="",0,COUNTIFS('UX + Dev'!$AB$1:$DN$1,"&gt;="&amp;AS$1,'UX + Dev'!$AB$1:$DN$1,"&lt;="&amp;EOMONTH(AS$1,0),'UX + Dev'!$AB87:$DN87,"&lt;&gt;"))</f>
      </c>
      <c r="AT87">
        <f>IF($B87="",0,COUNTIFS('UX + Dev'!$AB$1:$DN$1,"&gt;="&amp;AT$1,'UX + Dev'!$AB$1:$DN$1,"&lt;="&amp;EOMONTH(AT$1,0),'UX + Dev'!$AB87:$DN87,"&lt;&gt;"))</f>
      </c>
      <c r="AU87">
        <f>IF($B87="",0,COUNTIFS('UX + Dev'!$AB$1:$DN$1,"&gt;="&amp;AU$1,'UX + Dev'!$AB$1:$DN$1,"&lt;="&amp;EOMONTH(AU$1,0),'UX + Dev'!$AB87:$DN87,"&lt;&gt;"))</f>
      </c>
      <c r="AV87">
        <f>IF($B87="",0,COUNTIFS('UX + Dev'!$AB$1:$DN$1,"&gt;="&amp;AV$1,'UX + Dev'!$AB$1:$DN$1,"&lt;="&amp;EOMONTH(AV$1,0),'UX + Dev'!$AB87:$DN87,"&lt;&gt;"))</f>
      </c>
      <c r="AW87">
        <f>IF($B87="",0,COUNTIFS('UX + Dev'!$AB$1:$DN$1,"&gt;="&amp;AW$1,'UX + Dev'!$AB$1:$DN$1,"&lt;="&amp;EOMONTH(AW$1,0),'UX + Dev'!$AB87:$DN87,"&lt;&gt;"))</f>
      </c>
      <c r="AX87">
        <f>IF($B87="",0,COUNTIFS('UX + Dev'!$AB$1:$DN$1,"&gt;="&amp;AX$1,'UX + Dev'!$AB$1:$DN$1,"&lt;="&amp;EOMONTH(AX$1,0),'UX + Dev'!$AB87:$DN87,"&lt;&gt;"))</f>
      </c>
      <c r="BB87" s="308">
        <f>IF($B87="","",IF(COUNTA('UX + Dev'!U87)&gt;0,DATE(YEAR('UX + Dev'!U87),MONTH('UX + Dev'!U87),1),IF(COUNTA('UX + Dev'!V87)&gt;0,DATE(YEAR('UX + Dev'!V87),MONTH('UX + Dev'!V87),1),"")))</f>
      </c>
      <c r="BC87" s="308">
        <f>IF($B87="","",IF(COUNTA('UX + Dev'!V87)&gt;0,EOMONTH('UX + Dev'!V87,0),IF(COUNTA('UX + Dev'!U87)&gt;0,EOMONTH('UX + Dev'!U87,0),"")))</f>
      </c>
    </row>
    <row r="88">
      <c r="A88" s="305" t="n">
        <v>88</v>
      </c>
      <c r="B88" s="305">
        <f>IF(TRIM('UX + Dev'!E88)="","",TRIM('UX + Dev'!E88))</f>
      </c>
      <c r="C88" s="305">
        <f>IF($B88="","",'UX + Dev'!B88)</f>
      </c>
      <c r="D88" s="305">
        <f>IF($B88="","",IF(TRIM('UX + Dev'!C88)="","(No theme assigned)",TRIM('UX + Dev'!C88)))</f>
      </c>
      <c r="E88" s="305">
        <f>IF($B88="","",TRIM('UX + Dev'!F88))</f>
      </c>
      <c r="F88" s="305">
        <f>IF($B88="","",'UX + Dev'!G88)</f>
      </c>
      <c r="G88" s="306">
        <f t="array" ref="G88">IF($B88="","",IF($T88=0,"",IFERROR(MIN(IF('UX + Dev'!$AB88:$DN88&lt;&gt;"",'UX + Dev'!$AB$1:$DN$1)),"")))</f>
      </c>
      <c r="H88" s="306">
        <f t="array" ref="H88">IF($B88="","",IF($T88=0,"",IFERROR(MAX(IF('UX + Dev'!$AB88:$DN88&lt;&gt;"",'UX + Dev'!$AB$1:$DN$1)),"")))</f>
      </c>
      <c r="I88" s="307">
        <f>IF($R88&lt;&gt;"",$R88,IF($S88&lt;&gt;"",$S88,""))</f>
      </c>
      <c r="J88" s="307">
        <f>IF($S88&lt;&gt;"",EOMONTH($S88,0),IF($R88&lt;&gt;"",EOMONTH($R88,0),""))</f>
      </c>
      <c r="K88" s="305">
        <f>IF($B88="","",IF(COUNTA('UX + Dev'!AA88)=0,"",TRIM('UX + Dev'!AA88)))</f>
      </c>
      <c r="L88" s="305">
        <f>IF($B88="","",IFERROR(MATCH($D88,Control!$E$4:$E$30,0),99))</f>
      </c>
      <c r="M88" s="305">
        <f>IF($B88="","",IFERROR(MATCH($F88,Control!$B$4:$B$30,0),99))</f>
      </c>
      <c r="N88" s="305">
        <f>IF($V88&lt;&gt;1,"",IF('Roadmap (Auto)'!$D$3="Status, then Theme",$M88*1000000+$L88*10000+ROW(),IF('Roadmap (Auto)'!$D$3="Dev start (earliest)",IF($I88="",99999999,$I88)*10000+ROW(),IF('Roadmap (Auto)'!$D$3="UX start (earliest)",IF($G88="",99999999,$G88)*10000+ROW(),IF('Roadmap (Auto)'!$D$3="Deliverable A-Z",$W88*10000+ROW(),$L88*1000000+$M88*10000+ROW())))))</f>
      </c>
      <c r="O88" s="305">
        <f>IF($N88="","",COUNTIF($N$2:$N$151,"&lt;"&amp;$N88)+1)</f>
      </c>
      <c r="P88" s="305">
        <f>IF($B88="","",IF(COUNTA('UX + Dev'!X88)=0,"",'UX + Dev'!X88))</f>
      </c>
      <c r="Q88" s="305">
        <f>IF($B88="","",IF(COUNTA('UX + Dev'!Y88)=0,"",'UX + Dev'!Y88))</f>
      </c>
      <c r="R88" s="307">
        <f>IF($P88="","",IF(ISNUMBER($P88),DATE(YEAR($P88),MONTH($P88),1),IFERROR(DATE(IFERROR(VALUE(RIGHT(TRIM($P88),4)),YEAR(TODAY())),(SEARCH(LEFT(TRIM($P88),3),"JanFebMarAprMayJunJulAugSepOctNovDec")+2)/3,1),"")))</f>
      </c>
      <c r="S88" s="307">
        <f>IF($Q88="","",IF(ISNUMBER($Q88),DATE(YEAR($Q88),MONTH($Q88),1),IFERROR(DATE(IFERROR(VALUE(RIGHT(TRIM($Q88),4)),YEAR(TODAY())),(SEARCH(LEFT(TRIM($Q88),3),"JanFebMarAprMayJunJulAugSepOctNovDec")+2)/3,1),"")))</f>
      </c>
      <c r="T88" s="305">
        <f>IF($B88="","",COUNTA('UX + Dev'!$AB88:$DN88))</f>
      </c>
      <c r="U88" s="305">
        <f>IF($B88="","",IFERROR(MATCH($D88,Control!$E$4:$E$30,0)+3,0))</f>
      </c>
      <c r="V88" s="305">
        <f>IF($B88="","",IF(AND(OR('Roadmap (Auto)'!$A$3="",'Roadmap (Auto)'!$A$3="(All)",ISNUMBER(SEARCH('Roadmap (Auto)'!$A$3,$C88&amp;""))),OR('Roadmap (Auto)'!$B$3="",'Roadmap (Auto)'!$B$3="(All)",$D88='Roadmap (Auto)'!$B$3,$X88='Roadmap (Auto)'!$B$3),OR('Roadmap (Auto)'!$C$3="",'Roadmap (Auto)'!$C$3="(All)",$F88='Roadmap (Auto)'!$C$3)),1,0))</f>
      </c>
      <c r="W88" s="305">
        <f>IF($B88="","",COUNTIF($Y$2:$Y$151,"&lt;"&amp;$Y88)+1)</f>
      </c>
      <c r="X88" s="305">
        <f>IF($B88="","",IF(TRIM('UX + Dev'!D88)="","",TRIM('UX + Dev'!D88)))</f>
      </c>
      <c r="Y88" s="305">
        <f>IF($B88="","",SUBSTITUTE(SUBSTITUTE(SUBSTITUTE(SUBSTITUTE(SUBSTITUTE(SUBSTITUTE(SUBSTITUTE(SUBSTITUTE(SUBSTITUTE(SUBSTITUTE(SUBSTITUTE(SUBSTITUTE(SUBSTITUTE(SUBSTITUTE(SUBSTITUTE(SUBSTITUTE(SUBSTITUTE(SUBSTITUTE(SUBSTITUTE(SUBSTITUTE(SUBSTITUTE(SUBSTITUTE(SUBSTITUTE(SUBSTITUTE(SUBSTITUTE(UPPER($B88)," ",""),"-",""),":",""),"/",""),"&amp;",""),"|",""),"'",""),"’",""),"&lt;",""),"&gt;",""),",",""),"$",""),".",""),"(",""),")",""),"*",""),"?",""),"~",""),"_",""),"+",""),"#",""),";",""),"!",""),"%",""),"@",""))</f>
      </c>
      <c r="AA88">
        <f>IF($B88="",0,COUNTIFS('UX + Dev'!$AB$1:$DN$1,"&gt;="&amp;AA$1,'UX + Dev'!$AB$1:$DN$1,"&lt;="&amp;EOMONTH(AA$1,0),'UX + Dev'!$AB88:$DN88,"&lt;&gt;"))</f>
      </c>
      <c r="AB88">
        <f>IF($B88="",0,COUNTIFS('UX + Dev'!$AB$1:$DN$1,"&gt;="&amp;AB$1,'UX + Dev'!$AB$1:$DN$1,"&lt;="&amp;EOMONTH(AB$1,0),'UX + Dev'!$AB88:$DN88,"&lt;&gt;"))</f>
      </c>
      <c r="AC88">
        <f>IF($B88="",0,COUNTIFS('UX + Dev'!$AB$1:$DN$1,"&gt;="&amp;AC$1,'UX + Dev'!$AB$1:$DN$1,"&lt;="&amp;EOMONTH(AC$1,0),'UX + Dev'!$AB88:$DN88,"&lt;&gt;"))</f>
      </c>
      <c r="AD88">
        <f>IF($B88="",0,COUNTIFS('UX + Dev'!$AB$1:$DN$1,"&gt;="&amp;AD$1,'UX + Dev'!$AB$1:$DN$1,"&lt;="&amp;EOMONTH(AD$1,0),'UX + Dev'!$AB88:$DN88,"&lt;&gt;"))</f>
      </c>
      <c r="AE88">
        <f>IF($B88="",0,COUNTIFS('UX + Dev'!$AB$1:$DN$1,"&gt;="&amp;AE$1,'UX + Dev'!$AB$1:$DN$1,"&lt;="&amp;EOMONTH(AE$1,0),'UX + Dev'!$AB88:$DN88,"&lt;&gt;"))</f>
      </c>
      <c r="AF88">
        <f>IF($B88="",0,COUNTIFS('UX + Dev'!$AB$1:$DN$1,"&gt;="&amp;AF$1,'UX + Dev'!$AB$1:$DN$1,"&lt;="&amp;EOMONTH(AF$1,0),'UX + Dev'!$AB88:$DN88,"&lt;&gt;"))</f>
      </c>
      <c r="AG88">
        <f>IF($B88="",0,COUNTIFS('UX + Dev'!$AB$1:$DN$1,"&gt;="&amp;AG$1,'UX + Dev'!$AB$1:$DN$1,"&lt;="&amp;EOMONTH(AG$1,0),'UX + Dev'!$AB88:$DN88,"&lt;&gt;"))</f>
      </c>
      <c r="AH88">
        <f>IF($B88="",0,COUNTIFS('UX + Dev'!$AB$1:$DN$1,"&gt;="&amp;AH$1,'UX + Dev'!$AB$1:$DN$1,"&lt;="&amp;EOMONTH(AH$1,0),'UX + Dev'!$AB88:$DN88,"&lt;&gt;"))</f>
      </c>
      <c r="AI88">
        <f>IF($B88="",0,COUNTIFS('UX + Dev'!$AB$1:$DN$1,"&gt;="&amp;AI$1,'UX + Dev'!$AB$1:$DN$1,"&lt;="&amp;EOMONTH(AI$1,0),'UX + Dev'!$AB88:$DN88,"&lt;&gt;"))</f>
      </c>
      <c r="AJ88">
        <f>IF($B88="",0,COUNTIFS('UX + Dev'!$AB$1:$DN$1,"&gt;="&amp;AJ$1,'UX + Dev'!$AB$1:$DN$1,"&lt;="&amp;EOMONTH(AJ$1,0),'UX + Dev'!$AB88:$DN88,"&lt;&gt;"))</f>
      </c>
      <c r="AK88">
        <f>IF($B88="",0,COUNTIFS('UX + Dev'!$AB$1:$DN$1,"&gt;="&amp;AK$1,'UX + Dev'!$AB$1:$DN$1,"&lt;="&amp;EOMONTH(AK$1,0),'UX + Dev'!$AB88:$DN88,"&lt;&gt;"))</f>
      </c>
      <c r="AL88">
        <f>IF($B88="",0,COUNTIFS('UX + Dev'!$AB$1:$DN$1,"&gt;="&amp;AL$1,'UX + Dev'!$AB$1:$DN$1,"&lt;="&amp;EOMONTH(AL$1,0),'UX + Dev'!$AB88:$DN88,"&lt;&gt;"))</f>
      </c>
      <c r="AM88">
        <f>IF($B88="",0,COUNTIFS('UX + Dev'!$AB$1:$DN$1,"&gt;="&amp;AM$1,'UX + Dev'!$AB$1:$DN$1,"&lt;="&amp;EOMONTH(AM$1,0),'UX + Dev'!$AB88:$DN88,"&lt;&gt;"))</f>
      </c>
      <c r="AN88">
        <f>IF($B88="",0,COUNTIFS('UX + Dev'!$AB$1:$DN$1,"&gt;="&amp;AN$1,'UX + Dev'!$AB$1:$DN$1,"&lt;="&amp;EOMONTH(AN$1,0),'UX + Dev'!$AB88:$DN88,"&lt;&gt;"))</f>
      </c>
      <c r="AO88">
        <f>IF($B88="",0,COUNTIFS('UX + Dev'!$AB$1:$DN$1,"&gt;="&amp;AO$1,'UX + Dev'!$AB$1:$DN$1,"&lt;="&amp;EOMONTH(AO$1,0),'UX + Dev'!$AB88:$DN88,"&lt;&gt;"))</f>
      </c>
      <c r="AP88">
        <f>IF($B88="",0,COUNTIFS('UX + Dev'!$AB$1:$DN$1,"&gt;="&amp;AP$1,'UX + Dev'!$AB$1:$DN$1,"&lt;="&amp;EOMONTH(AP$1,0),'UX + Dev'!$AB88:$DN88,"&lt;&gt;"))</f>
      </c>
      <c r="AQ88">
        <f>IF($B88="",0,COUNTIFS('UX + Dev'!$AB$1:$DN$1,"&gt;="&amp;AQ$1,'UX + Dev'!$AB$1:$DN$1,"&lt;="&amp;EOMONTH(AQ$1,0),'UX + Dev'!$AB88:$DN88,"&lt;&gt;"))</f>
      </c>
      <c r="AR88">
        <f>IF($B88="",0,COUNTIFS('UX + Dev'!$AB$1:$DN$1,"&gt;="&amp;AR$1,'UX + Dev'!$AB$1:$DN$1,"&lt;="&amp;EOMONTH(AR$1,0),'UX + Dev'!$AB88:$DN88,"&lt;&gt;"))</f>
      </c>
      <c r="AS88">
        <f>IF($B88="",0,COUNTIFS('UX + Dev'!$AB$1:$DN$1,"&gt;="&amp;AS$1,'UX + Dev'!$AB$1:$DN$1,"&lt;="&amp;EOMONTH(AS$1,0),'UX + Dev'!$AB88:$DN88,"&lt;&gt;"))</f>
      </c>
      <c r="AT88">
        <f>IF($B88="",0,COUNTIFS('UX + Dev'!$AB$1:$DN$1,"&gt;="&amp;AT$1,'UX + Dev'!$AB$1:$DN$1,"&lt;="&amp;EOMONTH(AT$1,0),'UX + Dev'!$AB88:$DN88,"&lt;&gt;"))</f>
      </c>
      <c r="AU88">
        <f>IF($B88="",0,COUNTIFS('UX + Dev'!$AB$1:$DN$1,"&gt;="&amp;AU$1,'UX + Dev'!$AB$1:$DN$1,"&lt;="&amp;EOMONTH(AU$1,0),'UX + Dev'!$AB88:$DN88,"&lt;&gt;"))</f>
      </c>
      <c r="AV88">
        <f>IF($B88="",0,COUNTIFS('UX + Dev'!$AB$1:$DN$1,"&gt;="&amp;AV$1,'UX + Dev'!$AB$1:$DN$1,"&lt;="&amp;EOMONTH(AV$1,0),'UX + Dev'!$AB88:$DN88,"&lt;&gt;"))</f>
      </c>
      <c r="AW88">
        <f>IF($B88="",0,COUNTIFS('UX + Dev'!$AB$1:$DN$1,"&gt;="&amp;AW$1,'UX + Dev'!$AB$1:$DN$1,"&lt;="&amp;EOMONTH(AW$1,0),'UX + Dev'!$AB88:$DN88,"&lt;&gt;"))</f>
      </c>
      <c r="AX88">
        <f>IF($B88="",0,COUNTIFS('UX + Dev'!$AB$1:$DN$1,"&gt;="&amp;AX$1,'UX + Dev'!$AB$1:$DN$1,"&lt;="&amp;EOMONTH(AX$1,0),'UX + Dev'!$AB88:$DN88,"&lt;&gt;"))</f>
      </c>
      <c r="BB88" s="308">
        <f>IF($B88="","",IF(COUNTA('UX + Dev'!U88)&gt;0,DATE(YEAR('UX + Dev'!U88),MONTH('UX + Dev'!U88),1),IF(COUNTA('UX + Dev'!V88)&gt;0,DATE(YEAR('UX + Dev'!V88),MONTH('UX + Dev'!V88),1),"")))</f>
      </c>
      <c r="BC88" s="308">
        <f>IF($B88="","",IF(COUNTA('UX + Dev'!V88)&gt;0,EOMONTH('UX + Dev'!V88,0),IF(COUNTA('UX + Dev'!U88)&gt;0,EOMONTH('UX + Dev'!U88,0),"")))</f>
      </c>
    </row>
    <row r="89">
      <c r="A89" s="305" t="n">
        <v>89</v>
      </c>
      <c r="B89" s="305">
        <f>IF(TRIM('UX + Dev'!E89)="","",TRIM('UX + Dev'!E89))</f>
      </c>
      <c r="C89" s="305">
        <f>IF($B89="","",'UX + Dev'!B89)</f>
      </c>
      <c r="D89" s="305">
        <f>IF($B89="","",IF(TRIM('UX + Dev'!C89)="","(No theme assigned)",TRIM('UX + Dev'!C89)))</f>
      </c>
      <c r="E89" s="305">
        <f>IF($B89="","",TRIM('UX + Dev'!F89))</f>
      </c>
      <c r="F89" s="305">
        <f>IF($B89="","",'UX + Dev'!G89)</f>
      </c>
      <c r="G89" s="306">
        <f t="array" ref="G89">IF($B89="","",IF($T89=0,"",IFERROR(MIN(IF('UX + Dev'!$AB89:$DN89&lt;&gt;"",'UX + Dev'!$AB$1:$DN$1)),"")))</f>
      </c>
      <c r="H89" s="306">
        <f t="array" ref="H89">IF($B89="","",IF($T89=0,"",IFERROR(MAX(IF('UX + Dev'!$AB89:$DN89&lt;&gt;"",'UX + Dev'!$AB$1:$DN$1)),"")))</f>
      </c>
      <c r="I89" s="307">
        <f>IF($R89&lt;&gt;"",$R89,IF($S89&lt;&gt;"",$S89,""))</f>
      </c>
      <c r="J89" s="307">
        <f>IF($S89&lt;&gt;"",EOMONTH($S89,0),IF($R89&lt;&gt;"",EOMONTH($R89,0),""))</f>
      </c>
      <c r="K89" s="305">
        <f>IF($B89="","",IF(COUNTA('UX + Dev'!AA89)=0,"",TRIM('UX + Dev'!AA89)))</f>
      </c>
      <c r="L89" s="305">
        <f>IF($B89="","",IFERROR(MATCH($D89,Control!$E$4:$E$30,0),99))</f>
      </c>
      <c r="M89" s="305">
        <f>IF($B89="","",IFERROR(MATCH($F89,Control!$B$4:$B$30,0),99))</f>
      </c>
      <c r="N89" s="305">
        <f>IF($V89&lt;&gt;1,"",IF('Roadmap (Auto)'!$D$3="Status, then Theme",$M89*1000000+$L89*10000+ROW(),IF('Roadmap (Auto)'!$D$3="Dev start (earliest)",IF($I89="",99999999,$I89)*10000+ROW(),IF('Roadmap (Auto)'!$D$3="UX start (earliest)",IF($G89="",99999999,$G89)*10000+ROW(),IF('Roadmap (Auto)'!$D$3="Deliverable A-Z",$W89*10000+ROW(),$L89*1000000+$M89*10000+ROW())))))</f>
      </c>
      <c r="O89" s="305">
        <f>IF($N89="","",COUNTIF($N$2:$N$151,"&lt;"&amp;$N89)+1)</f>
      </c>
      <c r="P89" s="305">
        <f>IF($B89="","",IF(COUNTA('UX + Dev'!X89)=0,"",'UX + Dev'!X89))</f>
      </c>
      <c r="Q89" s="305">
        <f>IF($B89="","",IF(COUNTA('UX + Dev'!Y89)=0,"",'UX + Dev'!Y89))</f>
      </c>
      <c r="R89" s="307">
        <f>IF($P89="","",IF(ISNUMBER($P89),DATE(YEAR($P89),MONTH($P89),1),IFERROR(DATE(IFERROR(VALUE(RIGHT(TRIM($P89),4)),YEAR(TODAY())),(SEARCH(LEFT(TRIM($P89),3),"JanFebMarAprMayJunJulAugSepOctNovDec")+2)/3,1),"")))</f>
      </c>
      <c r="S89" s="307">
        <f>IF($Q89="","",IF(ISNUMBER($Q89),DATE(YEAR($Q89),MONTH($Q89),1),IFERROR(DATE(IFERROR(VALUE(RIGHT(TRIM($Q89),4)),YEAR(TODAY())),(SEARCH(LEFT(TRIM($Q89),3),"JanFebMarAprMayJunJulAugSepOctNovDec")+2)/3,1),"")))</f>
      </c>
      <c r="T89" s="305">
        <f>IF($B89="","",COUNTA('UX + Dev'!$AB89:$DN89))</f>
      </c>
      <c r="U89" s="305">
        <f>IF($B89="","",IFERROR(MATCH($D89,Control!$E$4:$E$30,0)+3,0))</f>
      </c>
      <c r="V89" s="305">
        <f>IF($B89="","",IF(AND(OR('Roadmap (Auto)'!$A$3="",'Roadmap (Auto)'!$A$3="(All)",ISNUMBER(SEARCH('Roadmap (Auto)'!$A$3,$C89&amp;""))),OR('Roadmap (Auto)'!$B$3="",'Roadmap (Auto)'!$B$3="(All)",$D89='Roadmap (Auto)'!$B$3,$X89='Roadmap (Auto)'!$B$3),OR('Roadmap (Auto)'!$C$3="",'Roadmap (Auto)'!$C$3="(All)",$F89='Roadmap (Auto)'!$C$3)),1,0))</f>
      </c>
      <c r="W89" s="305">
        <f>IF($B89="","",COUNTIF($Y$2:$Y$151,"&lt;"&amp;$Y89)+1)</f>
      </c>
      <c r="X89" s="305">
        <f>IF($B89="","",IF(TRIM('UX + Dev'!D89)="","",TRIM('UX + Dev'!D89)))</f>
      </c>
      <c r="Y89" s="305">
        <f>IF($B89="","",SUBSTITUTE(SUBSTITUTE(SUBSTITUTE(SUBSTITUTE(SUBSTITUTE(SUBSTITUTE(SUBSTITUTE(SUBSTITUTE(SUBSTITUTE(SUBSTITUTE(SUBSTITUTE(SUBSTITUTE(SUBSTITUTE(SUBSTITUTE(SUBSTITUTE(SUBSTITUTE(SUBSTITUTE(SUBSTITUTE(SUBSTITUTE(SUBSTITUTE(SUBSTITUTE(SUBSTITUTE(SUBSTITUTE(SUBSTITUTE(SUBSTITUTE(UPPER($B89)," ",""),"-",""),":",""),"/",""),"&amp;",""),"|",""),"'",""),"’",""),"&lt;",""),"&gt;",""),",",""),"$",""),".",""),"(",""),")",""),"*",""),"?",""),"~",""),"_",""),"+",""),"#",""),";",""),"!",""),"%",""),"@",""))</f>
      </c>
      <c r="AA89">
        <f>IF($B89="",0,COUNTIFS('UX + Dev'!$AB$1:$DN$1,"&gt;="&amp;AA$1,'UX + Dev'!$AB$1:$DN$1,"&lt;="&amp;EOMONTH(AA$1,0),'UX + Dev'!$AB89:$DN89,"&lt;&gt;"))</f>
      </c>
      <c r="AB89">
        <f>IF($B89="",0,COUNTIFS('UX + Dev'!$AB$1:$DN$1,"&gt;="&amp;AB$1,'UX + Dev'!$AB$1:$DN$1,"&lt;="&amp;EOMONTH(AB$1,0),'UX + Dev'!$AB89:$DN89,"&lt;&gt;"))</f>
      </c>
      <c r="AC89">
        <f>IF($B89="",0,COUNTIFS('UX + Dev'!$AB$1:$DN$1,"&gt;="&amp;AC$1,'UX + Dev'!$AB$1:$DN$1,"&lt;="&amp;EOMONTH(AC$1,0),'UX + Dev'!$AB89:$DN89,"&lt;&gt;"))</f>
      </c>
      <c r="AD89">
        <f>IF($B89="",0,COUNTIFS('UX + Dev'!$AB$1:$DN$1,"&gt;="&amp;AD$1,'UX + Dev'!$AB$1:$DN$1,"&lt;="&amp;EOMONTH(AD$1,0),'UX + Dev'!$AB89:$DN89,"&lt;&gt;"))</f>
      </c>
      <c r="AE89">
        <f>IF($B89="",0,COUNTIFS('UX + Dev'!$AB$1:$DN$1,"&gt;="&amp;AE$1,'UX + Dev'!$AB$1:$DN$1,"&lt;="&amp;EOMONTH(AE$1,0),'UX + Dev'!$AB89:$DN89,"&lt;&gt;"))</f>
      </c>
      <c r="AF89">
        <f>IF($B89="",0,COUNTIFS('UX + Dev'!$AB$1:$DN$1,"&gt;="&amp;AF$1,'UX + Dev'!$AB$1:$DN$1,"&lt;="&amp;EOMONTH(AF$1,0),'UX + Dev'!$AB89:$DN89,"&lt;&gt;"))</f>
      </c>
      <c r="AG89">
        <f>IF($B89="",0,COUNTIFS('UX + Dev'!$AB$1:$DN$1,"&gt;="&amp;AG$1,'UX + Dev'!$AB$1:$DN$1,"&lt;="&amp;EOMONTH(AG$1,0),'UX + Dev'!$AB89:$DN89,"&lt;&gt;"))</f>
      </c>
      <c r="AH89">
        <f>IF($B89="",0,COUNTIFS('UX + Dev'!$AB$1:$DN$1,"&gt;="&amp;AH$1,'UX + Dev'!$AB$1:$DN$1,"&lt;="&amp;EOMONTH(AH$1,0),'UX + Dev'!$AB89:$DN89,"&lt;&gt;"))</f>
      </c>
      <c r="AI89">
        <f>IF($B89="",0,COUNTIFS('UX + Dev'!$AB$1:$DN$1,"&gt;="&amp;AI$1,'UX + Dev'!$AB$1:$DN$1,"&lt;="&amp;EOMONTH(AI$1,0),'UX + Dev'!$AB89:$DN89,"&lt;&gt;"))</f>
      </c>
      <c r="AJ89">
        <f>IF($B89="",0,COUNTIFS('UX + Dev'!$AB$1:$DN$1,"&gt;="&amp;AJ$1,'UX + Dev'!$AB$1:$DN$1,"&lt;="&amp;EOMONTH(AJ$1,0),'UX + Dev'!$AB89:$DN89,"&lt;&gt;"))</f>
      </c>
      <c r="AK89">
        <f>IF($B89="",0,COUNTIFS('UX + Dev'!$AB$1:$DN$1,"&gt;="&amp;AK$1,'UX + Dev'!$AB$1:$DN$1,"&lt;="&amp;EOMONTH(AK$1,0),'UX + Dev'!$AB89:$DN89,"&lt;&gt;"))</f>
      </c>
      <c r="AL89">
        <f>IF($B89="",0,COUNTIFS('UX + Dev'!$AB$1:$DN$1,"&gt;="&amp;AL$1,'UX + Dev'!$AB$1:$DN$1,"&lt;="&amp;EOMONTH(AL$1,0),'UX + Dev'!$AB89:$DN89,"&lt;&gt;"))</f>
      </c>
      <c r="AM89">
        <f>IF($B89="",0,COUNTIFS('UX + Dev'!$AB$1:$DN$1,"&gt;="&amp;AM$1,'UX + Dev'!$AB$1:$DN$1,"&lt;="&amp;EOMONTH(AM$1,0),'UX + Dev'!$AB89:$DN89,"&lt;&gt;"))</f>
      </c>
      <c r="AN89">
        <f>IF($B89="",0,COUNTIFS('UX + Dev'!$AB$1:$DN$1,"&gt;="&amp;AN$1,'UX + Dev'!$AB$1:$DN$1,"&lt;="&amp;EOMONTH(AN$1,0),'UX + Dev'!$AB89:$DN89,"&lt;&gt;"))</f>
      </c>
      <c r="AO89">
        <f>IF($B89="",0,COUNTIFS('UX + Dev'!$AB$1:$DN$1,"&gt;="&amp;AO$1,'UX + Dev'!$AB$1:$DN$1,"&lt;="&amp;EOMONTH(AO$1,0),'UX + Dev'!$AB89:$DN89,"&lt;&gt;"))</f>
      </c>
      <c r="AP89">
        <f>IF($B89="",0,COUNTIFS('UX + Dev'!$AB$1:$DN$1,"&gt;="&amp;AP$1,'UX + Dev'!$AB$1:$DN$1,"&lt;="&amp;EOMONTH(AP$1,0),'UX + Dev'!$AB89:$DN89,"&lt;&gt;"))</f>
      </c>
      <c r="AQ89">
        <f>IF($B89="",0,COUNTIFS('UX + Dev'!$AB$1:$DN$1,"&gt;="&amp;AQ$1,'UX + Dev'!$AB$1:$DN$1,"&lt;="&amp;EOMONTH(AQ$1,0),'UX + Dev'!$AB89:$DN89,"&lt;&gt;"))</f>
      </c>
      <c r="AR89">
        <f>IF($B89="",0,COUNTIFS('UX + Dev'!$AB$1:$DN$1,"&gt;="&amp;AR$1,'UX + Dev'!$AB$1:$DN$1,"&lt;="&amp;EOMONTH(AR$1,0),'UX + Dev'!$AB89:$DN89,"&lt;&gt;"))</f>
      </c>
      <c r="AS89">
        <f>IF($B89="",0,COUNTIFS('UX + Dev'!$AB$1:$DN$1,"&gt;="&amp;AS$1,'UX + Dev'!$AB$1:$DN$1,"&lt;="&amp;EOMONTH(AS$1,0),'UX + Dev'!$AB89:$DN89,"&lt;&gt;"))</f>
      </c>
      <c r="AT89">
        <f>IF($B89="",0,COUNTIFS('UX + Dev'!$AB$1:$DN$1,"&gt;="&amp;AT$1,'UX + Dev'!$AB$1:$DN$1,"&lt;="&amp;EOMONTH(AT$1,0),'UX + Dev'!$AB89:$DN89,"&lt;&gt;"))</f>
      </c>
      <c r="AU89">
        <f>IF($B89="",0,COUNTIFS('UX + Dev'!$AB$1:$DN$1,"&gt;="&amp;AU$1,'UX + Dev'!$AB$1:$DN$1,"&lt;="&amp;EOMONTH(AU$1,0),'UX + Dev'!$AB89:$DN89,"&lt;&gt;"))</f>
      </c>
      <c r="AV89">
        <f>IF($B89="",0,COUNTIFS('UX + Dev'!$AB$1:$DN$1,"&gt;="&amp;AV$1,'UX + Dev'!$AB$1:$DN$1,"&lt;="&amp;EOMONTH(AV$1,0),'UX + Dev'!$AB89:$DN89,"&lt;&gt;"))</f>
      </c>
      <c r="AW89">
        <f>IF($B89="",0,COUNTIFS('UX + Dev'!$AB$1:$DN$1,"&gt;="&amp;AW$1,'UX + Dev'!$AB$1:$DN$1,"&lt;="&amp;EOMONTH(AW$1,0),'UX + Dev'!$AB89:$DN89,"&lt;&gt;"))</f>
      </c>
      <c r="AX89">
        <f>IF($B89="",0,COUNTIFS('UX + Dev'!$AB$1:$DN$1,"&gt;="&amp;AX$1,'UX + Dev'!$AB$1:$DN$1,"&lt;="&amp;EOMONTH(AX$1,0),'UX + Dev'!$AB89:$DN89,"&lt;&gt;"))</f>
      </c>
      <c r="BB89" s="308">
        <f>IF($B89="","",IF(COUNTA('UX + Dev'!U89)&gt;0,DATE(YEAR('UX + Dev'!U89),MONTH('UX + Dev'!U89),1),IF(COUNTA('UX + Dev'!V89)&gt;0,DATE(YEAR('UX + Dev'!V89),MONTH('UX + Dev'!V89),1),"")))</f>
      </c>
      <c r="BC89" s="308">
        <f>IF($B89="","",IF(COUNTA('UX + Dev'!V89)&gt;0,EOMONTH('UX + Dev'!V89,0),IF(COUNTA('UX + Dev'!U89)&gt;0,EOMONTH('UX + Dev'!U89,0),"")))</f>
      </c>
    </row>
    <row r="90">
      <c r="A90" s="305" t="n">
        <v>90</v>
      </c>
      <c r="B90" s="305">
        <f>IF(TRIM('UX + Dev'!E90)="","",TRIM('UX + Dev'!E90))</f>
      </c>
      <c r="C90" s="305">
        <f>IF($B90="","",'UX + Dev'!B90)</f>
      </c>
      <c r="D90" s="305">
        <f>IF($B90="","",IF(TRIM('UX + Dev'!C90)="","(No theme assigned)",TRIM('UX + Dev'!C90)))</f>
      </c>
      <c r="E90" s="305">
        <f>IF($B90="","",TRIM('UX + Dev'!F90))</f>
      </c>
      <c r="F90" s="305">
        <f>IF($B90="","",'UX + Dev'!G90)</f>
      </c>
      <c r="G90" s="306">
        <f t="array" ref="G90">IF($B90="","",IF($T90=0,"",IFERROR(MIN(IF('UX + Dev'!$AB90:$DN90&lt;&gt;"",'UX + Dev'!$AB$1:$DN$1)),"")))</f>
      </c>
      <c r="H90" s="306">
        <f t="array" ref="H90">IF($B90="","",IF($T90=0,"",IFERROR(MAX(IF('UX + Dev'!$AB90:$DN90&lt;&gt;"",'UX + Dev'!$AB$1:$DN$1)),"")))</f>
      </c>
      <c r="I90" s="307">
        <f>IF($R90&lt;&gt;"",$R90,IF($S90&lt;&gt;"",$S90,""))</f>
      </c>
      <c r="J90" s="307">
        <f>IF($S90&lt;&gt;"",EOMONTH($S90,0),IF($R90&lt;&gt;"",EOMONTH($R90,0),""))</f>
      </c>
      <c r="K90" s="305">
        <f>IF($B90="","",IF(COUNTA('UX + Dev'!AA90)=0,"",TRIM('UX + Dev'!AA90)))</f>
      </c>
      <c r="L90" s="305">
        <f>IF($B90="","",IFERROR(MATCH($D90,Control!$E$4:$E$30,0),99))</f>
      </c>
      <c r="M90" s="305">
        <f>IF($B90="","",IFERROR(MATCH($F90,Control!$B$4:$B$30,0),99))</f>
      </c>
      <c r="N90" s="305">
        <f>IF($V90&lt;&gt;1,"",IF('Roadmap (Auto)'!$D$3="Status, then Theme",$M90*1000000+$L90*10000+ROW(),IF('Roadmap (Auto)'!$D$3="Dev start (earliest)",IF($I90="",99999999,$I90)*10000+ROW(),IF('Roadmap (Auto)'!$D$3="UX start (earliest)",IF($G90="",99999999,$G90)*10000+ROW(),IF('Roadmap (Auto)'!$D$3="Deliverable A-Z",$W90*10000+ROW(),$L90*1000000+$M90*10000+ROW())))))</f>
      </c>
      <c r="O90" s="305">
        <f>IF($N90="","",COUNTIF($N$2:$N$151,"&lt;"&amp;$N90)+1)</f>
      </c>
      <c r="P90" s="305">
        <f>IF($B90="","",IF(COUNTA('UX + Dev'!X90)=0,"",'UX + Dev'!X90))</f>
      </c>
      <c r="Q90" s="305">
        <f>IF($B90="","",IF(COUNTA('UX + Dev'!Y90)=0,"",'UX + Dev'!Y90))</f>
      </c>
      <c r="R90" s="307">
        <f>IF($P90="","",IF(ISNUMBER($P90),DATE(YEAR($P90),MONTH($P90),1),IFERROR(DATE(IFERROR(VALUE(RIGHT(TRIM($P90),4)),YEAR(TODAY())),(SEARCH(LEFT(TRIM($P90),3),"JanFebMarAprMayJunJulAugSepOctNovDec")+2)/3,1),"")))</f>
      </c>
      <c r="S90" s="307">
        <f>IF($Q90="","",IF(ISNUMBER($Q90),DATE(YEAR($Q90),MONTH($Q90),1),IFERROR(DATE(IFERROR(VALUE(RIGHT(TRIM($Q90),4)),YEAR(TODAY())),(SEARCH(LEFT(TRIM($Q90),3),"JanFebMarAprMayJunJulAugSepOctNovDec")+2)/3,1),"")))</f>
      </c>
      <c r="T90" s="305">
        <f>IF($B90="","",COUNTA('UX + Dev'!$AB90:$DN90))</f>
      </c>
      <c r="U90" s="305">
        <f>IF($B90="","",IFERROR(MATCH($D90,Control!$E$4:$E$30,0)+3,0))</f>
      </c>
      <c r="V90" s="305">
        <f>IF($B90="","",IF(AND(OR('Roadmap (Auto)'!$A$3="",'Roadmap (Auto)'!$A$3="(All)",ISNUMBER(SEARCH('Roadmap (Auto)'!$A$3,$C90&amp;""))),OR('Roadmap (Auto)'!$B$3="",'Roadmap (Auto)'!$B$3="(All)",$D90='Roadmap (Auto)'!$B$3,$X90='Roadmap (Auto)'!$B$3),OR('Roadmap (Auto)'!$C$3="",'Roadmap (Auto)'!$C$3="(All)",$F90='Roadmap (Auto)'!$C$3)),1,0))</f>
      </c>
      <c r="W90" s="305">
        <f>IF($B90="","",COUNTIF($Y$2:$Y$151,"&lt;"&amp;$Y90)+1)</f>
      </c>
      <c r="X90" s="305">
        <f>IF($B90="","",IF(TRIM('UX + Dev'!D90)="","",TRIM('UX + Dev'!D90)))</f>
      </c>
      <c r="Y90" s="305">
        <f>IF($B90="","",SUBSTITUTE(SUBSTITUTE(SUBSTITUTE(SUBSTITUTE(SUBSTITUTE(SUBSTITUTE(SUBSTITUTE(SUBSTITUTE(SUBSTITUTE(SUBSTITUTE(SUBSTITUTE(SUBSTITUTE(SUBSTITUTE(SUBSTITUTE(SUBSTITUTE(SUBSTITUTE(SUBSTITUTE(SUBSTITUTE(SUBSTITUTE(SUBSTITUTE(SUBSTITUTE(SUBSTITUTE(SUBSTITUTE(SUBSTITUTE(SUBSTITUTE(UPPER($B90)," ",""),"-",""),":",""),"/",""),"&amp;",""),"|",""),"'",""),"’",""),"&lt;",""),"&gt;",""),",",""),"$",""),".",""),"(",""),")",""),"*",""),"?",""),"~",""),"_",""),"+",""),"#",""),";",""),"!",""),"%",""),"@",""))</f>
      </c>
      <c r="AA90">
        <f>IF($B90="",0,COUNTIFS('UX + Dev'!$AB$1:$DN$1,"&gt;="&amp;AA$1,'UX + Dev'!$AB$1:$DN$1,"&lt;="&amp;EOMONTH(AA$1,0),'UX + Dev'!$AB90:$DN90,"&lt;&gt;"))</f>
      </c>
      <c r="AB90">
        <f>IF($B90="",0,COUNTIFS('UX + Dev'!$AB$1:$DN$1,"&gt;="&amp;AB$1,'UX + Dev'!$AB$1:$DN$1,"&lt;="&amp;EOMONTH(AB$1,0),'UX + Dev'!$AB90:$DN90,"&lt;&gt;"))</f>
      </c>
      <c r="AC90">
        <f>IF($B90="",0,COUNTIFS('UX + Dev'!$AB$1:$DN$1,"&gt;="&amp;AC$1,'UX + Dev'!$AB$1:$DN$1,"&lt;="&amp;EOMONTH(AC$1,0),'UX + Dev'!$AB90:$DN90,"&lt;&gt;"))</f>
      </c>
      <c r="AD90">
        <f>IF($B90="",0,COUNTIFS('UX + Dev'!$AB$1:$DN$1,"&gt;="&amp;AD$1,'UX + Dev'!$AB$1:$DN$1,"&lt;="&amp;EOMONTH(AD$1,0),'UX + Dev'!$AB90:$DN90,"&lt;&gt;"))</f>
      </c>
      <c r="AE90">
        <f>IF($B90="",0,COUNTIFS('UX + Dev'!$AB$1:$DN$1,"&gt;="&amp;AE$1,'UX + Dev'!$AB$1:$DN$1,"&lt;="&amp;EOMONTH(AE$1,0),'UX + Dev'!$AB90:$DN90,"&lt;&gt;"))</f>
      </c>
      <c r="AF90">
        <f>IF($B90="",0,COUNTIFS('UX + Dev'!$AB$1:$DN$1,"&gt;="&amp;AF$1,'UX + Dev'!$AB$1:$DN$1,"&lt;="&amp;EOMONTH(AF$1,0),'UX + Dev'!$AB90:$DN90,"&lt;&gt;"))</f>
      </c>
      <c r="AG90">
        <f>IF($B90="",0,COUNTIFS('UX + Dev'!$AB$1:$DN$1,"&gt;="&amp;AG$1,'UX + Dev'!$AB$1:$DN$1,"&lt;="&amp;EOMONTH(AG$1,0),'UX + Dev'!$AB90:$DN90,"&lt;&gt;"))</f>
      </c>
      <c r="AH90">
        <f>IF($B90="",0,COUNTIFS('UX + Dev'!$AB$1:$DN$1,"&gt;="&amp;AH$1,'UX + Dev'!$AB$1:$DN$1,"&lt;="&amp;EOMONTH(AH$1,0),'UX + Dev'!$AB90:$DN90,"&lt;&gt;"))</f>
      </c>
      <c r="AI90">
        <f>IF($B90="",0,COUNTIFS('UX + Dev'!$AB$1:$DN$1,"&gt;="&amp;AI$1,'UX + Dev'!$AB$1:$DN$1,"&lt;="&amp;EOMONTH(AI$1,0),'UX + Dev'!$AB90:$DN90,"&lt;&gt;"))</f>
      </c>
      <c r="AJ90">
        <f>IF($B90="",0,COUNTIFS('UX + Dev'!$AB$1:$DN$1,"&gt;="&amp;AJ$1,'UX + Dev'!$AB$1:$DN$1,"&lt;="&amp;EOMONTH(AJ$1,0),'UX + Dev'!$AB90:$DN90,"&lt;&gt;"))</f>
      </c>
      <c r="AK90">
        <f>IF($B90="",0,COUNTIFS('UX + Dev'!$AB$1:$DN$1,"&gt;="&amp;AK$1,'UX + Dev'!$AB$1:$DN$1,"&lt;="&amp;EOMONTH(AK$1,0),'UX + Dev'!$AB90:$DN90,"&lt;&gt;"))</f>
      </c>
      <c r="AL90">
        <f>IF($B90="",0,COUNTIFS('UX + Dev'!$AB$1:$DN$1,"&gt;="&amp;AL$1,'UX + Dev'!$AB$1:$DN$1,"&lt;="&amp;EOMONTH(AL$1,0),'UX + Dev'!$AB90:$DN90,"&lt;&gt;"))</f>
      </c>
      <c r="AM90">
        <f>IF($B90="",0,COUNTIFS('UX + Dev'!$AB$1:$DN$1,"&gt;="&amp;AM$1,'UX + Dev'!$AB$1:$DN$1,"&lt;="&amp;EOMONTH(AM$1,0),'UX + Dev'!$AB90:$DN90,"&lt;&gt;"))</f>
      </c>
      <c r="AN90">
        <f>IF($B90="",0,COUNTIFS('UX + Dev'!$AB$1:$DN$1,"&gt;="&amp;AN$1,'UX + Dev'!$AB$1:$DN$1,"&lt;="&amp;EOMONTH(AN$1,0),'UX + Dev'!$AB90:$DN90,"&lt;&gt;"))</f>
      </c>
      <c r="AO90">
        <f>IF($B90="",0,COUNTIFS('UX + Dev'!$AB$1:$DN$1,"&gt;="&amp;AO$1,'UX + Dev'!$AB$1:$DN$1,"&lt;="&amp;EOMONTH(AO$1,0),'UX + Dev'!$AB90:$DN90,"&lt;&gt;"))</f>
      </c>
      <c r="AP90">
        <f>IF($B90="",0,COUNTIFS('UX + Dev'!$AB$1:$DN$1,"&gt;="&amp;AP$1,'UX + Dev'!$AB$1:$DN$1,"&lt;="&amp;EOMONTH(AP$1,0),'UX + Dev'!$AB90:$DN90,"&lt;&gt;"))</f>
      </c>
      <c r="AQ90">
        <f>IF($B90="",0,COUNTIFS('UX + Dev'!$AB$1:$DN$1,"&gt;="&amp;AQ$1,'UX + Dev'!$AB$1:$DN$1,"&lt;="&amp;EOMONTH(AQ$1,0),'UX + Dev'!$AB90:$DN90,"&lt;&gt;"))</f>
      </c>
      <c r="AR90">
        <f>IF($B90="",0,COUNTIFS('UX + Dev'!$AB$1:$DN$1,"&gt;="&amp;AR$1,'UX + Dev'!$AB$1:$DN$1,"&lt;="&amp;EOMONTH(AR$1,0),'UX + Dev'!$AB90:$DN90,"&lt;&gt;"))</f>
      </c>
      <c r="AS90">
        <f>IF($B90="",0,COUNTIFS('UX + Dev'!$AB$1:$DN$1,"&gt;="&amp;AS$1,'UX + Dev'!$AB$1:$DN$1,"&lt;="&amp;EOMONTH(AS$1,0),'UX + Dev'!$AB90:$DN90,"&lt;&gt;"))</f>
      </c>
      <c r="AT90">
        <f>IF($B90="",0,COUNTIFS('UX + Dev'!$AB$1:$DN$1,"&gt;="&amp;AT$1,'UX + Dev'!$AB$1:$DN$1,"&lt;="&amp;EOMONTH(AT$1,0),'UX + Dev'!$AB90:$DN90,"&lt;&gt;"))</f>
      </c>
      <c r="AU90">
        <f>IF($B90="",0,COUNTIFS('UX + Dev'!$AB$1:$DN$1,"&gt;="&amp;AU$1,'UX + Dev'!$AB$1:$DN$1,"&lt;="&amp;EOMONTH(AU$1,0),'UX + Dev'!$AB90:$DN90,"&lt;&gt;"))</f>
      </c>
      <c r="AV90">
        <f>IF($B90="",0,COUNTIFS('UX + Dev'!$AB$1:$DN$1,"&gt;="&amp;AV$1,'UX + Dev'!$AB$1:$DN$1,"&lt;="&amp;EOMONTH(AV$1,0),'UX + Dev'!$AB90:$DN90,"&lt;&gt;"))</f>
      </c>
      <c r="AW90">
        <f>IF($B90="",0,COUNTIFS('UX + Dev'!$AB$1:$DN$1,"&gt;="&amp;AW$1,'UX + Dev'!$AB$1:$DN$1,"&lt;="&amp;EOMONTH(AW$1,0),'UX + Dev'!$AB90:$DN90,"&lt;&gt;"))</f>
      </c>
      <c r="AX90">
        <f>IF($B90="",0,COUNTIFS('UX + Dev'!$AB$1:$DN$1,"&gt;="&amp;AX$1,'UX + Dev'!$AB$1:$DN$1,"&lt;="&amp;EOMONTH(AX$1,0),'UX + Dev'!$AB90:$DN90,"&lt;&gt;"))</f>
      </c>
      <c r="BB90" s="308">
        <f>IF($B90="","",IF(COUNTA('UX + Dev'!U90)&gt;0,DATE(YEAR('UX + Dev'!U90),MONTH('UX + Dev'!U90),1),IF(COUNTA('UX + Dev'!V90)&gt;0,DATE(YEAR('UX + Dev'!V90),MONTH('UX + Dev'!V90),1),"")))</f>
      </c>
      <c r="BC90" s="308">
        <f>IF($B90="","",IF(COUNTA('UX + Dev'!V90)&gt;0,EOMONTH('UX + Dev'!V90,0),IF(COUNTA('UX + Dev'!U90)&gt;0,EOMONTH('UX + Dev'!U90,0),"")))</f>
      </c>
    </row>
    <row r="91">
      <c r="A91" s="305" t="n">
        <v>91</v>
      </c>
      <c r="B91" s="305">
        <f>IF(TRIM('UX + Dev'!E91)="","",TRIM('UX + Dev'!E91))</f>
      </c>
      <c r="C91" s="305">
        <f>IF($B91="","",'UX + Dev'!B91)</f>
      </c>
      <c r="D91" s="305">
        <f>IF($B91="","",IF(TRIM('UX + Dev'!C91)="","(No theme assigned)",TRIM('UX + Dev'!C91)))</f>
      </c>
      <c r="E91" s="305">
        <f>IF($B91="","",TRIM('UX + Dev'!F91))</f>
      </c>
      <c r="F91" s="305">
        <f>IF($B91="","",'UX + Dev'!G91)</f>
      </c>
      <c r="G91" s="306">
        <f t="array" ref="G91">IF($B91="","",IF($T91=0,"",IFERROR(MIN(IF('UX + Dev'!$AB91:$DN91&lt;&gt;"",'UX + Dev'!$AB$1:$DN$1)),"")))</f>
      </c>
      <c r="H91" s="306">
        <f t="array" ref="H91">IF($B91="","",IF($T91=0,"",IFERROR(MAX(IF('UX + Dev'!$AB91:$DN91&lt;&gt;"",'UX + Dev'!$AB$1:$DN$1)),"")))</f>
      </c>
      <c r="I91" s="307">
        <f>IF($R91&lt;&gt;"",$R91,IF($S91&lt;&gt;"",$S91,""))</f>
      </c>
      <c r="J91" s="307">
        <f>IF($S91&lt;&gt;"",EOMONTH($S91,0),IF($R91&lt;&gt;"",EOMONTH($R91,0),""))</f>
      </c>
      <c r="K91" s="305">
        <f>IF($B91="","",IF(COUNTA('UX + Dev'!AA91)=0,"",TRIM('UX + Dev'!AA91)))</f>
      </c>
      <c r="L91" s="305">
        <f>IF($B91="","",IFERROR(MATCH($D91,Control!$E$4:$E$30,0),99))</f>
      </c>
      <c r="M91" s="305">
        <f>IF($B91="","",IFERROR(MATCH($F91,Control!$B$4:$B$30,0),99))</f>
      </c>
      <c r="N91" s="305">
        <f>IF($V91&lt;&gt;1,"",IF('Roadmap (Auto)'!$D$3="Status, then Theme",$M91*1000000+$L91*10000+ROW(),IF('Roadmap (Auto)'!$D$3="Dev start (earliest)",IF($I91="",99999999,$I91)*10000+ROW(),IF('Roadmap (Auto)'!$D$3="UX start (earliest)",IF($G91="",99999999,$G91)*10000+ROW(),IF('Roadmap (Auto)'!$D$3="Deliverable A-Z",$W91*10000+ROW(),$L91*1000000+$M91*10000+ROW())))))</f>
      </c>
      <c r="O91" s="305">
        <f>IF($N91="","",COUNTIF($N$2:$N$151,"&lt;"&amp;$N91)+1)</f>
      </c>
      <c r="P91" s="305">
        <f>IF($B91="","",IF(COUNTA('UX + Dev'!X91)=0,"",'UX + Dev'!X91))</f>
      </c>
      <c r="Q91" s="305">
        <f>IF($B91="","",IF(COUNTA('UX + Dev'!Y91)=0,"",'UX + Dev'!Y91))</f>
      </c>
      <c r="R91" s="307">
        <f>IF($P91="","",IF(ISNUMBER($P91),DATE(YEAR($P91),MONTH($P91),1),IFERROR(DATE(IFERROR(VALUE(RIGHT(TRIM($P91),4)),YEAR(TODAY())),(SEARCH(LEFT(TRIM($P91),3),"JanFebMarAprMayJunJulAugSepOctNovDec")+2)/3,1),"")))</f>
      </c>
      <c r="S91" s="307">
        <f>IF($Q91="","",IF(ISNUMBER($Q91),DATE(YEAR($Q91),MONTH($Q91),1),IFERROR(DATE(IFERROR(VALUE(RIGHT(TRIM($Q91),4)),YEAR(TODAY())),(SEARCH(LEFT(TRIM($Q91),3),"JanFebMarAprMayJunJulAugSepOctNovDec")+2)/3,1),"")))</f>
      </c>
      <c r="T91" s="305">
        <f>IF($B91="","",COUNTA('UX + Dev'!$AB91:$DN91))</f>
      </c>
      <c r="U91" s="305">
        <f>IF($B91="","",IFERROR(MATCH($D91,Control!$E$4:$E$30,0)+3,0))</f>
      </c>
      <c r="V91" s="305">
        <f>IF($B91="","",IF(AND(OR('Roadmap (Auto)'!$A$3="",'Roadmap (Auto)'!$A$3="(All)",ISNUMBER(SEARCH('Roadmap (Auto)'!$A$3,$C91&amp;""))),OR('Roadmap (Auto)'!$B$3="",'Roadmap (Auto)'!$B$3="(All)",$D91='Roadmap (Auto)'!$B$3,$X91='Roadmap (Auto)'!$B$3),OR('Roadmap (Auto)'!$C$3="",'Roadmap (Auto)'!$C$3="(All)",$F91='Roadmap (Auto)'!$C$3)),1,0))</f>
      </c>
      <c r="W91" s="305">
        <f>IF($B91="","",COUNTIF($Y$2:$Y$151,"&lt;"&amp;$Y91)+1)</f>
      </c>
      <c r="X91" s="305">
        <f>IF($B91="","",IF(TRIM('UX + Dev'!D91)="","",TRIM('UX + Dev'!D91)))</f>
      </c>
      <c r="Y91" s="305">
        <f>IF($B91="","",SUBSTITUTE(SUBSTITUTE(SUBSTITUTE(SUBSTITUTE(SUBSTITUTE(SUBSTITUTE(SUBSTITUTE(SUBSTITUTE(SUBSTITUTE(SUBSTITUTE(SUBSTITUTE(SUBSTITUTE(SUBSTITUTE(SUBSTITUTE(SUBSTITUTE(SUBSTITUTE(SUBSTITUTE(SUBSTITUTE(SUBSTITUTE(SUBSTITUTE(SUBSTITUTE(SUBSTITUTE(SUBSTITUTE(SUBSTITUTE(SUBSTITUTE(UPPER($B91)," ",""),"-",""),":",""),"/",""),"&amp;",""),"|",""),"'",""),"’",""),"&lt;",""),"&gt;",""),",",""),"$",""),".",""),"(",""),")",""),"*",""),"?",""),"~",""),"_",""),"+",""),"#",""),";",""),"!",""),"%",""),"@",""))</f>
      </c>
      <c r="AA91">
        <f>IF($B91="",0,COUNTIFS('UX + Dev'!$AB$1:$DN$1,"&gt;="&amp;AA$1,'UX + Dev'!$AB$1:$DN$1,"&lt;="&amp;EOMONTH(AA$1,0),'UX + Dev'!$AB91:$DN91,"&lt;&gt;"))</f>
      </c>
      <c r="AB91">
        <f>IF($B91="",0,COUNTIFS('UX + Dev'!$AB$1:$DN$1,"&gt;="&amp;AB$1,'UX + Dev'!$AB$1:$DN$1,"&lt;="&amp;EOMONTH(AB$1,0),'UX + Dev'!$AB91:$DN91,"&lt;&gt;"))</f>
      </c>
      <c r="AC91">
        <f>IF($B91="",0,COUNTIFS('UX + Dev'!$AB$1:$DN$1,"&gt;="&amp;AC$1,'UX + Dev'!$AB$1:$DN$1,"&lt;="&amp;EOMONTH(AC$1,0),'UX + Dev'!$AB91:$DN91,"&lt;&gt;"))</f>
      </c>
      <c r="AD91">
        <f>IF($B91="",0,COUNTIFS('UX + Dev'!$AB$1:$DN$1,"&gt;="&amp;AD$1,'UX + Dev'!$AB$1:$DN$1,"&lt;="&amp;EOMONTH(AD$1,0),'UX + Dev'!$AB91:$DN91,"&lt;&gt;"))</f>
      </c>
      <c r="AE91">
        <f>IF($B91="",0,COUNTIFS('UX + Dev'!$AB$1:$DN$1,"&gt;="&amp;AE$1,'UX + Dev'!$AB$1:$DN$1,"&lt;="&amp;EOMONTH(AE$1,0),'UX + Dev'!$AB91:$DN91,"&lt;&gt;"))</f>
      </c>
      <c r="AF91">
        <f>IF($B91="",0,COUNTIFS('UX + Dev'!$AB$1:$DN$1,"&gt;="&amp;AF$1,'UX + Dev'!$AB$1:$DN$1,"&lt;="&amp;EOMONTH(AF$1,0),'UX + Dev'!$AB91:$DN91,"&lt;&gt;"))</f>
      </c>
      <c r="AG91">
        <f>IF($B91="",0,COUNTIFS('UX + Dev'!$AB$1:$DN$1,"&gt;="&amp;AG$1,'UX + Dev'!$AB$1:$DN$1,"&lt;="&amp;EOMONTH(AG$1,0),'UX + Dev'!$AB91:$DN91,"&lt;&gt;"))</f>
      </c>
      <c r="AH91">
        <f>IF($B91="",0,COUNTIFS('UX + Dev'!$AB$1:$DN$1,"&gt;="&amp;AH$1,'UX + Dev'!$AB$1:$DN$1,"&lt;="&amp;EOMONTH(AH$1,0),'UX + Dev'!$AB91:$DN91,"&lt;&gt;"))</f>
      </c>
      <c r="AI91">
        <f>IF($B91="",0,COUNTIFS('UX + Dev'!$AB$1:$DN$1,"&gt;="&amp;AI$1,'UX + Dev'!$AB$1:$DN$1,"&lt;="&amp;EOMONTH(AI$1,0),'UX + Dev'!$AB91:$DN91,"&lt;&gt;"))</f>
      </c>
      <c r="AJ91">
        <f>IF($B91="",0,COUNTIFS('UX + Dev'!$AB$1:$DN$1,"&gt;="&amp;AJ$1,'UX + Dev'!$AB$1:$DN$1,"&lt;="&amp;EOMONTH(AJ$1,0),'UX + Dev'!$AB91:$DN91,"&lt;&gt;"))</f>
      </c>
      <c r="AK91">
        <f>IF($B91="",0,COUNTIFS('UX + Dev'!$AB$1:$DN$1,"&gt;="&amp;AK$1,'UX + Dev'!$AB$1:$DN$1,"&lt;="&amp;EOMONTH(AK$1,0),'UX + Dev'!$AB91:$DN91,"&lt;&gt;"))</f>
      </c>
      <c r="AL91">
        <f>IF($B91="",0,COUNTIFS('UX + Dev'!$AB$1:$DN$1,"&gt;="&amp;AL$1,'UX + Dev'!$AB$1:$DN$1,"&lt;="&amp;EOMONTH(AL$1,0),'UX + Dev'!$AB91:$DN91,"&lt;&gt;"))</f>
      </c>
      <c r="AM91">
        <f>IF($B91="",0,COUNTIFS('UX + Dev'!$AB$1:$DN$1,"&gt;="&amp;AM$1,'UX + Dev'!$AB$1:$DN$1,"&lt;="&amp;EOMONTH(AM$1,0),'UX + Dev'!$AB91:$DN91,"&lt;&gt;"))</f>
      </c>
      <c r="AN91">
        <f>IF($B91="",0,COUNTIFS('UX + Dev'!$AB$1:$DN$1,"&gt;="&amp;AN$1,'UX + Dev'!$AB$1:$DN$1,"&lt;="&amp;EOMONTH(AN$1,0),'UX + Dev'!$AB91:$DN91,"&lt;&gt;"))</f>
      </c>
      <c r="AO91">
        <f>IF($B91="",0,COUNTIFS('UX + Dev'!$AB$1:$DN$1,"&gt;="&amp;AO$1,'UX + Dev'!$AB$1:$DN$1,"&lt;="&amp;EOMONTH(AO$1,0),'UX + Dev'!$AB91:$DN91,"&lt;&gt;"))</f>
      </c>
      <c r="AP91">
        <f>IF($B91="",0,COUNTIFS('UX + Dev'!$AB$1:$DN$1,"&gt;="&amp;AP$1,'UX + Dev'!$AB$1:$DN$1,"&lt;="&amp;EOMONTH(AP$1,0),'UX + Dev'!$AB91:$DN91,"&lt;&gt;"))</f>
      </c>
      <c r="AQ91">
        <f>IF($B91="",0,COUNTIFS('UX + Dev'!$AB$1:$DN$1,"&gt;="&amp;AQ$1,'UX + Dev'!$AB$1:$DN$1,"&lt;="&amp;EOMONTH(AQ$1,0),'UX + Dev'!$AB91:$DN91,"&lt;&gt;"))</f>
      </c>
      <c r="AR91">
        <f>IF($B91="",0,COUNTIFS('UX + Dev'!$AB$1:$DN$1,"&gt;="&amp;AR$1,'UX + Dev'!$AB$1:$DN$1,"&lt;="&amp;EOMONTH(AR$1,0),'UX + Dev'!$AB91:$DN91,"&lt;&gt;"))</f>
      </c>
      <c r="AS91">
        <f>IF($B91="",0,COUNTIFS('UX + Dev'!$AB$1:$DN$1,"&gt;="&amp;AS$1,'UX + Dev'!$AB$1:$DN$1,"&lt;="&amp;EOMONTH(AS$1,0),'UX + Dev'!$AB91:$DN91,"&lt;&gt;"))</f>
      </c>
      <c r="AT91">
        <f>IF($B91="",0,COUNTIFS('UX + Dev'!$AB$1:$DN$1,"&gt;="&amp;AT$1,'UX + Dev'!$AB$1:$DN$1,"&lt;="&amp;EOMONTH(AT$1,0),'UX + Dev'!$AB91:$DN91,"&lt;&gt;"))</f>
      </c>
      <c r="AU91">
        <f>IF($B91="",0,COUNTIFS('UX + Dev'!$AB$1:$DN$1,"&gt;="&amp;AU$1,'UX + Dev'!$AB$1:$DN$1,"&lt;="&amp;EOMONTH(AU$1,0),'UX + Dev'!$AB91:$DN91,"&lt;&gt;"))</f>
      </c>
      <c r="AV91">
        <f>IF($B91="",0,COUNTIFS('UX + Dev'!$AB$1:$DN$1,"&gt;="&amp;AV$1,'UX + Dev'!$AB$1:$DN$1,"&lt;="&amp;EOMONTH(AV$1,0),'UX + Dev'!$AB91:$DN91,"&lt;&gt;"))</f>
      </c>
      <c r="AW91">
        <f>IF($B91="",0,COUNTIFS('UX + Dev'!$AB$1:$DN$1,"&gt;="&amp;AW$1,'UX + Dev'!$AB$1:$DN$1,"&lt;="&amp;EOMONTH(AW$1,0),'UX + Dev'!$AB91:$DN91,"&lt;&gt;"))</f>
      </c>
      <c r="AX91">
        <f>IF($B91="",0,COUNTIFS('UX + Dev'!$AB$1:$DN$1,"&gt;="&amp;AX$1,'UX + Dev'!$AB$1:$DN$1,"&lt;="&amp;EOMONTH(AX$1,0),'UX + Dev'!$AB91:$DN91,"&lt;&gt;"))</f>
      </c>
      <c r="BB91" s="308">
        <f>IF($B91="","",IF(COUNTA('UX + Dev'!U91)&gt;0,DATE(YEAR('UX + Dev'!U91),MONTH('UX + Dev'!U91),1),IF(COUNTA('UX + Dev'!V91)&gt;0,DATE(YEAR('UX + Dev'!V91),MONTH('UX + Dev'!V91),1),"")))</f>
      </c>
      <c r="BC91" s="308">
        <f>IF($B91="","",IF(COUNTA('UX + Dev'!V91)&gt;0,EOMONTH('UX + Dev'!V91,0),IF(COUNTA('UX + Dev'!U91)&gt;0,EOMONTH('UX + Dev'!U91,0),"")))</f>
      </c>
    </row>
    <row r="92">
      <c r="A92" s="305" t="n">
        <v>92</v>
      </c>
      <c r="B92" s="305">
        <f>IF(TRIM('UX + Dev'!E92)="","",TRIM('UX + Dev'!E92))</f>
      </c>
      <c r="C92" s="305">
        <f>IF($B92="","",'UX + Dev'!B92)</f>
      </c>
      <c r="D92" s="305">
        <f>IF($B92="","",IF(TRIM('UX + Dev'!C92)="","(No theme assigned)",TRIM('UX + Dev'!C92)))</f>
      </c>
      <c r="E92" s="305">
        <f>IF($B92="","",TRIM('UX + Dev'!F92))</f>
      </c>
      <c r="F92" s="305">
        <f>IF($B92="","",'UX + Dev'!G92)</f>
      </c>
      <c r="G92" s="306">
        <f t="array" ref="G92">IF($B92="","",IF($T92=0,"",IFERROR(MIN(IF('UX + Dev'!$AB92:$DN92&lt;&gt;"",'UX + Dev'!$AB$1:$DN$1)),"")))</f>
      </c>
      <c r="H92" s="306">
        <f t="array" ref="H92">IF($B92="","",IF($T92=0,"",IFERROR(MAX(IF('UX + Dev'!$AB92:$DN92&lt;&gt;"",'UX + Dev'!$AB$1:$DN$1)),"")))</f>
      </c>
      <c r="I92" s="307">
        <f>IF($R92&lt;&gt;"",$R92,IF($S92&lt;&gt;"",$S92,""))</f>
      </c>
      <c r="J92" s="307">
        <f>IF($S92&lt;&gt;"",EOMONTH($S92,0),IF($R92&lt;&gt;"",EOMONTH($R92,0),""))</f>
      </c>
      <c r="K92" s="305">
        <f>IF($B92="","",IF(COUNTA('UX + Dev'!AA92)=0,"",TRIM('UX + Dev'!AA92)))</f>
      </c>
      <c r="L92" s="305">
        <f>IF($B92="","",IFERROR(MATCH($D92,Control!$E$4:$E$30,0),99))</f>
      </c>
      <c r="M92" s="305">
        <f>IF($B92="","",IFERROR(MATCH($F92,Control!$B$4:$B$30,0),99))</f>
      </c>
      <c r="N92" s="305">
        <f>IF($V92&lt;&gt;1,"",IF('Roadmap (Auto)'!$D$3="Status, then Theme",$M92*1000000+$L92*10000+ROW(),IF('Roadmap (Auto)'!$D$3="Dev start (earliest)",IF($I92="",99999999,$I92)*10000+ROW(),IF('Roadmap (Auto)'!$D$3="UX start (earliest)",IF($G92="",99999999,$G92)*10000+ROW(),IF('Roadmap (Auto)'!$D$3="Deliverable A-Z",$W92*10000+ROW(),$L92*1000000+$M92*10000+ROW())))))</f>
      </c>
      <c r="O92" s="305">
        <f>IF($N92="","",COUNTIF($N$2:$N$151,"&lt;"&amp;$N92)+1)</f>
      </c>
      <c r="P92" s="305">
        <f>IF($B92="","",IF(COUNTA('UX + Dev'!X92)=0,"",'UX + Dev'!X92))</f>
      </c>
      <c r="Q92" s="305">
        <f>IF($B92="","",IF(COUNTA('UX + Dev'!Y92)=0,"",'UX + Dev'!Y92))</f>
      </c>
      <c r="R92" s="307">
        <f>IF($P92="","",IF(ISNUMBER($P92),DATE(YEAR($P92),MONTH($P92),1),IFERROR(DATE(IFERROR(VALUE(RIGHT(TRIM($P92),4)),YEAR(TODAY())),(SEARCH(LEFT(TRIM($P92),3),"JanFebMarAprMayJunJulAugSepOctNovDec")+2)/3,1),"")))</f>
      </c>
      <c r="S92" s="307">
        <f>IF($Q92="","",IF(ISNUMBER($Q92),DATE(YEAR($Q92),MONTH($Q92),1),IFERROR(DATE(IFERROR(VALUE(RIGHT(TRIM($Q92),4)),YEAR(TODAY())),(SEARCH(LEFT(TRIM($Q92),3),"JanFebMarAprMayJunJulAugSepOctNovDec")+2)/3,1),"")))</f>
      </c>
      <c r="T92" s="305">
        <f>IF($B92="","",COUNTA('UX + Dev'!$AB92:$DN92))</f>
      </c>
      <c r="U92" s="305">
        <f>IF($B92="","",IFERROR(MATCH($D92,Control!$E$4:$E$30,0)+3,0))</f>
      </c>
      <c r="V92" s="305">
        <f>IF($B92="","",IF(AND(OR('Roadmap (Auto)'!$A$3="",'Roadmap (Auto)'!$A$3="(All)",ISNUMBER(SEARCH('Roadmap (Auto)'!$A$3,$C92&amp;""))),OR('Roadmap (Auto)'!$B$3="",'Roadmap (Auto)'!$B$3="(All)",$D92='Roadmap (Auto)'!$B$3,$X92='Roadmap (Auto)'!$B$3),OR('Roadmap (Auto)'!$C$3="",'Roadmap (Auto)'!$C$3="(All)",$F92='Roadmap (Auto)'!$C$3)),1,0))</f>
      </c>
      <c r="W92" s="305">
        <f>IF($B92="","",COUNTIF($Y$2:$Y$151,"&lt;"&amp;$Y92)+1)</f>
      </c>
      <c r="X92" s="305">
        <f>IF($B92="","",IF(TRIM('UX + Dev'!D92)="","",TRIM('UX + Dev'!D92)))</f>
      </c>
      <c r="Y92" s="305">
        <f>IF($B92="","",SUBSTITUTE(SUBSTITUTE(SUBSTITUTE(SUBSTITUTE(SUBSTITUTE(SUBSTITUTE(SUBSTITUTE(SUBSTITUTE(SUBSTITUTE(SUBSTITUTE(SUBSTITUTE(SUBSTITUTE(SUBSTITUTE(SUBSTITUTE(SUBSTITUTE(SUBSTITUTE(SUBSTITUTE(SUBSTITUTE(SUBSTITUTE(SUBSTITUTE(SUBSTITUTE(SUBSTITUTE(SUBSTITUTE(SUBSTITUTE(SUBSTITUTE(UPPER($B92)," ",""),"-",""),":",""),"/",""),"&amp;",""),"|",""),"'",""),"’",""),"&lt;",""),"&gt;",""),",",""),"$",""),".",""),"(",""),")",""),"*",""),"?",""),"~",""),"_",""),"+",""),"#",""),";",""),"!",""),"%",""),"@",""))</f>
      </c>
      <c r="AA92">
        <f>IF($B92="",0,COUNTIFS('UX + Dev'!$AB$1:$DN$1,"&gt;="&amp;AA$1,'UX + Dev'!$AB$1:$DN$1,"&lt;="&amp;EOMONTH(AA$1,0),'UX + Dev'!$AB92:$DN92,"&lt;&gt;"))</f>
      </c>
      <c r="AB92">
        <f>IF($B92="",0,COUNTIFS('UX + Dev'!$AB$1:$DN$1,"&gt;="&amp;AB$1,'UX + Dev'!$AB$1:$DN$1,"&lt;="&amp;EOMONTH(AB$1,0),'UX + Dev'!$AB92:$DN92,"&lt;&gt;"))</f>
      </c>
      <c r="AC92">
        <f>IF($B92="",0,COUNTIFS('UX + Dev'!$AB$1:$DN$1,"&gt;="&amp;AC$1,'UX + Dev'!$AB$1:$DN$1,"&lt;="&amp;EOMONTH(AC$1,0),'UX + Dev'!$AB92:$DN92,"&lt;&gt;"))</f>
      </c>
      <c r="AD92">
        <f>IF($B92="",0,COUNTIFS('UX + Dev'!$AB$1:$DN$1,"&gt;="&amp;AD$1,'UX + Dev'!$AB$1:$DN$1,"&lt;="&amp;EOMONTH(AD$1,0),'UX + Dev'!$AB92:$DN92,"&lt;&gt;"))</f>
      </c>
      <c r="AE92">
        <f>IF($B92="",0,COUNTIFS('UX + Dev'!$AB$1:$DN$1,"&gt;="&amp;AE$1,'UX + Dev'!$AB$1:$DN$1,"&lt;="&amp;EOMONTH(AE$1,0),'UX + Dev'!$AB92:$DN92,"&lt;&gt;"))</f>
      </c>
      <c r="AF92">
        <f>IF($B92="",0,COUNTIFS('UX + Dev'!$AB$1:$DN$1,"&gt;="&amp;AF$1,'UX + Dev'!$AB$1:$DN$1,"&lt;="&amp;EOMONTH(AF$1,0),'UX + Dev'!$AB92:$DN92,"&lt;&gt;"))</f>
      </c>
      <c r="AG92">
        <f>IF($B92="",0,COUNTIFS('UX + Dev'!$AB$1:$DN$1,"&gt;="&amp;AG$1,'UX + Dev'!$AB$1:$DN$1,"&lt;="&amp;EOMONTH(AG$1,0),'UX + Dev'!$AB92:$DN92,"&lt;&gt;"))</f>
      </c>
      <c r="AH92">
        <f>IF($B92="",0,COUNTIFS('UX + Dev'!$AB$1:$DN$1,"&gt;="&amp;AH$1,'UX + Dev'!$AB$1:$DN$1,"&lt;="&amp;EOMONTH(AH$1,0),'UX + Dev'!$AB92:$DN92,"&lt;&gt;"))</f>
      </c>
      <c r="AI92">
        <f>IF($B92="",0,COUNTIFS('UX + Dev'!$AB$1:$DN$1,"&gt;="&amp;AI$1,'UX + Dev'!$AB$1:$DN$1,"&lt;="&amp;EOMONTH(AI$1,0),'UX + Dev'!$AB92:$DN92,"&lt;&gt;"))</f>
      </c>
      <c r="AJ92">
        <f>IF($B92="",0,COUNTIFS('UX + Dev'!$AB$1:$DN$1,"&gt;="&amp;AJ$1,'UX + Dev'!$AB$1:$DN$1,"&lt;="&amp;EOMONTH(AJ$1,0),'UX + Dev'!$AB92:$DN92,"&lt;&gt;"))</f>
      </c>
      <c r="AK92">
        <f>IF($B92="",0,COUNTIFS('UX + Dev'!$AB$1:$DN$1,"&gt;="&amp;AK$1,'UX + Dev'!$AB$1:$DN$1,"&lt;="&amp;EOMONTH(AK$1,0),'UX + Dev'!$AB92:$DN92,"&lt;&gt;"))</f>
      </c>
      <c r="AL92">
        <f>IF($B92="",0,COUNTIFS('UX + Dev'!$AB$1:$DN$1,"&gt;="&amp;AL$1,'UX + Dev'!$AB$1:$DN$1,"&lt;="&amp;EOMONTH(AL$1,0),'UX + Dev'!$AB92:$DN92,"&lt;&gt;"))</f>
      </c>
      <c r="AM92">
        <f>IF($B92="",0,COUNTIFS('UX + Dev'!$AB$1:$DN$1,"&gt;="&amp;AM$1,'UX + Dev'!$AB$1:$DN$1,"&lt;="&amp;EOMONTH(AM$1,0),'UX + Dev'!$AB92:$DN92,"&lt;&gt;"))</f>
      </c>
      <c r="AN92">
        <f>IF($B92="",0,COUNTIFS('UX + Dev'!$AB$1:$DN$1,"&gt;="&amp;AN$1,'UX + Dev'!$AB$1:$DN$1,"&lt;="&amp;EOMONTH(AN$1,0),'UX + Dev'!$AB92:$DN92,"&lt;&gt;"))</f>
      </c>
      <c r="AO92">
        <f>IF($B92="",0,COUNTIFS('UX + Dev'!$AB$1:$DN$1,"&gt;="&amp;AO$1,'UX + Dev'!$AB$1:$DN$1,"&lt;="&amp;EOMONTH(AO$1,0),'UX + Dev'!$AB92:$DN92,"&lt;&gt;"))</f>
      </c>
      <c r="AP92">
        <f>IF($B92="",0,COUNTIFS('UX + Dev'!$AB$1:$DN$1,"&gt;="&amp;AP$1,'UX + Dev'!$AB$1:$DN$1,"&lt;="&amp;EOMONTH(AP$1,0),'UX + Dev'!$AB92:$DN92,"&lt;&gt;"))</f>
      </c>
      <c r="AQ92">
        <f>IF($B92="",0,COUNTIFS('UX + Dev'!$AB$1:$DN$1,"&gt;="&amp;AQ$1,'UX + Dev'!$AB$1:$DN$1,"&lt;="&amp;EOMONTH(AQ$1,0),'UX + Dev'!$AB92:$DN92,"&lt;&gt;"))</f>
      </c>
      <c r="AR92">
        <f>IF($B92="",0,COUNTIFS('UX + Dev'!$AB$1:$DN$1,"&gt;="&amp;AR$1,'UX + Dev'!$AB$1:$DN$1,"&lt;="&amp;EOMONTH(AR$1,0),'UX + Dev'!$AB92:$DN92,"&lt;&gt;"))</f>
      </c>
      <c r="AS92">
        <f>IF($B92="",0,COUNTIFS('UX + Dev'!$AB$1:$DN$1,"&gt;="&amp;AS$1,'UX + Dev'!$AB$1:$DN$1,"&lt;="&amp;EOMONTH(AS$1,0),'UX + Dev'!$AB92:$DN92,"&lt;&gt;"))</f>
      </c>
      <c r="AT92">
        <f>IF($B92="",0,COUNTIFS('UX + Dev'!$AB$1:$DN$1,"&gt;="&amp;AT$1,'UX + Dev'!$AB$1:$DN$1,"&lt;="&amp;EOMONTH(AT$1,0),'UX + Dev'!$AB92:$DN92,"&lt;&gt;"))</f>
      </c>
      <c r="AU92">
        <f>IF($B92="",0,COUNTIFS('UX + Dev'!$AB$1:$DN$1,"&gt;="&amp;AU$1,'UX + Dev'!$AB$1:$DN$1,"&lt;="&amp;EOMONTH(AU$1,0),'UX + Dev'!$AB92:$DN92,"&lt;&gt;"))</f>
      </c>
      <c r="AV92">
        <f>IF($B92="",0,COUNTIFS('UX + Dev'!$AB$1:$DN$1,"&gt;="&amp;AV$1,'UX + Dev'!$AB$1:$DN$1,"&lt;="&amp;EOMONTH(AV$1,0),'UX + Dev'!$AB92:$DN92,"&lt;&gt;"))</f>
      </c>
      <c r="AW92">
        <f>IF($B92="",0,COUNTIFS('UX + Dev'!$AB$1:$DN$1,"&gt;="&amp;AW$1,'UX + Dev'!$AB$1:$DN$1,"&lt;="&amp;EOMONTH(AW$1,0),'UX + Dev'!$AB92:$DN92,"&lt;&gt;"))</f>
      </c>
      <c r="AX92">
        <f>IF($B92="",0,COUNTIFS('UX + Dev'!$AB$1:$DN$1,"&gt;="&amp;AX$1,'UX + Dev'!$AB$1:$DN$1,"&lt;="&amp;EOMONTH(AX$1,0),'UX + Dev'!$AB92:$DN92,"&lt;&gt;"))</f>
      </c>
      <c r="BB92" s="308">
        <f>IF($B92="","",IF(COUNTA('UX + Dev'!U92)&gt;0,DATE(YEAR('UX + Dev'!U92),MONTH('UX + Dev'!U92),1),IF(COUNTA('UX + Dev'!V92)&gt;0,DATE(YEAR('UX + Dev'!V92),MONTH('UX + Dev'!V92),1),"")))</f>
      </c>
      <c r="BC92" s="308">
        <f>IF($B92="","",IF(COUNTA('UX + Dev'!V92)&gt;0,EOMONTH('UX + Dev'!V92,0),IF(COUNTA('UX + Dev'!U92)&gt;0,EOMONTH('UX + Dev'!U92,0),"")))</f>
      </c>
    </row>
    <row r="93">
      <c r="A93" s="305" t="n">
        <v>93</v>
      </c>
      <c r="B93" s="305">
        <f>IF(TRIM('UX + Dev'!E93)="","",TRIM('UX + Dev'!E93))</f>
      </c>
      <c r="C93" s="305">
        <f>IF($B93="","",'UX + Dev'!B93)</f>
      </c>
      <c r="D93" s="305">
        <f>IF($B93="","",IF(TRIM('UX + Dev'!C93)="","(No theme assigned)",TRIM('UX + Dev'!C93)))</f>
      </c>
      <c r="E93" s="305">
        <f>IF($B93="","",TRIM('UX + Dev'!F93))</f>
      </c>
      <c r="F93" s="305">
        <f>IF($B93="","",'UX + Dev'!G93)</f>
      </c>
      <c r="G93" s="306">
        <f t="array" ref="G93">IF($B93="","",IF($T93=0,"",IFERROR(MIN(IF('UX + Dev'!$AB93:$DN93&lt;&gt;"",'UX + Dev'!$AB$1:$DN$1)),"")))</f>
      </c>
      <c r="H93" s="306">
        <f t="array" ref="H93">IF($B93="","",IF($T93=0,"",IFERROR(MAX(IF('UX + Dev'!$AB93:$DN93&lt;&gt;"",'UX + Dev'!$AB$1:$DN$1)),"")))</f>
      </c>
      <c r="I93" s="307">
        <f>IF($R93&lt;&gt;"",$R93,IF($S93&lt;&gt;"",$S93,""))</f>
      </c>
      <c r="J93" s="307">
        <f>IF($S93&lt;&gt;"",EOMONTH($S93,0),IF($R93&lt;&gt;"",EOMONTH($R93,0),""))</f>
      </c>
      <c r="K93" s="305">
        <f>IF($B93="","",IF(COUNTA('UX + Dev'!AA93)=0,"",TRIM('UX + Dev'!AA93)))</f>
      </c>
      <c r="L93" s="305">
        <f>IF($B93="","",IFERROR(MATCH($D93,Control!$E$4:$E$30,0),99))</f>
      </c>
      <c r="M93" s="305">
        <f>IF($B93="","",IFERROR(MATCH($F93,Control!$B$4:$B$30,0),99))</f>
      </c>
      <c r="N93" s="305">
        <f>IF($V93&lt;&gt;1,"",IF('Roadmap (Auto)'!$D$3="Status, then Theme",$M93*1000000+$L93*10000+ROW(),IF('Roadmap (Auto)'!$D$3="Dev start (earliest)",IF($I93="",99999999,$I93)*10000+ROW(),IF('Roadmap (Auto)'!$D$3="UX start (earliest)",IF($G93="",99999999,$G93)*10000+ROW(),IF('Roadmap (Auto)'!$D$3="Deliverable A-Z",$W93*10000+ROW(),$L93*1000000+$M93*10000+ROW())))))</f>
      </c>
      <c r="O93" s="305">
        <f>IF($N93="","",COUNTIF($N$2:$N$151,"&lt;"&amp;$N93)+1)</f>
      </c>
      <c r="P93" s="305">
        <f>IF($B93="","",IF(COUNTA('UX + Dev'!X93)=0,"",'UX + Dev'!X93))</f>
      </c>
      <c r="Q93" s="305">
        <f>IF($B93="","",IF(COUNTA('UX + Dev'!Y93)=0,"",'UX + Dev'!Y93))</f>
      </c>
      <c r="R93" s="307">
        <f>IF($P93="","",IF(ISNUMBER($P93),DATE(YEAR($P93),MONTH($P93),1),IFERROR(DATE(IFERROR(VALUE(RIGHT(TRIM($P93),4)),YEAR(TODAY())),(SEARCH(LEFT(TRIM($P93),3),"JanFebMarAprMayJunJulAugSepOctNovDec")+2)/3,1),"")))</f>
      </c>
      <c r="S93" s="307">
        <f>IF($Q93="","",IF(ISNUMBER($Q93),DATE(YEAR($Q93),MONTH($Q93),1),IFERROR(DATE(IFERROR(VALUE(RIGHT(TRIM($Q93),4)),YEAR(TODAY())),(SEARCH(LEFT(TRIM($Q93),3),"JanFebMarAprMayJunJulAugSepOctNovDec")+2)/3,1),"")))</f>
      </c>
      <c r="T93" s="305">
        <f>IF($B93="","",COUNTA('UX + Dev'!$AB93:$DN93))</f>
      </c>
      <c r="U93" s="305">
        <f>IF($B93="","",IFERROR(MATCH($D93,Control!$E$4:$E$30,0)+3,0))</f>
      </c>
      <c r="V93" s="305">
        <f>IF($B93="","",IF(AND(OR('Roadmap (Auto)'!$A$3="",'Roadmap (Auto)'!$A$3="(All)",ISNUMBER(SEARCH('Roadmap (Auto)'!$A$3,$C93&amp;""))),OR('Roadmap (Auto)'!$B$3="",'Roadmap (Auto)'!$B$3="(All)",$D93='Roadmap (Auto)'!$B$3,$X93='Roadmap (Auto)'!$B$3),OR('Roadmap (Auto)'!$C$3="",'Roadmap (Auto)'!$C$3="(All)",$F93='Roadmap (Auto)'!$C$3)),1,0))</f>
      </c>
      <c r="W93" s="305">
        <f>IF($B93="","",COUNTIF($Y$2:$Y$151,"&lt;"&amp;$Y93)+1)</f>
      </c>
      <c r="X93" s="305">
        <f>IF($B93="","",IF(TRIM('UX + Dev'!D93)="","",TRIM('UX + Dev'!D93)))</f>
      </c>
      <c r="Y93" s="305">
        <f>IF($B93="","",SUBSTITUTE(SUBSTITUTE(SUBSTITUTE(SUBSTITUTE(SUBSTITUTE(SUBSTITUTE(SUBSTITUTE(SUBSTITUTE(SUBSTITUTE(SUBSTITUTE(SUBSTITUTE(SUBSTITUTE(SUBSTITUTE(SUBSTITUTE(SUBSTITUTE(SUBSTITUTE(SUBSTITUTE(SUBSTITUTE(SUBSTITUTE(SUBSTITUTE(SUBSTITUTE(SUBSTITUTE(SUBSTITUTE(SUBSTITUTE(SUBSTITUTE(UPPER($B93)," ",""),"-",""),":",""),"/",""),"&amp;",""),"|",""),"'",""),"’",""),"&lt;",""),"&gt;",""),",",""),"$",""),".",""),"(",""),")",""),"*",""),"?",""),"~",""),"_",""),"+",""),"#",""),";",""),"!",""),"%",""),"@",""))</f>
      </c>
      <c r="AA93">
        <f>IF($B93="",0,COUNTIFS('UX + Dev'!$AB$1:$DN$1,"&gt;="&amp;AA$1,'UX + Dev'!$AB$1:$DN$1,"&lt;="&amp;EOMONTH(AA$1,0),'UX + Dev'!$AB93:$DN93,"&lt;&gt;"))</f>
      </c>
      <c r="AB93">
        <f>IF($B93="",0,COUNTIFS('UX + Dev'!$AB$1:$DN$1,"&gt;="&amp;AB$1,'UX + Dev'!$AB$1:$DN$1,"&lt;="&amp;EOMONTH(AB$1,0),'UX + Dev'!$AB93:$DN93,"&lt;&gt;"))</f>
      </c>
      <c r="AC93">
        <f>IF($B93="",0,COUNTIFS('UX + Dev'!$AB$1:$DN$1,"&gt;="&amp;AC$1,'UX + Dev'!$AB$1:$DN$1,"&lt;="&amp;EOMONTH(AC$1,0),'UX + Dev'!$AB93:$DN93,"&lt;&gt;"))</f>
      </c>
      <c r="AD93">
        <f>IF($B93="",0,COUNTIFS('UX + Dev'!$AB$1:$DN$1,"&gt;="&amp;AD$1,'UX + Dev'!$AB$1:$DN$1,"&lt;="&amp;EOMONTH(AD$1,0),'UX + Dev'!$AB93:$DN93,"&lt;&gt;"))</f>
      </c>
      <c r="AE93">
        <f>IF($B93="",0,COUNTIFS('UX + Dev'!$AB$1:$DN$1,"&gt;="&amp;AE$1,'UX + Dev'!$AB$1:$DN$1,"&lt;="&amp;EOMONTH(AE$1,0),'UX + Dev'!$AB93:$DN93,"&lt;&gt;"))</f>
      </c>
      <c r="AF93">
        <f>IF($B93="",0,COUNTIFS('UX + Dev'!$AB$1:$DN$1,"&gt;="&amp;AF$1,'UX + Dev'!$AB$1:$DN$1,"&lt;="&amp;EOMONTH(AF$1,0),'UX + Dev'!$AB93:$DN93,"&lt;&gt;"))</f>
      </c>
      <c r="AG93">
        <f>IF($B93="",0,COUNTIFS('UX + Dev'!$AB$1:$DN$1,"&gt;="&amp;AG$1,'UX + Dev'!$AB$1:$DN$1,"&lt;="&amp;EOMONTH(AG$1,0),'UX + Dev'!$AB93:$DN93,"&lt;&gt;"))</f>
      </c>
      <c r="AH93">
        <f>IF($B93="",0,COUNTIFS('UX + Dev'!$AB$1:$DN$1,"&gt;="&amp;AH$1,'UX + Dev'!$AB$1:$DN$1,"&lt;="&amp;EOMONTH(AH$1,0),'UX + Dev'!$AB93:$DN93,"&lt;&gt;"))</f>
      </c>
      <c r="AI93">
        <f>IF($B93="",0,COUNTIFS('UX + Dev'!$AB$1:$DN$1,"&gt;="&amp;AI$1,'UX + Dev'!$AB$1:$DN$1,"&lt;="&amp;EOMONTH(AI$1,0),'UX + Dev'!$AB93:$DN93,"&lt;&gt;"))</f>
      </c>
      <c r="AJ93">
        <f>IF($B93="",0,COUNTIFS('UX + Dev'!$AB$1:$DN$1,"&gt;="&amp;AJ$1,'UX + Dev'!$AB$1:$DN$1,"&lt;="&amp;EOMONTH(AJ$1,0),'UX + Dev'!$AB93:$DN93,"&lt;&gt;"))</f>
      </c>
      <c r="AK93">
        <f>IF($B93="",0,COUNTIFS('UX + Dev'!$AB$1:$DN$1,"&gt;="&amp;AK$1,'UX + Dev'!$AB$1:$DN$1,"&lt;="&amp;EOMONTH(AK$1,0),'UX + Dev'!$AB93:$DN93,"&lt;&gt;"))</f>
      </c>
      <c r="AL93">
        <f>IF($B93="",0,COUNTIFS('UX + Dev'!$AB$1:$DN$1,"&gt;="&amp;AL$1,'UX + Dev'!$AB$1:$DN$1,"&lt;="&amp;EOMONTH(AL$1,0),'UX + Dev'!$AB93:$DN93,"&lt;&gt;"))</f>
      </c>
      <c r="AM93">
        <f>IF($B93="",0,COUNTIFS('UX + Dev'!$AB$1:$DN$1,"&gt;="&amp;AM$1,'UX + Dev'!$AB$1:$DN$1,"&lt;="&amp;EOMONTH(AM$1,0),'UX + Dev'!$AB93:$DN93,"&lt;&gt;"))</f>
      </c>
      <c r="AN93">
        <f>IF($B93="",0,COUNTIFS('UX + Dev'!$AB$1:$DN$1,"&gt;="&amp;AN$1,'UX + Dev'!$AB$1:$DN$1,"&lt;="&amp;EOMONTH(AN$1,0),'UX + Dev'!$AB93:$DN93,"&lt;&gt;"))</f>
      </c>
      <c r="AO93">
        <f>IF($B93="",0,COUNTIFS('UX + Dev'!$AB$1:$DN$1,"&gt;="&amp;AO$1,'UX + Dev'!$AB$1:$DN$1,"&lt;="&amp;EOMONTH(AO$1,0),'UX + Dev'!$AB93:$DN93,"&lt;&gt;"))</f>
      </c>
      <c r="AP93">
        <f>IF($B93="",0,COUNTIFS('UX + Dev'!$AB$1:$DN$1,"&gt;="&amp;AP$1,'UX + Dev'!$AB$1:$DN$1,"&lt;="&amp;EOMONTH(AP$1,0),'UX + Dev'!$AB93:$DN93,"&lt;&gt;"))</f>
      </c>
      <c r="AQ93">
        <f>IF($B93="",0,COUNTIFS('UX + Dev'!$AB$1:$DN$1,"&gt;="&amp;AQ$1,'UX + Dev'!$AB$1:$DN$1,"&lt;="&amp;EOMONTH(AQ$1,0),'UX + Dev'!$AB93:$DN93,"&lt;&gt;"))</f>
      </c>
      <c r="AR93">
        <f>IF($B93="",0,COUNTIFS('UX + Dev'!$AB$1:$DN$1,"&gt;="&amp;AR$1,'UX + Dev'!$AB$1:$DN$1,"&lt;="&amp;EOMONTH(AR$1,0),'UX + Dev'!$AB93:$DN93,"&lt;&gt;"))</f>
      </c>
      <c r="AS93">
        <f>IF($B93="",0,COUNTIFS('UX + Dev'!$AB$1:$DN$1,"&gt;="&amp;AS$1,'UX + Dev'!$AB$1:$DN$1,"&lt;="&amp;EOMONTH(AS$1,0),'UX + Dev'!$AB93:$DN93,"&lt;&gt;"))</f>
      </c>
      <c r="AT93">
        <f>IF($B93="",0,COUNTIFS('UX + Dev'!$AB$1:$DN$1,"&gt;="&amp;AT$1,'UX + Dev'!$AB$1:$DN$1,"&lt;="&amp;EOMONTH(AT$1,0),'UX + Dev'!$AB93:$DN93,"&lt;&gt;"))</f>
      </c>
      <c r="AU93">
        <f>IF($B93="",0,COUNTIFS('UX + Dev'!$AB$1:$DN$1,"&gt;="&amp;AU$1,'UX + Dev'!$AB$1:$DN$1,"&lt;="&amp;EOMONTH(AU$1,0),'UX + Dev'!$AB93:$DN93,"&lt;&gt;"))</f>
      </c>
      <c r="AV93">
        <f>IF($B93="",0,COUNTIFS('UX + Dev'!$AB$1:$DN$1,"&gt;="&amp;AV$1,'UX + Dev'!$AB$1:$DN$1,"&lt;="&amp;EOMONTH(AV$1,0),'UX + Dev'!$AB93:$DN93,"&lt;&gt;"))</f>
      </c>
      <c r="AW93">
        <f>IF($B93="",0,COUNTIFS('UX + Dev'!$AB$1:$DN$1,"&gt;="&amp;AW$1,'UX + Dev'!$AB$1:$DN$1,"&lt;="&amp;EOMONTH(AW$1,0),'UX + Dev'!$AB93:$DN93,"&lt;&gt;"))</f>
      </c>
      <c r="AX93">
        <f>IF($B93="",0,COUNTIFS('UX + Dev'!$AB$1:$DN$1,"&gt;="&amp;AX$1,'UX + Dev'!$AB$1:$DN$1,"&lt;="&amp;EOMONTH(AX$1,0),'UX + Dev'!$AB93:$DN93,"&lt;&gt;"))</f>
      </c>
      <c r="BB93" s="308">
        <f>IF($B93="","",IF(COUNTA('UX + Dev'!U93)&gt;0,DATE(YEAR('UX + Dev'!U93),MONTH('UX + Dev'!U93),1),IF(COUNTA('UX + Dev'!V93)&gt;0,DATE(YEAR('UX + Dev'!V93),MONTH('UX + Dev'!V93),1),"")))</f>
      </c>
      <c r="BC93" s="308">
        <f>IF($B93="","",IF(COUNTA('UX + Dev'!V93)&gt;0,EOMONTH('UX + Dev'!V93,0),IF(COUNTA('UX + Dev'!U93)&gt;0,EOMONTH('UX + Dev'!U93,0),"")))</f>
      </c>
    </row>
    <row r="94">
      <c r="A94" s="305" t="n">
        <v>94</v>
      </c>
      <c r="B94" s="305">
        <f>IF(TRIM('UX + Dev'!E94)="","",TRIM('UX + Dev'!E94))</f>
      </c>
      <c r="C94" s="305">
        <f>IF($B94="","",'UX + Dev'!B94)</f>
      </c>
      <c r="D94" s="305">
        <f>IF($B94="","",IF(TRIM('UX + Dev'!C94)="","(No theme assigned)",TRIM('UX + Dev'!C94)))</f>
      </c>
      <c r="E94" s="305">
        <f>IF($B94="","",TRIM('UX + Dev'!F94))</f>
      </c>
      <c r="F94" s="305">
        <f>IF($B94="","",'UX + Dev'!G94)</f>
      </c>
      <c r="G94" s="306">
        <f t="array" ref="G94">IF($B94="","",IF($T94=0,"",IFERROR(MIN(IF('UX + Dev'!$AB94:$DN94&lt;&gt;"",'UX + Dev'!$AB$1:$DN$1)),"")))</f>
      </c>
      <c r="H94" s="306">
        <f t="array" ref="H94">IF($B94="","",IF($T94=0,"",IFERROR(MAX(IF('UX + Dev'!$AB94:$DN94&lt;&gt;"",'UX + Dev'!$AB$1:$DN$1)),"")))</f>
      </c>
      <c r="I94" s="307">
        <f>IF($R94&lt;&gt;"",$R94,IF($S94&lt;&gt;"",$S94,""))</f>
      </c>
      <c r="J94" s="307">
        <f>IF($S94&lt;&gt;"",EOMONTH($S94,0),IF($R94&lt;&gt;"",EOMONTH($R94,0),""))</f>
      </c>
      <c r="K94" s="305">
        <f>IF($B94="","",IF(COUNTA('UX + Dev'!AA94)=0,"",TRIM('UX + Dev'!AA94)))</f>
      </c>
      <c r="L94" s="305">
        <f>IF($B94="","",IFERROR(MATCH($D94,Control!$E$4:$E$30,0),99))</f>
      </c>
      <c r="M94" s="305">
        <f>IF($B94="","",IFERROR(MATCH($F94,Control!$B$4:$B$30,0),99))</f>
      </c>
      <c r="N94" s="305">
        <f>IF($V94&lt;&gt;1,"",IF('Roadmap (Auto)'!$D$3="Status, then Theme",$M94*1000000+$L94*10000+ROW(),IF('Roadmap (Auto)'!$D$3="Dev start (earliest)",IF($I94="",99999999,$I94)*10000+ROW(),IF('Roadmap (Auto)'!$D$3="UX start (earliest)",IF($G94="",99999999,$G94)*10000+ROW(),IF('Roadmap (Auto)'!$D$3="Deliverable A-Z",$W94*10000+ROW(),$L94*1000000+$M94*10000+ROW())))))</f>
      </c>
      <c r="O94" s="305">
        <f>IF($N94="","",COUNTIF($N$2:$N$151,"&lt;"&amp;$N94)+1)</f>
      </c>
      <c r="P94" s="305">
        <f>IF($B94="","",IF(COUNTA('UX + Dev'!X94)=0,"",'UX + Dev'!X94))</f>
      </c>
      <c r="Q94" s="305">
        <f>IF($B94="","",IF(COUNTA('UX + Dev'!Y94)=0,"",'UX + Dev'!Y94))</f>
      </c>
      <c r="R94" s="307">
        <f>IF($P94="","",IF(ISNUMBER($P94),DATE(YEAR($P94),MONTH($P94),1),IFERROR(DATE(IFERROR(VALUE(RIGHT(TRIM($P94),4)),YEAR(TODAY())),(SEARCH(LEFT(TRIM($P94),3),"JanFebMarAprMayJunJulAugSepOctNovDec")+2)/3,1),"")))</f>
      </c>
      <c r="S94" s="307">
        <f>IF($Q94="","",IF(ISNUMBER($Q94),DATE(YEAR($Q94),MONTH($Q94),1),IFERROR(DATE(IFERROR(VALUE(RIGHT(TRIM($Q94),4)),YEAR(TODAY())),(SEARCH(LEFT(TRIM($Q94),3),"JanFebMarAprMayJunJulAugSepOctNovDec")+2)/3,1),"")))</f>
      </c>
      <c r="T94" s="305">
        <f>IF($B94="","",COUNTA('UX + Dev'!$AB94:$DN94))</f>
      </c>
      <c r="U94" s="305">
        <f>IF($B94="","",IFERROR(MATCH($D94,Control!$E$4:$E$30,0)+3,0))</f>
      </c>
      <c r="V94" s="305">
        <f>IF($B94="","",IF(AND(OR('Roadmap (Auto)'!$A$3="",'Roadmap (Auto)'!$A$3="(All)",ISNUMBER(SEARCH('Roadmap (Auto)'!$A$3,$C94&amp;""))),OR('Roadmap (Auto)'!$B$3="",'Roadmap (Auto)'!$B$3="(All)",$D94='Roadmap (Auto)'!$B$3,$X94='Roadmap (Auto)'!$B$3),OR('Roadmap (Auto)'!$C$3="",'Roadmap (Auto)'!$C$3="(All)",$F94='Roadmap (Auto)'!$C$3)),1,0))</f>
      </c>
      <c r="W94" s="305">
        <f>IF($B94="","",COUNTIF($Y$2:$Y$151,"&lt;"&amp;$Y94)+1)</f>
      </c>
      <c r="X94" s="305">
        <f>IF($B94="","",IF(TRIM('UX + Dev'!D94)="","",TRIM('UX + Dev'!D94)))</f>
      </c>
      <c r="Y94" s="305">
        <f>IF($B94="","",SUBSTITUTE(SUBSTITUTE(SUBSTITUTE(SUBSTITUTE(SUBSTITUTE(SUBSTITUTE(SUBSTITUTE(SUBSTITUTE(SUBSTITUTE(SUBSTITUTE(SUBSTITUTE(SUBSTITUTE(SUBSTITUTE(SUBSTITUTE(SUBSTITUTE(SUBSTITUTE(SUBSTITUTE(SUBSTITUTE(SUBSTITUTE(SUBSTITUTE(SUBSTITUTE(SUBSTITUTE(SUBSTITUTE(SUBSTITUTE(SUBSTITUTE(UPPER($B94)," ",""),"-",""),":",""),"/",""),"&amp;",""),"|",""),"'",""),"’",""),"&lt;",""),"&gt;",""),",",""),"$",""),".",""),"(",""),")",""),"*",""),"?",""),"~",""),"_",""),"+",""),"#",""),";",""),"!",""),"%",""),"@",""))</f>
      </c>
      <c r="AA94">
        <f>IF($B94="",0,COUNTIFS('UX + Dev'!$AB$1:$DN$1,"&gt;="&amp;AA$1,'UX + Dev'!$AB$1:$DN$1,"&lt;="&amp;EOMONTH(AA$1,0),'UX + Dev'!$AB94:$DN94,"&lt;&gt;"))</f>
      </c>
      <c r="AB94">
        <f>IF($B94="",0,COUNTIFS('UX + Dev'!$AB$1:$DN$1,"&gt;="&amp;AB$1,'UX + Dev'!$AB$1:$DN$1,"&lt;="&amp;EOMONTH(AB$1,0),'UX + Dev'!$AB94:$DN94,"&lt;&gt;"))</f>
      </c>
      <c r="AC94">
        <f>IF($B94="",0,COUNTIFS('UX + Dev'!$AB$1:$DN$1,"&gt;="&amp;AC$1,'UX + Dev'!$AB$1:$DN$1,"&lt;="&amp;EOMONTH(AC$1,0),'UX + Dev'!$AB94:$DN94,"&lt;&gt;"))</f>
      </c>
      <c r="AD94">
        <f>IF($B94="",0,COUNTIFS('UX + Dev'!$AB$1:$DN$1,"&gt;="&amp;AD$1,'UX + Dev'!$AB$1:$DN$1,"&lt;="&amp;EOMONTH(AD$1,0),'UX + Dev'!$AB94:$DN94,"&lt;&gt;"))</f>
      </c>
      <c r="AE94">
        <f>IF($B94="",0,COUNTIFS('UX + Dev'!$AB$1:$DN$1,"&gt;="&amp;AE$1,'UX + Dev'!$AB$1:$DN$1,"&lt;="&amp;EOMONTH(AE$1,0),'UX + Dev'!$AB94:$DN94,"&lt;&gt;"))</f>
      </c>
      <c r="AF94">
        <f>IF($B94="",0,COUNTIFS('UX + Dev'!$AB$1:$DN$1,"&gt;="&amp;AF$1,'UX + Dev'!$AB$1:$DN$1,"&lt;="&amp;EOMONTH(AF$1,0),'UX + Dev'!$AB94:$DN94,"&lt;&gt;"))</f>
      </c>
      <c r="AG94">
        <f>IF($B94="",0,COUNTIFS('UX + Dev'!$AB$1:$DN$1,"&gt;="&amp;AG$1,'UX + Dev'!$AB$1:$DN$1,"&lt;="&amp;EOMONTH(AG$1,0),'UX + Dev'!$AB94:$DN94,"&lt;&gt;"))</f>
      </c>
      <c r="AH94">
        <f>IF($B94="",0,COUNTIFS('UX + Dev'!$AB$1:$DN$1,"&gt;="&amp;AH$1,'UX + Dev'!$AB$1:$DN$1,"&lt;="&amp;EOMONTH(AH$1,0),'UX + Dev'!$AB94:$DN94,"&lt;&gt;"))</f>
      </c>
      <c r="AI94">
        <f>IF($B94="",0,COUNTIFS('UX + Dev'!$AB$1:$DN$1,"&gt;="&amp;AI$1,'UX + Dev'!$AB$1:$DN$1,"&lt;="&amp;EOMONTH(AI$1,0),'UX + Dev'!$AB94:$DN94,"&lt;&gt;"))</f>
      </c>
      <c r="AJ94">
        <f>IF($B94="",0,COUNTIFS('UX + Dev'!$AB$1:$DN$1,"&gt;="&amp;AJ$1,'UX + Dev'!$AB$1:$DN$1,"&lt;="&amp;EOMONTH(AJ$1,0),'UX + Dev'!$AB94:$DN94,"&lt;&gt;"))</f>
      </c>
      <c r="AK94">
        <f>IF($B94="",0,COUNTIFS('UX + Dev'!$AB$1:$DN$1,"&gt;="&amp;AK$1,'UX + Dev'!$AB$1:$DN$1,"&lt;="&amp;EOMONTH(AK$1,0),'UX + Dev'!$AB94:$DN94,"&lt;&gt;"))</f>
      </c>
      <c r="AL94">
        <f>IF($B94="",0,COUNTIFS('UX + Dev'!$AB$1:$DN$1,"&gt;="&amp;AL$1,'UX + Dev'!$AB$1:$DN$1,"&lt;="&amp;EOMONTH(AL$1,0),'UX + Dev'!$AB94:$DN94,"&lt;&gt;"))</f>
      </c>
      <c r="AM94">
        <f>IF($B94="",0,COUNTIFS('UX + Dev'!$AB$1:$DN$1,"&gt;="&amp;AM$1,'UX + Dev'!$AB$1:$DN$1,"&lt;="&amp;EOMONTH(AM$1,0),'UX + Dev'!$AB94:$DN94,"&lt;&gt;"))</f>
      </c>
      <c r="AN94">
        <f>IF($B94="",0,COUNTIFS('UX + Dev'!$AB$1:$DN$1,"&gt;="&amp;AN$1,'UX + Dev'!$AB$1:$DN$1,"&lt;="&amp;EOMONTH(AN$1,0),'UX + Dev'!$AB94:$DN94,"&lt;&gt;"))</f>
      </c>
      <c r="AO94">
        <f>IF($B94="",0,COUNTIFS('UX + Dev'!$AB$1:$DN$1,"&gt;="&amp;AO$1,'UX + Dev'!$AB$1:$DN$1,"&lt;="&amp;EOMONTH(AO$1,0),'UX + Dev'!$AB94:$DN94,"&lt;&gt;"))</f>
      </c>
      <c r="AP94">
        <f>IF($B94="",0,COUNTIFS('UX + Dev'!$AB$1:$DN$1,"&gt;="&amp;AP$1,'UX + Dev'!$AB$1:$DN$1,"&lt;="&amp;EOMONTH(AP$1,0),'UX + Dev'!$AB94:$DN94,"&lt;&gt;"))</f>
      </c>
      <c r="AQ94">
        <f>IF($B94="",0,COUNTIFS('UX + Dev'!$AB$1:$DN$1,"&gt;="&amp;AQ$1,'UX + Dev'!$AB$1:$DN$1,"&lt;="&amp;EOMONTH(AQ$1,0),'UX + Dev'!$AB94:$DN94,"&lt;&gt;"))</f>
      </c>
      <c r="AR94">
        <f>IF($B94="",0,COUNTIFS('UX + Dev'!$AB$1:$DN$1,"&gt;="&amp;AR$1,'UX + Dev'!$AB$1:$DN$1,"&lt;="&amp;EOMONTH(AR$1,0),'UX + Dev'!$AB94:$DN94,"&lt;&gt;"))</f>
      </c>
      <c r="AS94">
        <f>IF($B94="",0,COUNTIFS('UX + Dev'!$AB$1:$DN$1,"&gt;="&amp;AS$1,'UX + Dev'!$AB$1:$DN$1,"&lt;="&amp;EOMONTH(AS$1,0),'UX + Dev'!$AB94:$DN94,"&lt;&gt;"))</f>
      </c>
      <c r="AT94">
        <f>IF($B94="",0,COUNTIFS('UX + Dev'!$AB$1:$DN$1,"&gt;="&amp;AT$1,'UX + Dev'!$AB$1:$DN$1,"&lt;="&amp;EOMONTH(AT$1,0),'UX + Dev'!$AB94:$DN94,"&lt;&gt;"))</f>
      </c>
      <c r="AU94">
        <f>IF($B94="",0,COUNTIFS('UX + Dev'!$AB$1:$DN$1,"&gt;="&amp;AU$1,'UX + Dev'!$AB$1:$DN$1,"&lt;="&amp;EOMONTH(AU$1,0),'UX + Dev'!$AB94:$DN94,"&lt;&gt;"))</f>
      </c>
      <c r="AV94">
        <f>IF($B94="",0,COUNTIFS('UX + Dev'!$AB$1:$DN$1,"&gt;="&amp;AV$1,'UX + Dev'!$AB$1:$DN$1,"&lt;="&amp;EOMONTH(AV$1,0),'UX + Dev'!$AB94:$DN94,"&lt;&gt;"))</f>
      </c>
      <c r="AW94">
        <f>IF($B94="",0,COUNTIFS('UX + Dev'!$AB$1:$DN$1,"&gt;="&amp;AW$1,'UX + Dev'!$AB$1:$DN$1,"&lt;="&amp;EOMONTH(AW$1,0),'UX + Dev'!$AB94:$DN94,"&lt;&gt;"))</f>
      </c>
      <c r="AX94">
        <f>IF($B94="",0,COUNTIFS('UX + Dev'!$AB$1:$DN$1,"&gt;="&amp;AX$1,'UX + Dev'!$AB$1:$DN$1,"&lt;="&amp;EOMONTH(AX$1,0),'UX + Dev'!$AB94:$DN94,"&lt;&gt;"))</f>
      </c>
      <c r="BB94" s="308">
        <f>IF($B94="","",IF(COUNTA('UX + Dev'!U94)&gt;0,DATE(YEAR('UX + Dev'!U94),MONTH('UX + Dev'!U94),1),IF(COUNTA('UX + Dev'!V94)&gt;0,DATE(YEAR('UX + Dev'!V94),MONTH('UX + Dev'!V94),1),"")))</f>
      </c>
      <c r="BC94" s="308">
        <f>IF($B94="","",IF(COUNTA('UX + Dev'!V94)&gt;0,EOMONTH('UX + Dev'!V94,0),IF(COUNTA('UX + Dev'!U94)&gt;0,EOMONTH('UX + Dev'!U94,0),"")))</f>
      </c>
    </row>
    <row r="95">
      <c r="A95" s="305" t="n">
        <v>95</v>
      </c>
      <c r="B95" s="305">
        <f>IF(TRIM('UX + Dev'!E95)="","",TRIM('UX + Dev'!E95))</f>
      </c>
      <c r="C95" s="305">
        <f>IF($B95="","",'UX + Dev'!B95)</f>
      </c>
      <c r="D95" s="305">
        <f>IF($B95="","",IF(TRIM('UX + Dev'!C95)="","(No theme assigned)",TRIM('UX + Dev'!C95)))</f>
      </c>
      <c r="E95" s="305">
        <f>IF($B95="","",TRIM('UX + Dev'!F95))</f>
      </c>
      <c r="F95" s="305">
        <f>IF($B95="","",'UX + Dev'!G95)</f>
      </c>
      <c r="G95" s="306">
        <f t="array" ref="G95">IF($B95="","",IF($T95=0,"",IFERROR(MIN(IF('UX + Dev'!$AB95:$DN95&lt;&gt;"",'UX + Dev'!$AB$1:$DN$1)),"")))</f>
      </c>
      <c r="H95" s="306">
        <f t="array" ref="H95">IF($B95="","",IF($T95=0,"",IFERROR(MAX(IF('UX + Dev'!$AB95:$DN95&lt;&gt;"",'UX + Dev'!$AB$1:$DN$1)),"")))</f>
      </c>
      <c r="I95" s="307">
        <f>IF($R95&lt;&gt;"",$R95,IF($S95&lt;&gt;"",$S95,""))</f>
      </c>
      <c r="J95" s="307">
        <f>IF($S95&lt;&gt;"",EOMONTH($S95,0),IF($R95&lt;&gt;"",EOMONTH($R95,0),""))</f>
      </c>
      <c r="K95" s="305">
        <f>IF($B95="","",IF(COUNTA('UX + Dev'!AA95)=0,"",TRIM('UX + Dev'!AA95)))</f>
      </c>
      <c r="L95" s="305">
        <f>IF($B95="","",IFERROR(MATCH($D95,Control!$E$4:$E$30,0),99))</f>
      </c>
      <c r="M95" s="305">
        <f>IF($B95="","",IFERROR(MATCH($F95,Control!$B$4:$B$30,0),99))</f>
      </c>
      <c r="N95" s="305">
        <f>IF($V95&lt;&gt;1,"",IF('Roadmap (Auto)'!$D$3="Status, then Theme",$M95*1000000+$L95*10000+ROW(),IF('Roadmap (Auto)'!$D$3="Dev start (earliest)",IF($I95="",99999999,$I95)*10000+ROW(),IF('Roadmap (Auto)'!$D$3="UX start (earliest)",IF($G95="",99999999,$G95)*10000+ROW(),IF('Roadmap (Auto)'!$D$3="Deliverable A-Z",$W95*10000+ROW(),$L95*1000000+$M95*10000+ROW())))))</f>
      </c>
      <c r="O95" s="305">
        <f>IF($N95="","",COUNTIF($N$2:$N$151,"&lt;"&amp;$N95)+1)</f>
      </c>
      <c r="P95" s="305">
        <f>IF($B95="","",IF(COUNTA('UX + Dev'!X95)=0,"",'UX + Dev'!X95))</f>
      </c>
      <c r="Q95" s="305">
        <f>IF($B95="","",IF(COUNTA('UX + Dev'!Y95)=0,"",'UX + Dev'!Y95))</f>
      </c>
      <c r="R95" s="307">
        <f>IF($P95="","",IF(ISNUMBER($P95),DATE(YEAR($P95),MONTH($P95),1),IFERROR(DATE(IFERROR(VALUE(RIGHT(TRIM($P95),4)),YEAR(TODAY())),(SEARCH(LEFT(TRIM($P95),3),"JanFebMarAprMayJunJulAugSepOctNovDec")+2)/3,1),"")))</f>
      </c>
      <c r="S95" s="307">
        <f>IF($Q95="","",IF(ISNUMBER($Q95),DATE(YEAR($Q95),MONTH($Q95),1),IFERROR(DATE(IFERROR(VALUE(RIGHT(TRIM($Q95),4)),YEAR(TODAY())),(SEARCH(LEFT(TRIM($Q95),3),"JanFebMarAprMayJunJulAugSepOctNovDec")+2)/3,1),"")))</f>
      </c>
      <c r="T95" s="305">
        <f>IF($B95="","",COUNTA('UX + Dev'!$AB95:$DN95))</f>
      </c>
      <c r="U95" s="305">
        <f>IF($B95="","",IFERROR(MATCH($D95,Control!$E$4:$E$30,0)+3,0))</f>
      </c>
      <c r="V95" s="305">
        <f>IF($B95="","",IF(AND(OR('Roadmap (Auto)'!$A$3="",'Roadmap (Auto)'!$A$3="(All)",ISNUMBER(SEARCH('Roadmap (Auto)'!$A$3,$C95&amp;""))),OR('Roadmap (Auto)'!$B$3="",'Roadmap (Auto)'!$B$3="(All)",$D95='Roadmap (Auto)'!$B$3,$X95='Roadmap (Auto)'!$B$3),OR('Roadmap (Auto)'!$C$3="",'Roadmap (Auto)'!$C$3="(All)",$F95='Roadmap (Auto)'!$C$3)),1,0))</f>
      </c>
      <c r="W95" s="305">
        <f>IF($B95="","",COUNTIF($Y$2:$Y$151,"&lt;"&amp;$Y95)+1)</f>
      </c>
      <c r="X95" s="305">
        <f>IF($B95="","",IF(TRIM('UX + Dev'!D95)="","",TRIM('UX + Dev'!D95)))</f>
      </c>
      <c r="Y95" s="305">
        <f>IF($B95="","",SUBSTITUTE(SUBSTITUTE(SUBSTITUTE(SUBSTITUTE(SUBSTITUTE(SUBSTITUTE(SUBSTITUTE(SUBSTITUTE(SUBSTITUTE(SUBSTITUTE(SUBSTITUTE(SUBSTITUTE(SUBSTITUTE(SUBSTITUTE(SUBSTITUTE(SUBSTITUTE(SUBSTITUTE(SUBSTITUTE(SUBSTITUTE(SUBSTITUTE(SUBSTITUTE(SUBSTITUTE(SUBSTITUTE(SUBSTITUTE(SUBSTITUTE(UPPER($B95)," ",""),"-",""),":",""),"/",""),"&amp;",""),"|",""),"'",""),"’",""),"&lt;",""),"&gt;",""),",",""),"$",""),".",""),"(",""),")",""),"*",""),"?",""),"~",""),"_",""),"+",""),"#",""),";",""),"!",""),"%",""),"@",""))</f>
      </c>
      <c r="AA95">
        <f>IF($B95="",0,COUNTIFS('UX + Dev'!$AB$1:$DN$1,"&gt;="&amp;AA$1,'UX + Dev'!$AB$1:$DN$1,"&lt;="&amp;EOMONTH(AA$1,0),'UX + Dev'!$AB95:$DN95,"&lt;&gt;"))</f>
      </c>
      <c r="AB95">
        <f>IF($B95="",0,COUNTIFS('UX + Dev'!$AB$1:$DN$1,"&gt;="&amp;AB$1,'UX + Dev'!$AB$1:$DN$1,"&lt;="&amp;EOMONTH(AB$1,0),'UX + Dev'!$AB95:$DN95,"&lt;&gt;"))</f>
      </c>
      <c r="AC95">
        <f>IF($B95="",0,COUNTIFS('UX + Dev'!$AB$1:$DN$1,"&gt;="&amp;AC$1,'UX + Dev'!$AB$1:$DN$1,"&lt;="&amp;EOMONTH(AC$1,0),'UX + Dev'!$AB95:$DN95,"&lt;&gt;"))</f>
      </c>
      <c r="AD95">
        <f>IF($B95="",0,COUNTIFS('UX + Dev'!$AB$1:$DN$1,"&gt;="&amp;AD$1,'UX + Dev'!$AB$1:$DN$1,"&lt;="&amp;EOMONTH(AD$1,0),'UX + Dev'!$AB95:$DN95,"&lt;&gt;"))</f>
      </c>
      <c r="AE95">
        <f>IF($B95="",0,COUNTIFS('UX + Dev'!$AB$1:$DN$1,"&gt;="&amp;AE$1,'UX + Dev'!$AB$1:$DN$1,"&lt;="&amp;EOMONTH(AE$1,0),'UX + Dev'!$AB95:$DN95,"&lt;&gt;"))</f>
      </c>
      <c r="AF95">
        <f>IF($B95="",0,COUNTIFS('UX + Dev'!$AB$1:$DN$1,"&gt;="&amp;AF$1,'UX + Dev'!$AB$1:$DN$1,"&lt;="&amp;EOMONTH(AF$1,0),'UX + Dev'!$AB95:$DN95,"&lt;&gt;"))</f>
      </c>
      <c r="AG95">
        <f>IF($B95="",0,COUNTIFS('UX + Dev'!$AB$1:$DN$1,"&gt;="&amp;AG$1,'UX + Dev'!$AB$1:$DN$1,"&lt;="&amp;EOMONTH(AG$1,0),'UX + Dev'!$AB95:$DN95,"&lt;&gt;"))</f>
      </c>
      <c r="AH95">
        <f>IF($B95="",0,COUNTIFS('UX + Dev'!$AB$1:$DN$1,"&gt;="&amp;AH$1,'UX + Dev'!$AB$1:$DN$1,"&lt;="&amp;EOMONTH(AH$1,0),'UX + Dev'!$AB95:$DN95,"&lt;&gt;"))</f>
      </c>
      <c r="AI95">
        <f>IF($B95="",0,COUNTIFS('UX + Dev'!$AB$1:$DN$1,"&gt;="&amp;AI$1,'UX + Dev'!$AB$1:$DN$1,"&lt;="&amp;EOMONTH(AI$1,0),'UX + Dev'!$AB95:$DN95,"&lt;&gt;"))</f>
      </c>
      <c r="AJ95">
        <f>IF($B95="",0,COUNTIFS('UX + Dev'!$AB$1:$DN$1,"&gt;="&amp;AJ$1,'UX + Dev'!$AB$1:$DN$1,"&lt;="&amp;EOMONTH(AJ$1,0),'UX + Dev'!$AB95:$DN95,"&lt;&gt;"))</f>
      </c>
      <c r="AK95">
        <f>IF($B95="",0,COUNTIFS('UX + Dev'!$AB$1:$DN$1,"&gt;="&amp;AK$1,'UX + Dev'!$AB$1:$DN$1,"&lt;="&amp;EOMONTH(AK$1,0),'UX + Dev'!$AB95:$DN95,"&lt;&gt;"))</f>
      </c>
      <c r="AL95">
        <f>IF($B95="",0,COUNTIFS('UX + Dev'!$AB$1:$DN$1,"&gt;="&amp;AL$1,'UX + Dev'!$AB$1:$DN$1,"&lt;="&amp;EOMONTH(AL$1,0),'UX + Dev'!$AB95:$DN95,"&lt;&gt;"))</f>
      </c>
      <c r="AM95">
        <f>IF($B95="",0,COUNTIFS('UX + Dev'!$AB$1:$DN$1,"&gt;="&amp;AM$1,'UX + Dev'!$AB$1:$DN$1,"&lt;="&amp;EOMONTH(AM$1,0),'UX + Dev'!$AB95:$DN95,"&lt;&gt;"))</f>
      </c>
      <c r="AN95">
        <f>IF($B95="",0,COUNTIFS('UX + Dev'!$AB$1:$DN$1,"&gt;="&amp;AN$1,'UX + Dev'!$AB$1:$DN$1,"&lt;="&amp;EOMONTH(AN$1,0),'UX + Dev'!$AB95:$DN95,"&lt;&gt;"))</f>
      </c>
      <c r="AO95">
        <f>IF($B95="",0,COUNTIFS('UX + Dev'!$AB$1:$DN$1,"&gt;="&amp;AO$1,'UX + Dev'!$AB$1:$DN$1,"&lt;="&amp;EOMONTH(AO$1,0),'UX + Dev'!$AB95:$DN95,"&lt;&gt;"))</f>
      </c>
      <c r="AP95">
        <f>IF($B95="",0,COUNTIFS('UX + Dev'!$AB$1:$DN$1,"&gt;="&amp;AP$1,'UX + Dev'!$AB$1:$DN$1,"&lt;="&amp;EOMONTH(AP$1,0),'UX + Dev'!$AB95:$DN95,"&lt;&gt;"))</f>
      </c>
      <c r="AQ95">
        <f>IF($B95="",0,COUNTIFS('UX + Dev'!$AB$1:$DN$1,"&gt;="&amp;AQ$1,'UX + Dev'!$AB$1:$DN$1,"&lt;="&amp;EOMONTH(AQ$1,0),'UX + Dev'!$AB95:$DN95,"&lt;&gt;"))</f>
      </c>
      <c r="AR95">
        <f>IF($B95="",0,COUNTIFS('UX + Dev'!$AB$1:$DN$1,"&gt;="&amp;AR$1,'UX + Dev'!$AB$1:$DN$1,"&lt;="&amp;EOMONTH(AR$1,0),'UX + Dev'!$AB95:$DN95,"&lt;&gt;"))</f>
      </c>
      <c r="AS95">
        <f>IF($B95="",0,COUNTIFS('UX + Dev'!$AB$1:$DN$1,"&gt;="&amp;AS$1,'UX + Dev'!$AB$1:$DN$1,"&lt;="&amp;EOMONTH(AS$1,0),'UX + Dev'!$AB95:$DN95,"&lt;&gt;"))</f>
      </c>
      <c r="AT95">
        <f>IF($B95="",0,COUNTIFS('UX + Dev'!$AB$1:$DN$1,"&gt;="&amp;AT$1,'UX + Dev'!$AB$1:$DN$1,"&lt;="&amp;EOMONTH(AT$1,0),'UX + Dev'!$AB95:$DN95,"&lt;&gt;"))</f>
      </c>
      <c r="AU95">
        <f>IF($B95="",0,COUNTIFS('UX + Dev'!$AB$1:$DN$1,"&gt;="&amp;AU$1,'UX + Dev'!$AB$1:$DN$1,"&lt;="&amp;EOMONTH(AU$1,0),'UX + Dev'!$AB95:$DN95,"&lt;&gt;"))</f>
      </c>
      <c r="AV95">
        <f>IF($B95="",0,COUNTIFS('UX + Dev'!$AB$1:$DN$1,"&gt;="&amp;AV$1,'UX + Dev'!$AB$1:$DN$1,"&lt;="&amp;EOMONTH(AV$1,0),'UX + Dev'!$AB95:$DN95,"&lt;&gt;"))</f>
      </c>
      <c r="AW95">
        <f>IF($B95="",0,COUNTIFS('UX + Dev'!$AB$1:$DN$1,"&gt;="&amp;AW$1,'UX + Dev'!$AB$1:$DN$1,"&lt;="&amp;EOMONTH(AW$1,0),'UX + Dev'!$AB95:$DN95,"&lt;&gt;"))</f>
      </c>
      <c r="AX95">
        <f>IF($B95="",0,COUNTIFS('UX + Dev'!$AB$1:$DN$1,"&gt;="&amp;AX$1,'UX + Dev'!$AB$1:$DN$1,"&lt;="&amp;EOMONTH(AX$1,0),'UX + Dev'!$AB95:$DN95,"&lt;&gt;"))</f>
      </c>
      <c r="BB95" s="308">
        <f>IF($B95="","",IF(COUNTA('UX + Dev'!U95)&gt;0,DATE(YEAR('UX + Dev'!U95),MONTH('UX + Dev'!U95),1),IF(COUNTA('UX + Dev'!V95)&gt;0,DATE(YEAR('UX + Dev'!V95),MONTH('UX + Dev'!V95),1),"")))</f>
      </c>
      <c r="BC95" s="308">
        <f>IF($B95="","",IF(COUNTA('UX + Dev'!V95)&gt;0,EOMONTH('UX + Dev'!V95,0),IF(COUNTA('UX + Dev'!U95)&gt;0,EOMONTH('UX + Dev'!U95,0),"")))</f>
      </c>
    </row>
    <row r="96">
      <c r="A96" s="305" t="n">
        <v>96</v>
      </c>
      <c r="B96" s="305">
        <f>IF(TRIM('UX + Dev'!E96)="","",TRIM('UX + Dev'!E96))</f>
      </c>
      <c r="C96" s="305">
        <f>IF($B96="","",'UX + Dev'!B96)</f>
      </c>
      <c r="D96" s="305">
        <f>IF($B96="","",IF(TRIM('UX + Dev'!C96)="","(No theme assigned)",TRIM('UX + Dev'!C96)))</f>
      </c>
      <c r="E96" s="305">
        <f>IF($B96="","",TRIM('UX + Dev'!F96))</f>
      </c>
      <c r="F96" s="305">
        <f>IF($B96="","",'UX + Dev'!G96)</f>
      </c>
      <c r="G96" s="306">
        <f t="array" ref="G96">IF($B96="","",IF($T96=0,"",IFERROR(MIN(IF('UX + Dev'!$AB96:$DN96&lt;&gt;"",'UX + Dev'!$AB$1:$DN$1)),"")))</f>
      </c>
      <c r="H96" s="306">
        <f t="array" ref="H96">IF($B96="","",IF($T96=0,"",IFERROR(MAX(IF('UX + Dev'!$AB96:$DN96&lt;&gt;"",'UX + Dev'!$AB$1:$DN$1)),"")))</f>
      </c>
      <c r="I96" s="307">
        <f>IF($R96&lt;&gt;"",$R96,IF($S96&lt;&gt;"",$S96,""))</f>
      </c>
      <c r="J96" s="307">
        <f>IF($S96&lt;&gt;"",EOMONTH($S96,0),IF($R96&lt;&gt;"",EOMONTH($R96,0),""))</f>
      </c>
      <c r="K96" s="305">
        <f>IF($B96="","",IF(COUNTA('UX + Dev'!AA96)=0,"",TRIM('UX + Dev'!AA96)))</f>
      </c>
      <c r="L96" s="305">
        <f>IF($B96="","",IFERROR(MATCH($D96,Control!$E$4:$E$30,0),99))</f>
      </c>
      <c r="M96" s="305">
        <f>IF($B96="","",IFERROR(MATCH($F96,Control!$B$4:$B$30,0),99))</f>
      </c>
      <c r="N96" s="305">
        <f>IF($V96&lt;&gt;1,"",IF('Roadmap (Auto)'!$D$3="Status, then Theme",$M96*1000000+$L96*10000+ROW(),IF('Roadmap (Auto)'!$D$3="Dev start (earliest)",IF($I96="",99999999,$I96)*10000+ROW(),IF('Roadmap (Auto)'!$D$3="UX start (earliest)",IF($G96="",99999999,$G96)*10000+ROW(),IF('Roadmap (Auto)'!$D$3="Deliverable A-Z",$W96*10000+ROW(),$L96*1000000+$M96*10000+ROW())))))</f>
      </c>
      <c r="O96" s="305">
        <f>IF($N96="","",COUNTIF($N$2:$N$151,"&lt;"&amp;$N96)+1)</f>
      </c>
      <c r="P96" s="305">
        <f>IF($B96="","",IF(COUNTA('UX + Dev'!X96)=0,"",'UX + Dev'!X96))</f>
      </c>
      <c r="Q96" s="305">
        <f>IF($B96="","",IF(COUNTA('UX + Dev'!Y96)=0,"",'UX + Dev'!Y96))</f>
      </c>
      <c r="R96" s="307">
        <f>IF($P96="","",IF(ISNUMBER($P96),DATE(YEAR($P96),MONTH($P96),1),IFERROR(DATE(IFERROR(VALUE(RIGHT(TRIM($P96),4)),YEAR(TODAY())),(SEARCH(LEFT(TRIM($P96),3),"JanFebMarAprMayJunJulAugSepOctNovDec")+2)/3,1),"")))</f>
      </c>
      <c r="S96" s="307">
        <f>IF($Q96="","",IF(ISNUMBER($Q96),DATE(YEAR($Q96),MONTH($Q96),1),IFERROR(DATE(IFERROR(VALUE(RIGHT(TRIM($Q96),4)),YEAR(TODAY())),(SEARCH(LEFT(TRIM($Q96),3),"JanFebMarAprMayJunJulAugSepOctNovDec")+2)/3,1),"")))</f>
      </c>
      <c r="T96" s="305">
        <f>IF($B96="","",COUNTA('UX + Dev'!$AB96:$DN96))</f>
      </c>
      <c r="U96" s="305">
        <f>IF($B96="","",IFERROR(MATCH($D96,Control!$E$4:$E$30,0)+3,0))</f>
      </c>
      <c r="V96" s="305">
        <f>IF($B96="","",IF(AND(OR('Roadmap (Auto)'!$A$3="",'Roadmap (Auto)'!$A$3="(All)",ISNUMBER(SEARCH('Roadmap (Auto)'!$A$3,$C96&amp;""))),OR('Roadmap (Auto)'!$B$3="",'Roadmap (Auto)'!$B$3="(All)",$D96='Roadmap (Auto)'!$B$3,$X96='Roadmap (Auto)'!$B$3),OR('Roadmap (Auto)'!$C$3="",'Roadmap (Auto)'!$C$3="(All)",$F96='Roadmap (Auto)'!$C$3)),1,0))</f>
      </c>
      <c r="W96" s="305">
        <f>IF($B96="","",COUNTIF($Y$2:$Y$151,"&lt;"&amp;$Y96)+1)</f>
      </c>
      <c r="X96" s="305">
        <f>IF($B96="","",IF(TRIM('UX + Dev'!D96)="","",TRIM('UX + Dev'!D96)))</f>
      </c>
      <c r="Y96" s="305">
        <f>IF($B96="","",SUBSTITUTE(SUBSTITUTE(SUBSTITUTE(SUBSTITUTE(SUBSTITUTE(SUBSTITUTE(SUBSTITUTE(SUBSTITUTE(SUBSTITUTE(SUBSTITUTE(SUBSTITUTE(SUBSTITUTE(SUBSTITUTE(SUBSTITUTE(SUBSTITUTE(SUBSTITUTE(SUBSTITUTE(SUBSTITUTE(SUBSTITUTE(SUBSTITUTE(SUBSTITUTE(SUBSTITUTE(SUBSTITUTE(SUBSTITUTE(SUBSTITUTE(UPPER($B96)," ",""),"-",""),":",""),"/",""),"&amp;",""),"|",""),"'",""),"’",""),"&lt;",""),"&gt;",""),",",""),"$",""),".",""),"(",""),")",""),"*",""),"?",""),"~",""),"_",""),"+",""),"#",""),";",""),"!",""),"%",""),"@",""))</f>
      </c>
      <c r="AA96">
        <f>IF($B96="",0,COUNTIFS('UX + Dev'!$AB$1:$DN$1,"&gt;="&amp;AA$1,'UX + Dev'!$AB$1:$DN$1,"&lt;="&amp;EOMONTH(AA$1,0),'UX + Dev'!$AB96:$DN96,"&lt;&gt;"))</f>
      </c>
      <c r="AB96">
        <f>IF($B96="",0,COUNTIFS('UX + Dev'!$AB$1:$DN$1,"&gt;="&amp;AB$1,'UX + Dev'!$AB$1:$DN$1,"&lt;="&amp;EOMONTH(AB$1,0),'UX + Dev'!$AB96:$DN96,"&lt;&gt;"))</f>
      </c>
      <c r="AC96">
        <f>IF($B96="",0,COUNTIFS('UX + Dev'!$AB$1:$DN$1,"&gt;="&amp;AC$1,'UX + Dev'!$AB$1:$DN$1,"&lt;="&amp;EOMONTH(AC$1,0),'UX + Dev'!$AB96:$DN96,"&lt;&gt;"))</f>
      </c>
      <c r="AD96">
        <f>IF($B96="",0,COUNTIFS('UX + Dev'!$AB$1:$DN$1,"&gt;="&amp;AD$1,'UX + Dev'!$AB$1:$DN$1,"&lt;="&amp;EOMONTH(AD$1,0),'UX + Dev'!$AB96:$DN96,"&lt;&gt;"))</f>
      </c>
      <c r="AE96">
        <f>IF($B96="",0,COUNTIFS('UX + Dev'!$AB$1:$DN$1,"&gt;="&amp;AE$1,'UX + Dev'!$AB$1:$DN$1,"&lt;="&amp;EOMONTH(AE$1,0),'UX + Dev'!$AB96:$DN96,"&lt;&gt;"))</f>
      </c>
      <c r="AF96">
        <f>IF($B96="",0,COUNTIFS('UX + Dev'!$AB$1:$DN$1,"&gt;="&amp;AF$1,'UX + Dev'!$AB$1:$DN$1,"&lt;="&amp;EOMONTH(AF$1,0),'UX + Dev'!$AB96:$DN96,"&lt;&gt;"))</f>
      </c>
      <c r="AG96">
        <f>IF($B96="",0,COUNTIFS('UX + Dev'!$AB$1:$DN$1,"&gt;="&amp;AG$1,'UX + Dev'!$AB$1:$DN$1,"&lt;="&amp;EOMONTH(AG$1,0),'UX + Dev'!$AB96:$DN96,"&lt;&gt;"))</f>
      </c>
      <c r="AH96">
        <f>IF($B96="",0,COUNTIFS('UX + Dev'!$AB$1:$DN$1,"&gt;="&amp;AH$1,'UX + Dev'!$AB$1:$DN$1,"&lt;="&amp;EOMONTH(AH$1,0),'UX + Dev'!$AB96:$DN96,"&lt;&gt;"))</f>
      </c>
      <c r="AI96">
        <f>IF($B96="",0,COUNTIFS('UX + Dev'!$AB$1:$DN$1,"&gt;="&amp;AI$1,'UX + Dev'!$AB$1:$DN$1,"&lt;="&amp;EOMONTH(AI$1,0),'UX + Dev'!$AB96:$DN96,"&lt;&gt;"))</f>
      </c>
      <c r="AJ96">
        <f>IF($B96="",0,COUNTIFS('UX + Dev'!$AB$1:$DN$1,"&gt;="&amp;AJ$1,'UX + Dev'!$AB$1:$DN$1,"&lt;="&amp;EOMONTH(AJ$1,0),'UX + Dev'!$AB96:$DN96,"&lt;&gt;"))</f>
      </c>
      <c r="AK96">
        <f>IF($B96="",0,COUNTIFS('UX + Dev'!$AB$1:$DN$1,"&gt;="&amp;AK$1,'UX + Dev'!$AB$1:$DN$1,"&lt;="&amp;EOMONTH(AK$1,0),'UX + Dev'!$AB96:$DN96,"&lt;&gt;"))</f>
      </c>
      <c r="AL96">
        <f>IF($B96="",0,COUNTIFS('UX + Dev'!$AB$1:$DN$1,"&gt;="&amp;AL$1,'UX + Dev'!$AB$1:$DN$1,"&lt;="&amp;EOMONTH(AL$1,0),'UX + Dev'!$AB96:$DN96,"&lt;&gt;"))</f>
      </c>
      <c r="AM96">
        <f>IF($B96="",0,COUNTIFS('UX + Dev'!$AB$1:$DN$1,"&gt;="&amp;AM$1,'UX + Dev'!$AB$1:$DN$1,"&lt;="&amp;EOMONTH(AM$1,0),'UX + Dev'!$AB96:$DN96,"&lt;&gt;"))</f>
      </c>
      <c r="AN96">
        <f>IF($B96="",0,COUNTIFS('UX + Dev'!$AB$1:$DN$1,"&gt;="&amp;AN$1,'UX + Dev'!$AB$1:$DN$1,"&lt;="&amp;EOMONTH(AN$1,0),'UX + Dev'!$AB96:$DN96,"&lt;&gt;"))</f>
      </c>
      <c r="AO96">
        <f>IF($B96="",0,COUNTIFS('UX + Dev'!$AB$1:$DN$1,"&gt;="&amp;AO$1,'UX + Dev'!$AB$1:$DN$1,"&lt;="&amp;EOMONTH(AO$1,0),'UX + Dev'!$AB96:$DN96,"&lt;&gt;"))</f>
      </c>
      <c r="AP96">
        <f>IF($B96="",0,COUNTIFS('UX + Dev'!$AB$1:$DN$1,"&gt;="&amp;AP$1,'UX + Dev'!$AB$1:$DN$1,"&lt;="&amp;EOMONTH(AP$1,0),'UX + Dev'!$AB96:$DN96,"&lt;&gt;"))</f>
      </c>
      <c r="AQ96">
        <f>IF($B96="",0,COUNTIFS('UX + Dev'!$AB$1:$DN$1,"&gt;="&amp;AQ$1,'UX + Dev'!$AB$1:$DN$1,"&lt;="&amp;EOMONTH(AQ$1,0),'UX + Dev'!$AB96:$DN96,"&lt;&gt;"))</f>
      </c>
      <c r="AR96">
        <f>IF($B96="",0,COUNTIFS('UX + Dev'!$AB$1:$DN$1,"&gt;="&amp;AR$1,'UX + Dev'!$AB$1:$DN$1,"&lt;="&amp;EOMONTH(AR$1,0),'UX + Dev'!$AB96:$DN96,"&lt;&gt;"))</f>
      </c>
      <c r="AS96">
        <f>IF($B96="",0,COUNTIFS('UX + Dev'!$AB$1:$DN$1,"&gt;="&amp;AS$1,'UX + Dev'!$AB$1:$DN$1,"&lt;="&amp;EOMONTH(AS$1,0),'UX + Dev'!$AB96:$DN96,"&lt;&gt;"))</f>
      </c>
      <c r="AT96">
        <f>IF($B96="",0,COUNTIFS('UX + Dev'!$AB$1:$DN$1,"&gt;="&amp;AT$1,'UX + Dev'!$AB$1:$DN$1,"&lt;="&amp;EOMONTH(AT$1,0),'UX + Dev'!$AB96:$DN96,"&lt;&gt;"))</f>
      </c>
      <c r="AU96">
        <f>IF($B96="",0,COUNTIFS('UX + Dev'!$AB$1:$DN$1,"&gt;="&amp;AU$1,'UX + Dev'!$AB$1:$DN$1,"&lt;="&amp;EOMONTH(AU$1,0),'UX + Dev'!$AB96:$DN96,"&lt;&gt;"))</f>
      </c>
      <c r="AV96">
        <f>IF($B96="",0,COUNTIFS('UX + Dev'!$AB$1:$DN$1,"&gt;="&amp;AV$1,'UX + Dev'!$AB$1:$DN$1,"&lt;="&amp;EOMONTH(AV$1,0),'UX + Dev'!$AB96:$DN96,"&lt;&gt;"))</f>
      </c>
      <c r="AW96">
        <f>IF($B96="",0,COUNTIFS('UX + Dev'!$AB$1:$DN$1,"&gt;="&amp;AW$1,'UX + Dev'!$AB$1:$DN$1,"&lt;="&amp;EOMONTH(AW$1,0),'UX + Dev'!$AB96:$DN96,"&lt;&gt;"))</f>
      </c>
      <c r="AX96">
        <f>IF($B96="",0,COUNTIFS('UX + Dev'!$AB$1:$DN$1,"&gt;="&amp;AX$1,'UX + Dev'!$AB$1:$DN$1,"&lt;="&amp;EOMONTH(AX$1,0),'UX + Dev'!$AB96:$DN96,"&lt;&gt;"))</f>
      </c>
      <c r="BB96" s="308">
        <f>IF($B96="","",IF(COUNTA('UX + Dev'!U96)&gt;0,DATE(YEAR('UX + Dev'!U96),MONTH('UX + Dev'!U96),1),IF(COUNTA('UX + Dev'!V96)&gt;0,DATE(YEAR('UX + Dev'!V96),MONTH('UX + Dev'!V96),1),"")))</f>
      </c>
      <c r="BC96" s="308">
        <f>IF($B96="","",IF(COUNTA('UX + Dev'!V96)&gt;0,EOMONTH('UX + Dev'!V96,0),IF(COUNTA('UX + Dev'!U96)&gt;0,EOMONTH('UX + Dev'!U96,0),"")))</f>
      </c>
    </row>
    <row r="97">
      <c r="A97" s="305" t="n">
        <v>97</v>
      </c>
      <c r="B97" s="305">
        <f>IF(TRIM('UX + Dev'!E97)="","",TRIM('UX + Dev'!E97))</f>
      </c>
      <c r="C97" s="305">
        <f>IF($B97="","",'UX + Dev'!B97)</f>
      </c>
      <c r="D97" s="305">
        <f>IF($B97="","",IF(TRIM('UX + Dev'!C97)="","(No theme assigned)",TRIM('UX + Dev'!C97)))</f>
      </c>
      <c r="E97" s="305">
        <f>IF($B97="","",TRIM('UX + Dev'!F97))</f>
      </c>
      <c r="F97" s="305">
        <f>IF($B97="","",'UX + Dev'!G97)</f>
      </c>
      <c r="G97" s="306">
        <f t="array" ref="G97">IF($B97="","",IF($T97=0,"",IFERROR(MIN(IF('UX + Dev'!$AB97:$DN97&lt;&gt;"",'UX + Dev'!$AB$1:$DN$1)),"")))</f>
      </c>
      <c r="H97" s="306">
        <f t="array" ref="H97">IF($B97="","",IF($T97=0,"",IFERROR(MAX(IF('UX + Dev'!$AB97:$DN97&lt;&gt;"",'UX + Dev'!$AB$1:$DN$1)),"")))</f>
      </c>
      <c r="I97" s="307">
        <f>IF($R97&lt;&gt;"",$R97,IF($S97&lt;&gt;"",$S97,""))</f>
      </c>
      <c r="J97" s="307">
        <f>IF($S97&lt;&gt;"",EOMONTH($S97,0),IF($R97&lt;&gt;"",EOMONTH($R97,0),""))</f>
      </c>
      <c r="K97" s="305">
        <f>IF($B97="","",IF(COUNTA('UX + Dev'!AA97)=0,"",TRIM('UX + Dev'!AA97)))</f>
      </c>
      <c r="L97" s="305">
        <f>IF($B97="","",IFERROR(MATCH($D97,Control!$E$4:$E$30,0),99))</f>
      </c>
      <c r="M97" s="305">
        <f>IF($B97="","",IFERROR(MATCH($F97,Control!$B$4:$B$30,0),99))</f>
      </c>
      <c r="N97" s="305">
        <f>IF($V97&lt;&gt;1,"",IF('Roadmap (Auto)'!$D$3="Status, then Theme",$M97*1000000+$L97*10000+ROW(),IF('Roadmap (Auto)'!$D$3="Dev start (earliest)",IF($I97="",99999999,$I97)*10000+ROW(),IF('Roadmap (Auto)'!$D$3="UX start (earliest)",IF($G97="",99999999,$G97)*10000+ROW(),IF('Roadmap (Auto)'!$D$3="Deliverable A-Z",$W97*10000+ROW(),$L97*1000000+$M97*10000+ROW())))))</f>
      </c>
      <c r="O97" s="305">
        <f>IF($N97="","",COUNTIF($N$2:$N$151,"&lt;"&amp;$N97)+1)</f>
      </c>
      <c r="P97" s="305">
        <f>IF($B97="","",IF(COUNTA('UX + Dev'!X97)=0,"",'UX + Dev'!X97))</f>
      </c>
      <c r="Q97" s="305">
        <f>IF($B97="","",IF(COUNTA('UX + Dev'!Y97)=0,"",'UX + Dev'!Y97))</f>
      </c>
      <c r="R97" s="307">
        <f>IF($P97="","",IF(ISNUMBER($P97),DATE(YEAR($P97),MONTH($P97),1),IFERROR(DATE(IFERROR(VALUE(RIGHT(TRIM($P97),4)),YEAR(TODAY())),(SEARCH(LEFT(TRIM($P97),3),"JanFebMarAprMayJunJulAugSepOctNovDec")+2)/3,1),"")))</f>
      </c>
      <c r="S97" s="307">
        <f>IF($Q97="","",IF(ISNUMBER($Q97),DATE(YEAR($Q97),MONTH($Q97),1),IFERROR(DATE(IFERROR(VALUE(RIGHT(TRIM($Q97),4)),YEAR(TODAY())),(SEARCH(LEFT(TRIM($Q97),3),"JanFebMarAprMayJunJulAugSepOctNovDec")+2)/3,1),"")))</f>
      </c>
      <c r="T97" s="305">
        <f>IF($B97="","",COUNTA('UX + Dev'!$AB97:$DN97))</f>
      </c>
      <c r="U97" s="305">
        <f>IF($B97="","",IFERROR(MATCH($D97,Control!$E$4:$E$30,0)+3,0))</f>
      </c>
      <c r="V97" s="305">
        <f>IF($B97="","",IF(AND(OR('Roadmap (Auto)'!$A$3="",'Roadmap (Auto)'!$A$3="(All)",ISNUMBER(SEARCH('Roadmap (Auto)'!$A$3,$C97&amp;""))),OR('Roadmap (Auto)'!$B$3="",'Roadmap (Auto)'!$B$3="(All)",$D97='Roadmap (Auto)'!$B$3,$X97='Roadmap (Auto)'!$B$3),OR('Roadmap (Auto)'!$C$3="",'Roadmap (Auto)'!$C$3="(All)",$F97='Roadmap (Auto)'!$C$3)),1,0))</f>
      </c>
      <c r="W97" s="305">
        <f>IF($B97="","",COUNTIF($Y$2:$Y$151,"&lt;"&amp;$Y97)+1)</f>
      </c>
      <c r="X97" s="305">
        <f>IF($B97="","",IF(TRIM('UX + Dev'!D97)="","",TRIM('UX + Dev'!D97)))</f>
      </c>
      <c r="Y97" s="305">
        <f>IF($B97="","",SUBSTITUTE(SUBSTITUTE(SUBSTITUTE(SUBSTITUTE(SUBSTITUTE(SUBSTITUTE(SUBSTITUTE(SUBSTITUTE(SUBSTITUTE(SUBSTITUTE(SUBSTITUTE(SUBSTITUTE(SUBSTITUTE(SUBSTITUTE(SUBSTITUTE(SUBSTITUTE(SUBSTITUTE(SUBSTITUTE(SUBSTITUTE(SUBSTITUTE(SUBSTITUTE(SUBSTITUTE(SUBSTITUTE(SUBSTITUTE(SUBSTITUTE(UPPER($B97)," ",""),"-",""),":",""),"/",""),"&amp;",""),"|",""),"'",""),"’",""),"&lt;",""),"&gt;",""),",",""),"$",""),".",""),"(",""),")",""),"*",""),"?",""),"~",""),"_",""),"+",""),"#",""),";",""),"!",""),"%",""),"@",""))</f>
      </c>
      <c r="AA97">
        <f>IF($B97="",0,COUNTIFS('UX + Dev'!$AB$1:$DN$1,"&gt;="&amp;AA$1,'UX + Dev'!$AB$1:$DN$1,"&lt;="&amp;EOMONTH(AA$1,0),'UX + Dev'!$AB97:$DN97,"&lt;&gt;"))</f>
      </c>
      <c r="AB97">
        <f>IF($B97="",0,COUNTIFS('UX + Dev'!$AB$1:$DN$1,"&gt;="&amp;AB$1,'UX + Dev'!$AB$1:$DN$1,"&lt;="&amp;EOMONTH(AB$1,0),'UX + Dev'!$AB97:$DN97,"&lt;&gt;"))</f>
      </c>
      <c r="AC97">
        <f>IF($B97="",0,COUNTIFS('UX + Dev'!$AB$1:$DN$1,"&gt;="&amp;AC$1,'UX + Dev'!$AB$1:$DN$1,"&lt;="&amp;EOMONTH(AC$1,0),'UX + Dev'!$AB97:$DN97,"&lt;&gt;"))</f>
      </c>
      <c r="AD97">
        <f>IF($B97="",0,COUNTIFS('UX + Dev'!$AB$1:$DN$1,"&gt;="&amp;AD$1,'UX + Dev'!$AB$1:$DN$1,"&lt;="&amp;EOMONTH(AD$1,0),'UX + Dev'!$AB97:$DN97,"&lt;&gt;"))</f>
      </c>
      <c r="AE97">
        <f>IF($B97="",0,COUNTIFS('UX + Dev'!$AB$1:$DN$1,"&gt;="&amp;AE$1,'UX + Dev'!$AB$1:$DN$1,"&lt;="&amp;EOMONTH(AE$1,0),'UX + Dev'!$AB97:$DN97,"&lt;&gt;"))</f>
      </c>
      <c r="AF97">
        <f>IF($B97="",0,COUNTIFS('UX + Dev'!$AB$1:$DN$1,"&gt;="&amp;AF$1,'UX + Dev'!$AB$1:$DN$1,"&lt;="&amp;EOMONTH(AF$1,0),'UX + Dev'!$AB97:$DN97,"&lt;&gt;"))</f>
      </c>
      <c r="AG97">
        <f>IF($B97="",0,COUNTIFS('UX + Dev'!$AB$1:$DN$1,"&gt;="&amp;AG$1,'UX + Dev'!$AB$1:$DN$1,"&lt;="&amp;EOMONTH(AG$1,0),'UX + Dev'!$AB97:$DN97,"&lt;&gt;"))</f>
      </c>
      <c r="AH97">
        <f>IF($B97="",0,COUNTIFS('UX + Dev'!$AB$1:$DN$1,"&gt;="&amp;AH$1,'UX + Dev'!$AB$1:$DN$1,"&lt;="&amp;EOMONTH(AH$1,0),'UX + Dev'!$AB97:$DN97,"&lt;&gt;"))</f>
      </c>
      <c r="AI97">
        <f>IF($B97="",0,COUNTIFS('UX + Dev'!$AB$1:$DN$1,"&gt;="&amp;AI$1,'UX + Dev'!$AB$1:$DN$1,"&lt;="&amp;EOMONTH(AI$1,0),'UX + Dev'!$AB97:$DN97,"&lt;&gt;"))</f>
      </c>
      <c r="AJ97">
        <f>IF($B97="",0,COUNTIFS('UX + Dev'!$AB$1:$DN$1,"&gt;="&amp;AJ$1,'UX + Dev'!$AB$1:$DN$1,"&lt;="&amp;EOMONTH(AJ$1,0),'UX + Dev'!$AB97:$DN97,"&lt;&gt;"))</f>
      </c>
      <c r="AK97">
        <f>IF($B97="",0,COUNTIFS('UX + Dev'!$AB$1:$DN$1,"&gt;="&amp;AK$1,'UX + Dev'!$AB$1:$DN$1,"&lt;="&amp;EOMONTH(AK$1,0),'UX + Dev'!$AB97:$DN97,"&lt;&gt;"))</f>
      </c>
      <c r="AL97">
        <f>IF($B97="",0,COUNTIFS('UX + Dev'!$AB$1:$DN$1,"&gt;="&amp;AL$1,'UX + Dev'!$AB$1:$DN$1,"&lt;="&amp;EOMONTH(AL$1,0),'UX + Dev'!$AB97:$DN97,"&lt;&gt;"))</f>
      </c>
      <c r="AM97">
        <f>IF($B97="",0,COUNTIFS('UX + Dev'!$AB$1:$DN$1,"&gt;="&amp;AM$1,'UX + Dev'!$AB$1:$DN$1,"&lt;="&amp;EOMONTH(AM$1,0),'UX + Dev'!$AB97:$DN97,"&lt;&gt;"))</f>
      </c>
      <c r="AN97">
        <f>IF($B97="",0,COUNTIFS('UX + Dev'!$AB$1:$DN$1,"&gt;="&amp;AN$1,'UX + Dev'!$AB$1:$DN$1,"&lt;="&amp;EOMONTH(AN$1,0),'UX + Dev'!$AB97:$DN97,"&lt;&gt;"))</f>
      </c>
      <c r="AO97">
        <f>IF($B97="",0,COUNTIFS('UX + Dev'!$AB$1:$DN$1,"&gt;="&amp;AO$1,'UX + Dev'!$AB$1:$DN$1,"&lt;="&amp;EOMONTH(AO$1,0),'UX + Dev'!$AB97:$DN97,"&lt;&gt;"))</f>
      </c>
      <c r="AP97">
        <f>IF($B97="",0,COUNTIFS('UX + Dev'!$AB$1:$DN$1,"&gt;="&amp;AP$1,'UX + Dev'!$AB$1:$DN$1,"&lt;="&amp;EOMONTH(AP$1,0),'UX + Dev'!$AB97:$DN97,"&lt;&gt;"))</f>
      </c>
      <c r="AQ97">
        <f>IF($B97="",0,COUNTIFS('UX + Dev'!$AB$1:$DN$1,"&gt;="&amp;AQ$1,'UX + Dev'!$AB$1:$DN$1,"&lt;="&amp;EOMONTH(AQ$1,0),'UX + Dev'!$AB97:$DN97,"&lt;&gt;"))</f>
      </c>
      <c r="AR97">
        <f>IF($B97="",0,COUNTIFS('UX + Dev'!$AB$1:$DN$1,"&gt;="&amp;AR$1,'UX + Dev'!$AB$1:$DN$1,"&lt;="&amp;EOMONTH(AR$1,0),'UX + Dev'!$AB97:$DN97,"&lt;&gt;"))</f>
      </c>
      <c r="AS97">
        <f>IF($B97="",0,COUNTIFS('UX + Dev'!$AB$1:$DN$1,"&gt;="&amp;AS$1,'UX + Dev'!$AB$1:$DN$1,"&lt;="&amp;EOMONTH(AS$1,0),'UX + Dev'!$AB97:$DN97,"&lt;&gt;"))</f>
      </c>
      <c r="AT97">
        <f>IF($B97="",0,COUNTIFS('UX + Dev'!$AB$1:$DN$1,"&gt;="&amp;AT$1,'UX + Dev'!$AB$1:$DN$1,"&lt;="&amp;EOMONTH(AT$1,0),'UX + Dev'!$AB97:$DN97,"&lt;&gt;"))</f>
      </c>
      <c r="AU97">
        <f>IF($B97="",0,COUNTIFS('UX + Dev'!$AB$1:$DN$1,"&gt;="&amp;AU$1,'UX + Dev'!$AB$1:$DN$1,"&lt;="&amp;EOMONTH(AU$1,0),'UX + Dev'!$AB97:$DN97,"&lt;&gt;"))</f>
      </c>
      <c r="AV97">
        <f>IF($B97="",0,COUNTIFS('UX + Dev'!$AB$1:$DN$1,"&gt;="&amp;AV$1,'UX + Dev'!$AB$1:$DN$1,"&lt;="&amp;EOMONTH(AV$1,0),'UX + Dev'!$AB97:$DN97,"&lt;&gt;"))</f>
      </c>
      <c r="AW97">
        <f>IF($B97="",0,COUNTIFS('UX + Dev'!$AB$1:$DN$1,"&gt;="&amp;AW$1,'UX + Dev'!$AB$1:$DN$1,"&lt;="&amp;EOMONTH(AW$1,0),'UX + Dev'!$AB97:$DN97,"&lt;&gt;"))</f>
      </c>
      <c r="AX97">
        <f>IF($B97="",0,COUNTIFS('UX + Dev'!$AB$1:$DN$1,"&gt;="&amp;AX$1,'UX + Dev'!$AB$1:$DN$1,"&lt;="&amp;EOMONTH(AX$1,0),'UX + Dev'!$AB97:$DN97,"&lt;&gt;"))</f>
      </c>
      <c r="BB97" s="308">
        <f>IF($B97="","",IF(COUNTA('UX + Dev'!U97)&gt;0,DATE(YEAR('UX + Dev'!U97),MONTH('UX + Dev'!U97),1),IF(COUNTA('UX + Dev'!V97)&gt;0,DATE(YEAR('UX + Dev'!V97),MONTH('UX + Dev'!V97),1),"")))</f>
      </c>
      <c r="BC97" s="308">
        <f>IF($B97="","",IF(COUNTA('UX + Dev'!V97)&gt;0,EOMONTH('UX + Dev'!V97,0),IF(COUNTA('UX + Dev'!U97)&gt;0,EOMONTH('UX + Dev'!U97,0),"")))</f>
      </c>
    </row>
    <row r="98">
      <c r="A98" s="305" t="n">
        <v>98</v>
      </c>
      <c r="B98" s="305">
        <f>IF(TRIM('UX + Dev'!E98)="","",TRIM('UX + Dev'!E98))</f>
      </c>
      <c r="C98" s="305">
        <f>IF($B98="","",'UX + Dev'!B98)</f>
      </c>
      <c r="D98" s="305">
        <f>IF($B98="","",IF(TRIM('UX + Dev'!C98)="","(No theme assigned)",TRIM('UX + Dev'!C98)))</f>
      </c>
      <c r="E98" s="305">
        <f>IF($B98="","",TRIM('UX + Dev'!F98))</f>
      </c>
      <c r="F98" s="305">
        <f>IF($B98="","",'UX + Dev'!G98)</f>
      </c>
      <c r="G98" s="306">
        <f t="array" ref="G98">IF($B98="","",IF($T98=0,"",IFERROR(MIN(IF('UX + Dev'!$AB98:$DN98&lt;&gt;"",'UX + Dev'!$AB$1:$DN$1)),"")))</f>
      </c>
      <c r="H98" s="306">
        <f t="array" ref="H98">IF($B98="","",IF($T98=0,"",IFERROR(MAX(IF('UX + Dev'!$AB98:$DN98&lt;&gt;"",'UX + Dev'!$AB$1:$DN$1)),"")))</f>
      </c>
      <c r="I98" s="307">
        <f>IF($R98&lt;&gt;"",$R98,IF($S98&lt;&gt;"",$S98,""))</f>
      </c>
      <c r="J98" s="307">
        <f>IF($S98&lt;&gt;"",EOMONTH($S98,0),IF($R98&lt;&gt;"",EOMONTH($R98,0),""))</f>
      </c>
      <c r="K98" s="305">
        <f>IF($B98="","",IF(COUNTA('UX + Dev'!AA98)=0,"",TRIM('UX + Dev'!AA98)))</f>
      </c>
      <c r="L98" s="305">
        <f>IF($B98="","",IFERROR(MATCH($D98,Control!$E$4:$E$30,0),99))</f>
      </c>
      <c r="M98" s="305">
        <f>IF($B98="","",IFERROR(MATCH($F98,Control!$B$4:$B$30,0),99))</f>
      </c>
      <c r="N98" s="305">
        <f>IF($V98&lt;&gt;1,"",IF('Roadmap (Auto)'!$D$3="Status, then Theme",$M98*1000000+$L98*10000+ROW(),IF('Roadmap (Auto)'!$D$3="Dev start (earliest)",IF($I98="",99999999,$I98)*10000+ROW(),IF('Roadmap (Auto)'!$D$3="UX start (earliest)",IF($G98="",99999999,$G98)*10000+ROW(),IF('Roadmap (Auto)'!$D$3="Deliverable A-Z",$W98*10000+ROW(),$L98*1000000+$M98*10000+ROW())))))</f>
      </c>
      <c r="O98" s="305">
        <f>IF($N98="","",COUNTIF($N$2:$N$151,"&lt;"&amp;$N98)+1)</f>
      </c>
      <c r="P98" s="305">
        <f>IF($B98="","",IF(COUNTA('UX + Dev'!X98)=0,"",'UX + Dev'!X98))</f>
      </c>
      <c r="Q98" s="305">
        <f>IF($B98="","",IF(COUNTA('UX + Dev'!Y98)=0,"",'UX + Dev'!Y98))</f>
      </c>
      <c r="R98" s="307">
        <f>IF($P98="","",IF(ISNUMBER($P98),DATE(YEAR($P98),MONTH($P98),1),IFERROR(DATE(IFERROR(VALUE(RIGHT(TRIM($P98),4)),YEAR(TODAY())),(SEARCH(LEFT(TRIM($P98),3),"JanFebMarAprMayJunJulAugSepOctNovDec")+2)/3,1),"")))</f>
      </c>
      <c r="S98" s="307">
        <f>IF($Q98="","",IF(ISNUMBER($Q98),DATE(YEAR($Q98),MONTH($Q98),1),IFERROR(DATE(IFERROR(VALUE(RIGHT(TRIM($Q98),4)),YEAR(TODAY())),(SEARCH(LEFT(TRIM($Q98),3),"JanFebMarAprMayJunJulAugSepOctNovDec")+2)/3,1),"")))</f>
      </c>
      <c r="T98" s="305">
        <f>IF($B98="","",COUNTA('UX + Dev'!$AB98:$DN98))</f>
      </c>
      <c r="U98" s="305">
        <f>IF($B98="","",IFERROR(MATCH($D98,Control!$E$4:$E$30,0)+3,0))</f>
      </c>
      <c r="V98" s="305">
        <f>IF($B98="","",IF(AND(OR('Roadmap (Auto)'!$A$3="",'Roadmap (Auto)'!$A$3="(All)",ISNUMBER(SEARCH('Roadmap (Auto)'!$A$3,$C98&amp;""))),OR('Roadmap (Auto)'!$B$3="",'Roadmap (Auto)'!$B$3="(All)",$D98='Roadmap (Auto)'!$B$3,$X98='Roadmap (Auto)'!$B$3),OR('Roadmap (Auto)'!$C$3="",'Roadmap (Auto)'!$C$3="(All)",$F98='Roadmap (Auto)'!$C$3)),1,0))</f>
      </c>
      <c r="W98" s="305">
        <f>IF($B98="","",COUNTIF($Y$2:$Y$151,"&lt;"&amp;$Y98)+1)</f>
      </c>
      <c r="X98" s="305">
        <f>IF($B98="","",IF(TRIM('UX + Dev'!D98)="","",TRIM('UX + Dev'!D98)))</f>
      </c>
      <c r="Y98" s="305">
        <f>IF($B98="","",SUBSTITUTE(SUBSTITUTE(SUBSTITUTE(SUBSTITUTE(SUBSTITUTE(SUBSTITUTE(SUBSTITUTE(SUBSTITUTE(SUBSTITUTE(SUBSTITUTE(SUBSTITUTE(SUBSTITUTE(SUBSTITUTE(SUBSTITUTE(SUBSTITUTE(SUBSTITUTE(SUBSTITUTE(SUBSTITUTE(SUBSTITUTE(SUBSTITUTE(SUBSTITUTE(SUBSTITUTE(SUBSTITUTE(SUBSTITUTE(SUBSTITUTE(UPPER($B98)," ",""),"-",""),":",""),"/",""),"&amp;",""),"|",""),"'",""),"’",""),"&lt;",""),"&gt;",""),",",""),"$",""),".",""),"(",""),")",""),"*",""),"?",""),"~",""),"_",""),"+",""),"#",""),";",""),"!",""),"%",""),"@",""))</f>
      </c>
      <c r="AA98">
        <f>IF($B98="",0,COUNTIFS('UX + Dev'!$AB$1:$DN$1,"&gt;="&amp;AA$1,'UX + Dev'!$AB$1:$DN$1,"&lt;="&amp;EOMONTH(AA$1,0),'UX + Dev'!$AB98:$DN98,"&lt;&gt;"))</f>
      </c>
      <c r="AB98">
        <f>IF($B98="",0,COUNTIFS('UX + Dev'!$AB$1:$DN$1,"&gt;="&amp;AB$1,'UX + Dev'!$AB$1:$DN$1,"&lt;="&amp;EOMONTH(AB$1,0),'UX + Dev'!$AB98:$DN98,"&lt;&gt;"))</f>
      </c>
      <c r="AC98">
        <f>IF($B98="",0,COUNTIFS('UX + Dev'!$AB$1:$DN$1,"&gt;="&amp;AC$1,'UX + Dev'!$AB$1:$DN$1,"&lt;="&amp;EOMONTH(AC$1,0),'UX + Dev'!$AB98:$DN98,"&lt;&gt;"))</f>
      </c>
      <c r="AD98">
        <f>IF($B98="",0,COUNTIFS('UX + Dev'!$AB$1:$DN$1,"&gt;="&amp;AD$1,'UX + Dev'!$AB$1:$DN$1,"&lt;="&amp;EOMONTH(AD$1,0),'UX + Dev'!$AB98:$DN98,"&lt;&gt;"))</f>
      </c>
      <c r="AE98">
        <f>IF($B98="",0,COUNTIFS('UX + Dev'!$AB$1:$DN$1,"&gt;="&amp;AE$1,'UX + Dev'!$AB$1:$DN$1,"&lt;="&amp;EOMONTH(AE$1,0),'UX + Dev'!$AB98:$DN98,"&lt;&gt;"))</f>
      </c>
      <c r="AF98">
        <f>IF($B98="",0,COUNTIFS('UX + Dev'!$AB$1:$DN$1,"&gt;="&amp;AF$1,'UX + Dev'!$AB$1:$DN$1,"&lt;="&amp;EOMONTH(AF$1,0),'UX + Dev'!$AB98:$DN98,"&lt;&gt;"))</f>
      </c>
      <c r="AG98">
        <f>IF($B98="",0,COUNTIFS('UX + Dev'!$AB$1:$DN$1,"&gt;="&amp;AG$1,'UX + Dev'!$AB$1:$DN$1,"&lt;="&amp;EOMONTH(AG$1,0),'UX + Dev'!$AB98:$DN98,"&lt;&gt;"))</f>
      </c>
      <c r="AH98">
        <f>IF($B98="",0,COUNTIFS('UX + Dev'!$AB$1:$DN$1,"&gt;="&amp;AH$1,'UX + Dev'!$AB$1:$DN$1,"&lt;="&amp;EOMONTH(AH$1,0),'UX + Dev'!$AB98:$DN98,"&lt;&gt;"))</f>
      </c>
      <c r="AI98">
        <f>IF($B98="",0,COUNTIFS('UX + Dev'!$AB$1:$DN$1,"&gt;="&amp;AI$1,'UX + Dev'!$AB$1:$DN$1,"&lt;="&amp;EOMONTH(AI$1,0),'UX + Dev'!$AB98:$DN98,"&lt;&gt;"))</f>
      </c>
      <c r="AJ98">
        <f>IF($B98="",0,COUNTIFS('UX + Dev'!$AB$1:$DN$1,"&gt;="&amp;AJ$1,'UX + Dev'!$AB$1:$DN$1,"&lt;="&amp;EOMONTH(AJ$1,0),'UX + Dev'!$AB98:$DN98,"&lt;&gt;"))</f>
      </c>
      <c r="AK98">
        <f>IF($B98="",0,COUNTIFS('UX + Dev'!$AB$1:$DN$1,"&gt;="&amp;AK$1,'UX + Dev'!$AB$1:$DN$1,"&lt;="&amp;EOMONTH(AK$1,0),'UX + Dev'!$AB98:$DN98,"&lt;&gt;"))</f>
      </c>
      <c r="AL98">
        <f>IF($B98="",0,COUNTIFS('UX + Dev'!$AB$1:$DN$1,"&gt;="&amp;AL$1,'UX + Dev'!$AB$1:$DN$1,"&lt;="&amp;EOMONTH(AL$1,0),'UX + Dev'!$AB98:$DN98,"&lt;&gt;"))</f>
      </c>
      <c r="AM98">
        <f>IF($B98="",0,COUNTIFS('UX + Dev'!$AB$1:$DN$1,"&gt;="&amp;AM$1,'UX + Dev'!$AB$1:$DN$1,"&lt;="&amp;EOMONTH(AM$1,0),'UX + Dev'!$AB98:$DN98,"&lt;&gt;"))</f>
      </c>
      <c r="AN98">
        <f>IF($B98="",0,COUNTIFS('UX + Dev'!$AB$1:$DN$1,"&gt;="&amp;AN$1,'UX + Dev'!$AB$1:$DN$1,"&lt;="&amp;EOMONTH(AN$1,0),'UX + Dev'!$AB98:$DN98,"&lt;&gt;"))</f>
      </c>
      <c r="AO98">
        <f>IF($B98="",0,COUNTIFS('UX + Dev'!$AB$1:$DN$1,"&gt;="&amp;AO$1,'UX + Dev'!$AB$1:$DN$1,"&lt;="&amp;EOMONTH(AO$1,0),'UX + Dev'!$AB98:$DN98,"&lt;&gt;"))</f>
      </c>
      <c r="AP98">
        <f>IF($B98="",0,COUNTIFS('UX + Dev'!$AB$1:$DN$1,"&gt;="&amp;AP$1,'UX + Dev'!$AB$1:$DN$1,"&lt;="&amp;EOMONTH(AP$1,0),'UX + Dev'!$AB98:$DN98,"&lt;&gt;"))</f>
      </c>
      <c r="AQ98">
        <f>IF($B98="",0,COUNTIFS('UX + Dev'!$AB$1:$DN$1,"&gt;="&amp;AQ$1,'UX + Dev'!$AB$1:$DN$1,"&lt;="&amp;EOMONTH(AQ$1,0),'UX + Dev'!$AB98:$DN98,"&lt;&gt;"))</f>
      </c>
      <c r="AR98">
        <f>IF($B98="",0,COUNTIFS('UX + Dev'!$AB$1:$DN$1,"&gt;="&amp;AR$1,'UX + Dev'!$AB$1:$DN$1,"&lt;="&amp;EOMONTH(AR$1,0),'UX + Dev'!$AB98:$DN98,"&lt;&gt;"))</f>
      </c>
      <c r="AS98">
        <f>IF($B98="",0,COUNTIFS('UX + Dev'!$AB$1:$DN$1,"&gt;="&amp;AS$1,'UX + Dev'!$AB$1:$DN$1,"&lt;="&amp;EOMONTH(AS$1,0),'UX + Dev'!$AB98:$DN98,"&lt;&gt;"))</f>
      </c>
      <c r="AT98">
        <f>IF($B98="",0,COUNTIFS('UX + Dev'!$AB$1:$DN$1,"&gt;="&amp;AT$1,'UX + Dev'!$AB$1:$DN$1,"&lt;="&amp;EOMONTH(AT$1,0),'UX + Dev'!$AB98:$DN98,"&lt;&gt;"))</f>
      </c>
      <c r="AU98">
        <f>IF($B98="",0,COUNTIFS('UX + Dev'!$AB$1:$DN$1,"&gt;="&amp;AU$1,'UX + Dev'!$AB$1:$DN$1,"&lt;="&amp;EOMONTH(AU$1,0),'UX + Dev'!$AB98:$DN98,"&lt;&gt;"))</f>
      </c>
      <c r="AV98">
        <f>IF($B98="",0,COUNTIFS('UX + Dev'!$AB$1:$DN$1,"&gt;="&amp;AV$1,'UX + Dev'!$AB$1:$DN$1,"&lt;="&amp;EOMONTH(AV$1,0),'UX + Dev'!$AB98:$DN98,"&lt;&gt;"))</f>
      </c>
      <c r="AW98">
        <f>IF($B98="",0,COUNTIFS('UX + Dev'!$AB$1:$DN$1,"&gt;="&amp;AW$1,'UX + Dev'!$AB$1:$DN$1,"&lt;="&amp;EOMONTH(AW$1,0),'UX + Dev'!$AB98:$DN98,"&lt;&gt;"))</f>
      </c>
      <c r="AX98">
        <f>IF($B98="",0,COUNTIFS('UX + Dev'!$AB$1:$DN$1,"&gt;="&amp;AX$1,'UX + Dev'!$AB$1:$DN$1,"&lt;="&amp;EOMONTH(AX$1,0),'UX + Dev'!$AB98:$DN98,"&lt;&gt;"))</f>
      </c>
      <c r="BB98" s="308">
        <f>IF($B98="","",IF(COUNTA('UX + Dev'!U98)&gt;0,DATE(YEAR('UX + Dev'!U98),MONTH('UX + Dev'!U98),1),IF(COUNTA('UX + Dev'!V98)&gt;0,DATE(YEAR('UX + Dev'!V98),MONTH('UX + Dev'!V98),1),"")))</f>
      </c>
      <c r="BC98" s="308">
        <f>IF($B98="","",IF(COUNTA('UX + Dev'!V98)&gt;0,EOMONTH('UX + Dev'!V98,0),IF(COUNTA('UX + Dev'!U98)&gt;0,EOMONTH('UX + Dev'!U98,0),"")))</f>
      </c>
    </row>
    <row r="99">
      <c r="A99" s="305" t="n">
        <v>99</v>
      </c>
      <c r="B99" s="305">
        <f>IF(TRIM('UX + Dev'!E99)="","",TRIM('UX + Dev'!E99))</f>
      </c>
      <c r="C99" s="305">
        <f>IF($B99="","",'UX + Dev'!B99)</f>
      </c>
      <c r="D99" s="305">
        <f>IF($B99="","",IF(TRIM('UX + Dev'!C99)="","(No theme assigned)",TRIM('UX + Dev'!C99)))</f>
      </c>
      <c r="E99" s="305">
        <f>IF($B99="","",TRIM('UX + Dev'!F99))</f>
      </c>
      <c r="F99" s="305">
        <f>IF($B99="","",'UX + Dev'!G99)</f>
      </c>
      <c r="G99" s="306">
        <f t="array" ref="G99">IF($B99="","",IF($T99=0,"",IFERROR(MIN(IF('UX + Dev'!$AB99:$DN99&lt;&gt;"",'UX + Dev'!$AB$1:$DN$1)),"")))</f>
      </c>
      <c r="H99" s="306">
        <f t="array" ref="H99">IF($B99="","",IF($T99=0,"",IFERROR(MAX(IF('UX + Dev'!$AB99:$DN99&lt;&gt;"",'UX + Dev'!$AB$1:$DN$1)),"")))</f>
      </c>
      <c r="I99" s="307">
        <f>IF($R99&lt;&gt;"",$R99,IF($S99&lt;&gt;"",$S99,""))</f>
      </c>
      <c r="J99" s="307">
        <f>IF($S99&lt;&gt;"",EOMONTH($S99,0),IF($R99&lt;&gt;"",EOMONTH($R99,0),""))</f>
      </c>
      <c r="K99" s="305">
        <f>IF($B99="","",IF(COUNTA('UX + Dev'!AA99)=0,"",TRIM('UX + Dev'!AA99)))</f>
      </c>
      <c r="L99" s="305">
        <f>IF($B99="","",IFERROR(MATCH($D99,Control!$E$4:$E$30,0),99))</f>
      </c>
      <c r="M99" s="305">
        <f>IF($B99="","",IFERROR(MATCH($F99,Control!$B$4:$B$30,0),99))</f>
      </c>
      <c r="N99" s="305">
        <f>IF($V99&lt;&gt;1,"",IF('Roadmap (Auto)'!$D$3="Status, then Theme",$M99*1000000+$L99*10000+ROW(),IF('Roadmap (Auto)'!$D$3="Dev start (earliest)",IF($I99="",99999999,$I99)*10000+ROW(),IF('Roadmap (Auto)'!$D$3="UX start (earliest)",IF($G99="",99999999,$G99)*10000+ROW(),IF('Roadmap (Auto)'!$D$3="Deliverable A-Z",$W99*10000+ROW(),$L99*1000000+$M99*10000+ROW())))))</f>
      </c>
      <c r="O99" s="305">
        <f>IF($N99="","",COUNTIF($N$2:$N$151,"&lt;"&amp;$N99)+1)</f>
      </c>
      <c r="P99" s="305">
        <f>IF($B99="","",IF(COUNTA('UX + Dev'!X99)=0,"",'UX + Dev'!X99))</f>
      </c>
      <c r="Q99" s="305">
        <f>IF($B99="","",IF(COUNTA('UX + Dev'!Y99)=0,"",'UX + Dev'!Y99))</f>
      </c>
      <c r="R99" s="307">
        <f>IF($P99="","",IF(ISNUMBER($P99),DATE(YEAR($P99),MONTH($P99),1),IFERROR(DATE(IFERROR(VALUE(RIGHT(TRIM($P99),4)),YEAR(TODAY())),(SEARCH(LEFT(TRIM($P99),3),"JanFebMarAprMayJunJulAugSepOctNovDec")+2)/3,1),"")))</f>
      </c>
      <c r="S99" s="307">
        <f>IF($Q99="","",IF(ISNUMBER($Q99),DATE(YEAR($Q99),MONTH($Q99),1),IFERROR(DATE(IFERROR(VALUE(RIGHT(TRIM($Q99),4)),YEAR(TODAY())),(SEARCH(LEFT(TRIM($Q99),3),"JanFebMarAprMayJunJulAugSepOctNovDec")+2)/3,1),"")))</f>
      </c>
      <c r="T99" s="305">
        <f>IF($B99="","",COUNTA('UX + Dev'!$AB99:$DN99))</f>
      </c>
      <c r="U99" s="305">
        <f>IF($B99="","",IFERROR(MATCH($D99,Control!$E$4:$E$30,0)+3,0))</f>
      </c>
      <c r="V99" s="305">
        <f>IF($B99="","",IF(AND(OR('Roadmap (Auto)'!$A$3="",'Roadmap (Auto)'!$A$3="(All)",ISNUMBER(SEARCH('Roadmap (Auto)'!$A$3,$C99&amp;""))),OR('Roadmap (Auto)'!$B$3="",'Roadmap (Auto)'!$B$3="(All)",$D99='Roadmap (Auto)'!$B$3,$X99='Roadmap (Auto)'!$B$3),OR('Roadmap (Auto)'!$C$3="",'Roadmap (Auto)'!$C$3="(All)",$F99='Roadmap (Auto)'!$C$3)),1,0))</f>
      </c>
      <c r="W99" s="305">
        <f>IF($B99="","",COUNTIF($Y$2:$Y$151,"&lt;"&amp;$Y99)+1)</f>
      </c>
      <c r="X99" s="305">
        <f>IF($B99="","",IF(TRIM('UX + Dev'!D99)="","",TRIM('UX + Dev'!D99)))</f>
      </c>
      <c r="Y99" s="305">
        <f>IF($B99="","",SUBSTITUTE(SUBSTITUTE(SUBSTITUTE(SUBSTITUTE(SUBSTITUTE(SUBSTITUTE(SUBSTITUTE(SUBSTITUTE(SUBSTITUTE(SUBSTITUTE(SUBSTITUTE(SUBSTITUTE(SUBSTITUTE(SUBSTITUTE(SUBSTITUTE(SUBSTITUTE(SUBSTITUTE(SUBSTITUTE(SUBSTITUTE(SUBSTITUTE(SUBSTITUTE(SUBSTITUTE(SUBSTITUTE(SUBSTITUTE(SUBSTITUTE(UPPER($B99)," ",""),"-",""),":",""),"/",""),"&amp;",""),"|",""),"'",""),"’",""),"&lt;",""),"&gt;",""),",",""),"$",""),".",""),"(",""),")",""),"*",""),"?",""),"~",""),"_",""),"+",""),"#",""),";",""),"!",""),"%",""),"@",""))</f>
      </c>
      <c r="AA99">
        <f>IF($B99="",0,COUNTIFS('UX + Dev'!$AB$1:$DN$1,"&gt;="&amp;AA$1,'UX + Dev'!$AB$1:$DN$1,"&lt;="&amp;EOMONTH(AA$1,0),'UX + Dev'!$AB99:$DN99,"&lt;&gt;"))</f>
      </c>
      <c r="AB99">
        <f>IF($B99="",0,COUNTIFS('UX + Dev'!$AB$1:$DN$1,"&gt;="&amp;AB$1,'UX + Dev'!$AB$1:$DN$1,"&lt;="&amp;EOMONTH(AB$1,0),'UX + Dev'!$AB99:$DN99,"&lt;&gt;"))</f>
      </c>
      <c r="AC99">
        <f>IF($B99="",0,COUNTIFS('UX + Dev'!$AB$1:$DN$1,"&gt;="&amp;AC$1,'UX + Dev'!$AB$1:$DN$1,"&lt;="&amp;EOMONTH(AC$1,0),'UX + Dev'!$AB99:$DN99,"&lt;&gt;"))</f>
      </c>
      <c r="AD99">
        <f>IF($B99="",0,COUNTIFS('UX + Dev'!$AB$1:$DN$1,"&gt;="&amp;AD$1,'UX + Dev'!$AB$1:$DN$1,"&lt;="&amp;EOMONTH(AD$1,0),'UX + Dev'!$AB99:$DN99,"&lt;&gt;"))</f>
      </c>
      <c r="AE99">
        <f>IF($B99="",0,COUNTIFS('UX + Dev'!$AB$1:$DN$1,"&gt;="&amp;AE$1,'UX + Dev'!$AB$1:$DN$1,"&lt;="&amp;EOMONTH(AE$1,0),'UX + Dev'!$AB99:$DN99,"&lt;&gt;"))</f>
      </c>
      <c r="AF99">
        <f>IF($B99="",0,COUNTIFS('UX + Dev'!$AB$1:$DN$1,"&gt;="&amp;AF$1,'UX + Dev'!$AB$1:$DN$1,"&lt;="&amp;EOMONTH(AF$1,0),'UX + Dev'!$AB99:$DN99,"&lt;&gt;"))</f>
      </c>
      <c r="AG99">
        <f>IF($B99="",0,COUNTIFS('UX + Dev'!$AB$1:$DN$1,"&gt;="&amp;AG$1,'UX + Dev'!$AB$1:$DN$1,"&lt;="&amp;EOMONTH(AG$1,0),'UX + Dev'!$AB99:$DN99,"&lt;&gt;"))</f>
      </c>
      <c r="AH99">
        <f>IF($B99="",0,COUNTIFS('UX + Dev'!$AB$1:$DN$1,"&gt;="&amp;AH$1,'UX + Dev'!$AB$1:$DN$1,"&lt;="&amp;EOMONTH(AH$1,0),'UX + Dev'!$AB99:$DN99,"&lt;&gt;"))</f>
      </c>
      <c r="AI99">
        <f>IF($B99="",0,COUNTIFS('UX + Dev'!$AB$1:$DN$1,"&gt;="&amp;AI$1,'UX + Dev'!$AB$1:$DN$1,"&lt;="&amp;EOMONTH(AI$1,0),'UX + Dev'!$AB99:$DN99,"&lt;&gt;"))</f>
      </c>
      <c r="AJ99">
        <f>IF($B99="",0,COUNTIFS('UX + Dev'!$AB$1:$DN$1,"&gt;="&amp;AJ$1,'UX + Dev'!$AB$1:$DN$1,"&lt;="&amp;EOMONTH(AJ$1,0),'UX + Dev'!$AB99:$DN99,"&lt;&gt;"))</f>
      </c>
      <c r="AK99">
        <f>IF($B99="",0,COUNTIFS('UX + Dev'!$AB$1:$DN$1,"&gt;="&amp;AK$1,'UX + Dev'!$AB$1:$DN$1,"&lt;="&amp;EOMONTH(AK$1,0),'UX + Dev'!$AB99:$DN99,"&lt;&gt;"))</f>
      </c>
      <c r="AL99">
        <f>IF($B99="",0,COUNTIFS('UX + Dev'!$AB$1:$DN$1,"&gt;="&amp;AL$1,'UX + Dev'!$AB$1:$DN$1,"&lt;="&amp;EOMONTH(AL$1,0),'UX + Dev'!$AB99:$DN99,"&lt;&gt;"))</f>
      </c>
      <c r="AM99">
        <f>IF($B99="",0,COUNTIFS('UX + Dev'!$AB$1:$DN$1,"&gt;="&amp;AM$1,'UX + Dev'!$AB$1:$DN$1,"&lt;="&amp;EOMONTH(AM$1,0),'UX + Dev'!$AB99:$DN99,"&lt;&gt;"))</f>
      </c>
      <c r="AN99">
        <f>IF($B99="",0,COUNTIFS('UX + Dev'!$AB$1:$DN$1,"&gt;="&amp;AN$1,'UX + Dev'!$AB$1:$DN$1,"&lt;="&amp;EOMONTH(AN$1,0),'UX + Dev'!$AB99:$DN99,"&lt;&gt;"))</f>
      </c>
      <c r="AO99">
        <f>IF($B99="",0,COUNTIFS('UX + Dev'!$AB$1:$DN$1,"&gt;="&amp;AO$1,'UX + Dev'!$AB$1:$DN$1,"&lt;="&amp;EOMONTH(AO$1,0),'UX + Dev'!$AB99:$DN99,"&lt;&gt;"))</f>
      </c>
      <c r="AP99">
        <f>IF($B99="",0,COUNTIFS('UX + Dev'!$AB$1:$DN$1,"&gt;="&amp;AP$1,'UX + Dev'!$AB$1:$DN$1,"&lt;="&amp;EOMONTH(AP$1,0),'UX + Dev'!$AB99:$DN99,"&lt;&gt;"))</f>
      </c>
      <c r="AQ99">
        <f>IF($B99="",0,COUNTIFS('UX + Dev'!$AB$1:$DN$1,"&gt;="&amp;AQ$1,'UX + Dev'!$AB$1:$DN$1,"&lt;="&amp;EOMONTH(AQ$1,0),'UX + Dev'!$AB99:$DN99,"&lt;&gt;"))</f>
      </c>
      <c r="AR99">
        <f>IF($B99="",0,COUNTIFS('UX + Dev'!$AB$1:$DN$1,"&gt;="&amp;AR$1,'UX + Dev'!$AB$1:$DN$1,"&lt;="&amp;EOMONTH(AR$1,0),'UX + Dev'!$AB99:$DN99,"&lt;&gt;"))</f>
      </c>
      <c r="AS99">
        <f>IF($B99="",0,COUNTIFS('UX + Dev'!$AB$1:$DN$1,"&gt;="&amp;AS$1,'UX + Dev'!$AB$1:$DN$1,"&lt;="&amp;EOMONTH(AS$1,0),'UX + Dev'!$AB99:$DN99,"&lt;&gt;"))</f>
      </c>
      <c r="AT99">
        <f>IF($B99="",0,COUNTIFS('UX + Dev'!$AB$1:$DN$1,"&gt;="&amp;AT$1,'UX + Dev'!$AB$1:$DN$1,"&lt;="&amp;EOMONTH(AT$1,0),'UX + Dev'!$AB99:$DN99,"&lt;&gt;"))</f>
      </c>
      <c r="AU99">
        <f>IF($B99="",0,COUNTIFS('UX + Dev'!$AB$1:$DN$1,"&gt;="&amp;AU$1,'UX + Dev'!$AB$1:$DN$1,"&lt;="&amp;EOMONTH(AU$1,0),'UX + Dev'!$AB99:$DN99,"&lt;&gt;"))</f>
      </c>
      <c r="AV99">
        <f>IF($B99="",0,COUNTIFS('UX + Dev'!$AB$1:$DN$1,"&gt;="&amp;AV$1,'UX + Dev'!$AB$1:$DN$1,"&lt;="&amp;EOMONTH(AV$1,0),'UX + Dev'!$AB99:$DN99,"&lt;&gt;"))</f>
      </c>
      <c r="AW99">
        <f>IF($B99="",0,COUNTIFS('UX + Dev'!$AB$1:$DN$1,"&gt;="&amp;AW$1,'UX + Dev'!$AB$1:$DN$1,"&lt;="&amp;EOMONTH(AW$1,0),'UX + Dev'!$AB99:$DN99,"&lt;&gt;"))</f>
      </c>
      <c r="AX99">
        <f>IF($B99="",0,COUNTIFS('UX + Dev'!$AB$1:$DN$1,"&gt;="&amp;AX$1,'UX + Dev'!$AB$1:$DN$1,"&lt;="&amp;EOMONTH(AX$1,0),'UX + Dev'!$AB99:$DN99,"&lt;&gt;"))</f>
      </c>
      <c r="BB99" s="308">
        <f>IF($B99="","",IF(COUNTA('UX + Dev'!U99)&gt;0,DATE(YEAR('UX + Dev'!U99),MONTH('UX + Dev'!U99),1),IF(COUNTA('UX + Dev'!V99)&gt;0,DATE(YEAR('UX + Dev'!V99),MONTH('UX + Dev'!V99),1),"")))</f>
      </c>
      <c r="BC99" s="308">
        <f>IF($B99="","",IF(COUNTA('UX + Dev'!V99)&gt;0,EOMONTH('UX + Dev'!V99,0),IF(COUNTA('UX + Dev'!U99)&gt;0,EOMONTH('UX + Dev'!U99,0),"")))</f>
      </c>
    </row>
    <row r="100">
      <c r="A100" s="305" t="n">
        <v>100</v>
      </c>
      <c r="B100" s="305">
        <f>IF(TRIM('UX + Dev'!E100)="","",TRIM('UX + Dev'!E100))</f>
      </c>
      <c r="C100" s="305">
        <f>IF($B100="","",'UX + Dev'!B100)</f>
      </c>
      <c r="D100" s="305">
        <f>IF($B100="","",IF(TRIM('UX + Dev'!C100)="","(No theme assigned)",TRIM('UX + Dev'!C100)))</f>
      </c>
      <c r="E100" s="305">
        <f>IF($B100="","",TRIM('UX + Dev'!F100))</f>
      </c>
      <c r="F100" s="305">
        <f>IF($B100="","",'UX + Dev'!G100)</f>
      </c>
      <c r="G100" s="306">
        <f t="array" ref="G100">IF($B100="","",IF($T100=0,"",IFERROR(MIN(IF('UX + Dev'!$AB100:$DN100&lt;&gt;"",'UX + Dev'!$AB$1:$DN$1)),"")))</f>
      </c>
      <c r="H100" s="306">
        <f t="array" ref="H100">IF($B100="","",IF($T100=0,"",IFERROR(MAX(IF('UX + Dev'!$AB100:$DN100&lt;&gt;"",'UX + Dev'!$AB$1:$DN$1)),"")))</f>
      </c>
      <c r="I100" s="307">
        <f>IF($R100&lt;&gt;"",$R100,IF($S100&lt;&gt;"",$S100,""))</f>
      </c>
      <c r="J100" s="307">
        <f>IF($S100&lt;&gt;"",EOMONTH($S100,0),IF($R100&lt;&gt;"",EOMONTH($R100,0),""))</f>
      </c>
      <c r="K100" s="305">
        <f>IF($B100="","",IF(COUNTA('UX + Dev'!AA100)=0,"",TRIM('UX + Dev'!AA100)))</f>
      </c>
      <c r="L100" s="305">
        <f>IF($B100="","",IFERROR(MATCH($D100,Control!$E$4:$E$30,0),99))</f>
      </c>
      <c r="M100" s="305">
        <f>IF($B100="","",IFERROR(MATCH($F100,Control!$B$4:$B$30,0),99))</f>
      </c>
      <c r="N100" s="305">
        <f>IF($V100&lt;&gt;1,"",IF('Roadmap (Auto)'!$D$3="Status, then Theme",$M100*1000000+$L100*10000+ROW(),IF('Roadmap (Auto)'!$D$3="Dev start (earliest)",IF($I100="",99999999,$I100)*10000+ROW(),IF('Roadmap (Auto)'!$D$3="UX start (earliest)",IF($G100="",99999999,$G100)*10000+ROW(),IF('Roadmap (Auto)'!$D$3="Deliverable A-Z",$W100*10000+ROW(),$L100*1000000+$M100*10000+ROW())))))</f>
      </c>
      <c r="O100" s="305">
        <f>IF($N100="","",COUNTIF($N$2:$N$151,"&lt;"&amp;$N100)+1)</f>
      </c>
      <c r="P100" s="305">
        <f>IF($B100="","",IF(COUNTA('UX + Dev'!X100)=0,"",'UX + Dev'!X100))</f>
      </c>
      <c r="Q100" s="305">
        <f>IF($B100="","",IF(COUNTA('UX + Dev'!Y100)=0,"",'UX + Dev'!Y100))</f>
      </c>
      <c r="R100" s="307">
        <f>IF($P100="","",IF(ISNUMBER($P100),DATE(YEAR($P100),MONTH($P100),1),IFERROR(DATE(IFERROR(VALUE(RIGHT(TRIM($P100),4)),YEAR(TODAY())),(SEARCH(LEFT(TRIM($P100),3),"JanFebMarAprMayJunJulAugSepOctNovDec")+2)/3,1),"")))</f>
      </c>
      <c r="S100" s="307">
        <f>IF($Q100="","",IF(ISNUMBER($Q100),DATE(YEAR($Q100),MONTH($Q100),1),IFERROR(DATE(IFERROR(VALUE(RIGHT(TRIM($Q100),4)),YEAR(TODAY())),(SEARCH(LEFT(TRIM($Q100),3),"JanFebMarAprMayJunJulAugSepOctNovDec")+2)/3,1),"")))</f>
      </c>
      <c r="T100" s="305">
        <f>IF($B100="","",COUNTA('UX + Dev'!$AB100:$DN100))</f>
      </c>
      <c r="U100" s="305">
        <f>IF($B100="","",IFERROR(MATCH($D100,Control!$E$4:$E$30,0)+3,0))</f>
      </c>
      <c r="V100" s="305">
        <f>IF($B100="","",IF(AND(OR('Roadmap (Auto)'!$A$3="",'Roadmap (Auto)'!$A$3="(All)",ISNUMBER(SEARCH('Roadmap (Auto)'!$A$3,$C100&amp;""))),OR('Roadmap (Auto)'!$B$3="",'Roadmap (Auto)'!$B$3="(All)",$D100='Roadmap (Auto)'!$B$3,$X100='Roadmap (Auto)'!$B$3),OR('Roadmap (Auto)'!$C$3="",'Roadmap (Auto)'!$C$3="(All)",$F100='Roadmap (Auto)'!$C$3)),1,0))</f>
      </c>
      <c r="W100" s="305">
        <f>IF($B100="","",COUNTIF($Y$2:$Y$151,"&lt;"&amp;$Y100)+1)</f>
      </c>
      <c r="X100" s="305">
        <f>IF($B100="","",IF(TRIM('UX + Dev'!D100)="","",TRIM('UX + Dev'!D100)))</f>
      </c>
      <c r="Y100" s="305">
        <f>IF($B100="","",SUBSTITUTE(SUBSTITUTE(SUBSTITUTE(SUBSTITUTE(SUBSTITUTE(SUBSTITUTE(SUBSTITUTE(SUBSTITUTE(SUBSTITUTE(SUBSTITUTE(SUBSTITUTE(SUBSTITUTE(SUBSTITUTE(SUBSTITUTE(SUBSTITUTE(SUBSTITUTE(SUBSTITUTE(SUBSTITUTE(SUBSTITUTE(SUBSTITUTE(SUBSTITUTE(SUBSTITUTE(SUBSTITUTE(SUBSTITUTE(SUBSTITUTE(UPPER($B100)," ",""),"-",""),":",""),"/",""),"&amp;",""),"|",""),"'",""),"’",""),"&lt;",""),"&gt;",""),",",""),"$",""),".",""),"(",""),")",""),"*",""),"?",""),"~",""),"_",""),"+",""),"#",""),";",""),"!",""),"%",""),"@",""))</f>
      </c>
      <c r="AA100">
        <f>IF($B100="",0,COUNTIFS('UX + Dev'!$AB$1:$DN$1,"&gt;="&amp;AA$1,'UX + Dev'!$AB$1:$DN$1,"&lt;="&amp;EOMONTH(AA$1,0),'UX + Dev'!$AB100:$DN100,"&lt;&gt;"))</f>
      </c>
      <c r="AB100">
        <f>IF($B100="",0,COUNTIFS('UX + Dev'!$AB$1:$DN$1,"&gt;="&amp;AB$1,'UX + Dev'!$AB$1:$DN$1,"&lt;="&amp;EOMONTH(AB$1,0),'UX + Dev'!$AB100:$DN100,"&lt;&gt;"))</f>
      </c>
      <c r="AC100">
        <f>IF($B100="",0,COUNTIFS('UX + Dev'!$AB$1:$DN$1,"&gt;="&amp;AC$1,'UX + Dev'!$AB$1:$DN$1,"&lt;="&amp;EOMONTH(AC$1,0),'UX + Dev'!$AB100:$DN100,"&lt;&gt;"))</f>
      </c>
      <c r="AD100">
        <f>IF($B100="",0,COUNTIFS('UX + Dev'!$AB$1:$DN$1,"&gt;="&amp;AD$1,'UX + Dev'!$AB$1:$DN$1,"&lt;="&amp;EOMONTH(AD$1,0),'UX + Dev'!$AB100:$DN100,"&lt;&gt;"))</f>
      </c>
      <c r="AE100">
        <f>IF($B100="",0,COUNTIFS('UX + Dev'!$AB$1:$DN$1,"&gt;="&amp;AE$1,'UX + Dev'!$AB$1:$DN$1,"&lt;="&amp;EOMONTH(AE$1,0),'UX + Dev'!$AB100:$DN100,"&lt;&gt;"))</f>
      </c>
      <c r="AF100">
        <f>IF($B100="",0,COUNTIFS('UX + Dev'!$AB$1:$DN$1,"&gt;="&amp;AF$1,'UX + Dev'!$AB$1:$DN$1,"&lt;="&amp;EOMONTH(AF$1,0),'UX + Dev'!$AB100:$DN100,"&lt;&gt;"))</f>
      </c>
      <c r="AG100">
        <f>IF($B100="",0,COUNTIFS('UX + Dev'!$AB$1:$DN$1,"&gt;="&amp;AG$1,'UX + Dev'!$AB$1:$DN$1,"&lt;="&amp;EOMONTH(AG$1,0),'UX + Dev'!$AB100:$DN100,"&lt;&gt;"))</f>
      </c>
      <c r="AH100">
        <f>IF($B100="",0,COUNTIFS('UX + Dev'!$AB$1:$DN$1,"&gt;="&amp;AH$1,'UX + Dev'!$AB$1:$DN$1,"&lt;="&amp;EOMONTH(AH$1,0),'UX + Dev'!$AB100:$DN100,"&lt;&gt;"))</f>
      </c>
      <c r="AI100">
        <f>IF($B100="",0,COUNTIFS('UX + Dev'!$AB$1:$DN$1,"&gt;="&amp;AI$1,'UX + Dev'!$AB$1:$DN$1,"&lt;="&amp;EOMONTH(AI$1,0),'UX + Dev'!$AB100:$DN100,"&lt;&gt;"))</f>
      </c>
      <c r="AJ100">
        <f>IF($B100="",0,COUNTIFS('UX + Dev'!$AB$1:$DN$1,"&gt;="&amp;AJ$1,'UX + Dev'!$AB$1:$DN$1,"&lt;="&amp;EOMONTH(AJ$1,0),'UX + Dev'!$AB100:$DN100,"&lt;&gt;"))</f>
      </c>
      <c r="AK100">
        <f>IF($B100="",0,COUNTIFS('UX + Dev'!$AB$1:$DN$1,"&gt;="&amp;AK$1,'UX + Dev'!$AB$1:$DN$1,"&lt;="&amp;EOMONTH(AK$1,0),'UX + Dev'!$AB100:$DN100,"&lt;&gt;"))</f>
      </c>
      <c r="AL100">
        <f>IF($B100="",0,COUNTIFS('UX + Dev'!$AB$1:$DN$1,"&gt;="&amp;AL$1,'UX + Dev'!$AB$1:$DN$1,"&lt;="&amp;EOMONTH(AL$1,0),'UX + Dev'!$AB100:$DN100,"&lt;&gt;"))</f>
      </c>
      <c r="AM100">
        <f>IF($B100="",0,COUNTIFS('UX + Dev'!$AB$1:$DN$1,"&gt;="&amp;AM$1,'UX + Dev'!$AB$1:$DN$1,"&lt;="&amp;EOMONTH(AM$1,0),'UX + Dev'!$AB100:$DN100,"&lt;&gt;"))</f>
      </c>
      <c r="AN100">
        <f>IF($B100="",0,COUNTIFS('UX + Dev'!$AB$1:$DN$1,"&gt;="&amp;AN$1,'UX + Dev'!$AB$1:$DN$1,"&lt;="&amp;EOMONTH(AN$1,0),'UX + Dev'!$AB100:$DN100,"&lt;&gt;"))</f>
      </c>
      <c r="AO100">
        <f>IF($B100="",0,COUNTIFS('UX + Dev'!$AB$1:$DN$1,"&gt;="&amp;AO$1,'UX + Dev'!$AB$1:$DN$1,"&lt;="&amp;EOMONTH(AO$1,0),'UX + Dev'!$AB100:$DN100,"&lt;&gt;"))</f>
      </c>
      <c r="AP100">
        <f>IF($B100="",0,COUNTIFS('UX + Dev'!$AB$1:$DN$1,"&gt;="&amp;AP$1,'UX + Dev'!$AB$1:$DN$1,"&lt;="&amp;EOMONTH(AP$1,0),'UX + Dev'!$AB100:$DN100,"&lt;&gt;"))</f>
      </c>
      <c r="AQ100">
        <f>IF($B100="",0,COUNTIFS('UX + Dev'!$AB$1:$DN$1,"&gt;="&amp;AQ$1,'UX + Dev'!$AB$1:$DN$1,"&lt;="&amp;EOMONTH(AQ$1,0),'UX + Dev'!$AB100:$DN100,"&lt;&gt;"))</f>
      </c>
      <c r="AR100">
        <f>IF($B100="",0,COUNTIFS('UX + Dev'!$AB$1:$DN$1,"&gt;="&amp;AR$1,'UX + Dev'!$AB$1:$DN$1,"&lt;="&amp;EOMONTH(AR$1,0),'UX + Dev'!$AB100:$DN100,"&lt;&gt;"))</f>
      </c>
      <c r="AS100">
        <f>IF($B100="",0,COUNTIFS('UX + Dev'!$AB$1:$DN$1,"&gt;="&amp;AS$1,'UX + Dev'!$AB$1:$DN$1,"&lt;="&amp;EOMONTH(AS$1,0),'UX + Dev'!$AB100:$DN100,"&lt;&gt;"))</f>
      </c>
      <c r="AT100">
        <f>IF($B100="",0,COUNTIFS('UX + Dev'!$AB$1:$DN$1,"&gt;="&amp;AT$1,'UX + Dev'!$AB$1:$DN$1,"&lt;="&amp;EOMONTH(AT$1,0),'UX + Dev'!$AB100:$DN100,"&lt;&gt;"))</f>
      </c>
      <c r="AU100">
        <f>IF($B100="",0,COUNTIFS('UX + Dev'!$AB$1:$DN$1,"&gt;="&amp;AU$1,'UX + Dev'!$AB$1:$DN$1,"&lt;="&amp;EOMONTH(AU$1,0),'UX + Dev'!$AB100:$DN100,"&lt;&gt;"))</f>
      </c>
      <c r="AV100">
        <f>IF($B100="",0,COUNTIFS('UX + Dev'!$AB$1:$DN$1,"&gt;="&amp;AV$1,'UX + Dev'!$AB$1:$DN$1,"&lt;="&amp;EOMONTH(AV$1,0),'UX + Dev'!$AB100:$DN100,"&lt;&gt;"))</f>
      </c>
      <c r="AW100">
        <f>IF($B100="",0,COUNTIFS('UX + Dev'!$AB$1:$DN$1,"&gt;="&amp;AW$1,'UX + Dev'!$AB$1:$DN$1,"&lt;="&amp;EOMONTH(AW$1,0),'UX + Dev'!$AB100:$DN100,"&lt;&gt;"))</f>
      </c>
      <c r="AX100">
        <f>IF($B100="",0,COUNTIFS('UX + Dev'!$AB$1:$DN$1,"&gt;="&amp;AX$1,'UX + Dev'!$AB$1:$DN$1,"&lt;="&amp;EOMONTH(AX$1,0),'UX + Dev'!$AB100:$DN100,"&lt;&gt;"))</f>
      </c>
      <c r="BB100" s="308">
        <f>IF($B100="","",IF(COUNTA('UX + Dev'!U100)&gt;0,DATE(YEAR('UX + Dev'!U100),MONTH('UX + Dev'!U100),1),IF(COUNTA('UX + Dev'!V100)&gt;0,DATE(YEAR('UX + Dev'!V100),MONTH('UX + Dev'!V100),1),"")))</f>
      </c>
      <c r="BC100" s="308">
        <f>IF($B100="","",IF(COUNTA('UX + Dev'!V100)&gt;0,EOMONTH('UX + Dev'!V100,0),IF(COUNTA('UX + Dev'!U100)&gt;0,EOMONTH('UX + Dev'!U100,0),"")))</f>
      </c>
    </row>
    <row r="101">
      <c r="A101" s="305" t="n">
        <v>101</v>
      </c>
      <c r="B101" s="305">
        <f>IF(TRIM('UX + Dev'!E101)="","",TRIM('UX + Dev'!E101))</f>
      </c>
      <c r="C101" s="305">
        <f>IF($B101="","",'UX + Dev'!B101)</f>
      </c>
      <c r="D101" s="305">
        <f>IF($B101="","",IF(TRIM('UX + Dev'!C101)="","(No theme assigned)",TRIM('UX + Dev'!C101)))</f>
      </c>
      <c r="E101" s="305">
        <f>IF($B101="","",TRIM('UX + Dev'!F101))</f>
      </c>
      <c r="F101" s="305">
        <f>IF($B101="","",'UX + Dev'!G101)</f>
      </c>
      <c r="G101" s="306">
        <f t="array" ref="G101">IF($B101="","",IF($T101=0,"",IFERROR(MIN(IF('UX + Dev'!$AB101:$DN101&lt;&gt;"",'UX + Dev'!$AB$1:$DN$1)),"")))</f>
      </c>
      <c r="H101" s="306">
        <f t="array" ref="H101">IF($B101="","",IF($T101=0,"",IFERROR(MAX(IF('UX + Dev'!$AB101:$DN101&lt;&gt;"",'UX + Dev'!$AB$1:$DN$1)),"")))</f>
      </c>
      <c r="I101" s="307">
        <f>IF($R101&lt;&gt;"",$R101,IF($S101&lt;&gt;"",$S101,""))</f>
      </c>
      <c r="J101" s="307">
        <f>IF($S101&lt;&gt;"",EOMONTH($S101,0),IF($R101&lt;&gt;"",EOMONTH($R101,0),""))</f>
      </c>
      <c r="K101" s="305">
        <f>IF($B101="","",IF(COUNTA('UX + Dev'!AA101)=0,"",TRIM('UX + Dev'!AA101)))</f>
      </c>
      <c r="L101" s="305">
        <f>IF($B101="","",IFERROR(MATCH($D101,Control!$E$4:$E$30,0),99))</f>
      </c>
      <c r="M101" s="305">
        <f>IF($B101="","",IFERROR(MATCH($F101,Control!$B$4:$B$30,0),99))</f>
      </c>
      <c r="N101" s="305">
        <f>IF($V101&lt;&gt;1,"",IF('Roadmap (Auto)'!$D$3="Status, then Theme",$M101*1000000+$L101*10000+ROW(),IF('Roadmap (Auto)'!$D$3="Dev start (earliest)",IF($I101="",99999999,$I101)*10000+ROW(),IF('Roadmap (Auto)'!$D$3="UX start (earliest)",IF($G101="",99999999,$G101)*10000+ROW(),IF('Roadmap (Auto)'!$D$3="Deliverable A-Z",$W101*10000+ROW(),$L101*1000000+$M101*10000+ROW())))))</f>
      </c>
      <c r="O101" s="305">
        <f>IF($N101="","",COUNTIF($N$2:$N$151,"&lt;"&amp;$N101)+1)</f>
      </c>
      <c r="P101" s="305">
        <f>IF($B101="","",IF(COUNTA('UX + Dev'!X101)=0,"",'UX + Dev'!X101))</f>
      </c>
      <c r="Q101" s="305">
        <f>IF($B101="","",IF(COUNTA('UX + Dev'!Y101)=0,"",'UX + Dev'!Y101))</f>
      </c>
      <c r="R101" s="307">
        <f>IF($P101="","",IF(ISNUMBER($P101),DATE(YEAR($P101),MONTH($P101),1),IFERROR(DATE(IFERROR(VALUE(RIGHT(TRIM($P101),4)),YEAR(TODAY())),(SEARCH(LEFT(TRIM($P101),3),"JanFebMarAprMayJunJulAugSepOctNovDec")+2)/3,1),"")))</f>
      </c>
      <c r="S101" s="307">
        <f>IF($Q101="","",IF(ISNUMBER($Q101),DATE(YEAR($Q101),MONTH($Q101),1),IFERROR(DATE(IFERROR(VALUE(RIGHT(TRIM($Q101),4)),YEAR(TODAY())),(SEARCH(LEFT(TRIM($Q101),3),"JanFebMarAprMayJunJulAugSepOctNovDec")+2)/3,1),"")))</f>
      </c>
      <c r="T101" s="305">
        <f>IF($B101="","",COUNTA('UX + Dev'!$AB101:$DN101))</f>
      </c>
      <c r="U101" s="305">
        <f>IF($B101="","",IFERROR(MATCH($D101,Control!$E$4:$E$30,0)+3,0))</f>
      </c>
      <c r="V101" s="305">
        <f>IF($B101="","",IF(AND(OR('Roadmap (Auto)'!$A$3="",'Roadmap (Auto)'!$A$3="(All)",ISNUMBER(SEARCH('Roadmap (Auto)'!$A$3,$C101&amp;""))),OR('Roadmap (Auto)'!$B$3="",'Roadmap (Auto)'!$B$3="(All)",$D101='Roadmap (Auto)'!$B$3,$X101='Roadmap (Auto)'!$B$3),OR('Roadmap (Auto)'!$C$3="",'Roadmap (Auto)'!$C$3="(All)",$F101='Roadmap (Auto)'!$C$3)),1,0))</f>
      </c>
      <c r="W101" s="305">
        <f>IF($B101="","",COUNTIF($Y$2:$Y$151,"&lt;"&amp;$Y101)+1)</f>
      </c>
      <c r="X101" s="305">
        <f>IF($B101="","",IF(TRIM('UX + Dev'!D101)="","",TRIM('UX + Dev'!D101)))</f>
      </c>
      <c r="Y101" s="305">
        <f>IF($B101="","",SUBSTITUTE(SUBSTITUTE(SUBSTITUTE(SUBSTITUTE(SUBSTITUTE(SUBSTITUTE(SUBSTITUTE(SUBSTITUTE(SUBSTITUTE(SUBSTITUTE(SUBSTITUTE(SUBSTITUTE(SUBSTITUTE(SUBSTITUTE(SUBSTITUTE(SUBSTITUTE(SUBSTITUTE(SUBSTITUTE(SUBSTITUTE(SUBSTITUTE(SUBSTITUTE(SUBSTITUTE(SUBSTITUTE(SUBSTITUTE(SUBSTITUTE(UPPER($B101)," ",""),"-",""),":",""),"/",""),"&amp;",""),"|",""),"'",""),"’",""),"&lt;",""),"&gt;",""),",",""),"$",""),".",""),"(",""),")",""),"*",""),"?",""),"~",""),"_",""),"+",""),"#",""),";",""),"!",""),"%",""),"@",""))</f>
      </c>
      <c r="AA101">
        <f>IF($B101="",0,COUNTIFS('UX + Dev'!$AB$1:$DN$1,"&gt;="&amp;AA$1,'UX + Dev'!$AB$1:$DN$1,"&lt;="&amp;EOMONTH(AA$1,0),'UX + Dev'!$AB101:$DN101,"&lt;&gt;"))</f>
      </c>
      <c r="AB101">
        <f>IF($B101="",0,COUNTIFS('UX + Dev'!$AB$1:$DN$1,"&gt;="&amp;AB$1,'UX + Dev'!$AB$1:$DN$1,"&lt;="&amp;EOMONTH(AB$1,0),'UX + Dev'!$AB101:$DN101,"&lt;&gt;"))</f>
      </c>
      <c r="AC101">
        <f>IF($B101="",0,COUNTIFS('UX + Dev'!$AB$1:$DN$1,"&gt;="&amp;AC$1,'UX + Dev'!$AB$1:$DN$1,"&lt;="&amp;EOMONTH(AC$1,0),'UX + Dev'!$AB101:$DN101,"&lt;&gt;"))</f>
      </c>
      <c r="AD101">
        <f>IF($B101="",0,COUNTIFS('UX + Dev'!$AB$1:$DN$1,"&gt;="&amp;AD$1,'UX + Dev'!$AB$1:$DN$1,"&lt;="&amp;EOMONTH(AD$1,0),'UX + Dev'!$AB101:$DN101,"&lt;&gt;"))</f>
      </c>
      <c r="AE101">
        <f>IF($B101="",0,COUNTIFS('UX + Dev'!$AB$1:$DN$1,"&gt;="&amp;AE$1,'UX + Dev'!$AB$1:$DN$1,"&lt;="&amp;EOMONTH(AE$1,0),'UX + Dev'!$AB101:$DN101,"&lt;&gt;"))</f>
      </c>
      <c r="AF101">
        <f>IF($B101="",0,COUNTIFS('UX + Dev'!$AB$1:$DN$1,"&gt;="&amp;AF$1,'UX + Dev'!$AB$1:$DN$1,"&lt;="&amp;EOMONTH(AF$1,0),'UX + Dev'!$AB101:$DN101,"&lt;&gt;"))</f>
      </c>
      <c r="AG101">
        <f>IF($B101="",0,COUNTIFS('UX + Dev'!$AB$1:$DN$1,"&gt;="&amp;AG$1,'UX + Dev'!$AB$1:$DN$1,"&lt;="&amp;EOMONTH(AG$1,0),'UX + Dev'!$AB101:$DN101,"&lt;&gt;"))</f>
      </c>
      <c r="AH101">
        <f>IF($B101="",0,COUNTIFS('UX + Dev'!$AB$1:$DN$1,"&gt;="&amp;AH$1,'UX + Dev'!$AB$1:$DN$1,"&lt;="&amp;EOMONTH(AH$1,0),'UX + Dev'!$AB101:$DN101,"&lt;&gt;"))</f>
      </c>
      <c r="AI101">
        <f>IF($B101="",0,COUNTIFS('UX + Dev'!$AB$1:$DN$1,"&gt;="&amp;AI$1,'UX + Dev'!$AB$1:$DN$1,"&lt;="&amp;EOMONTH(AI$1,0),'UX + Dev'!$AB101:$DN101,"&lt;&gt;"))</f>
      </c>
      <c r="AJ101">
        <f>IF($B101="",0,COUNTIFS('UX + Dev'!$AB$1:$DN$1,"&gt;="&amp;AJ$1,'UX + Dev'!$AB$1:$DN$1,"&lt;="&amp;EOMONTH(AJ$1,0),'UX + Dev'!$AB101:$DN101,"&lt;&gt;"))</f>
      </c>
      <c r="AK101">
        <f>IF($B101="",0,COUNTIFS('UX + Dev'!$AB$1:$DN$1,"&gt;="&amp;AK$1,'UX + Dev'!$AB$1:$DN$1,"&lt;="&amp;EOMONTH(AK$1,0),'UX + Dev'!$AB101:$DN101,"&lt;&gt;"))</f>
      </c>
      <c r="AL101">
        <f>IF($B101="",0,COUNTIFS('UX + Dev'!$AB$1:$DN$1,"&gt;="&amp;AL$1,'UX + Dev'!$AB$1:$DN$1,"&lt;="&amp;EOMONTH(AL$1,0),'UX + Dev'!$AB101:$DN101,"&lt;&gt;"))</f>
      </c>
      <c r="AM101">
        <f>IF($B101="",0,COUNTIFS('UX + Dev'!$AB$1:$DN$1,"&gt;="&amp;AM$1,'UX + Dev'!$AB$1:$DN$1,"&lt;="&amp;EOMONTH(AM$1,0),'UX + Dev'!$AB101:$DN101,"&lt;&gt;"))</f>
      </c>
      <c r="AN101">
        <f>IF($B101="",0,COUNTIFS('UX + Dev'!$AB$1:$DN$1,"&gt;="&amp;AN$1,'UX + Dev'!$AB$1:$DN$1,"&lt;="&amp;EOMONTH(AN$1,0),'UX + Dev'!$AB101:$DN101,"&lt;&gt;"))</f>
      </c>
      <c r="AO101">
        <f>IF($B101="",0,COUNTIFS('UX + Dev'!$AB$1:$DN$1,"&gt;="&amp;AO$1,'UX + Dev'!$AB$1:$DN$1,"&lt;="&amp;EOMONTH(AO$1,0),'UX + Dev'!$AB101:$DN101,"&lt;&gt;"))</f>
      </c>
      <c r="AP101">
        <f>IF($B101="",0,COUNTIFS('UX + Dev'!$AB$1:$DN$1,"&gt;="&amp;AP$1,'UX + Dev'!$AB$1:$DN$1,"&lt;="&amp;EOMONTH(AP$1,0),'UX + Dev'!$AB101:$DN101,"&lt;&gt;"))</f>
      </c>
      <c r="AQ101">
        <f>IF($B101="",0,COUNTIFS('UX + Dev'!$AB$1:$DN$1,"&gt;="&amp;AQ$1,'UX + Dev'!$AB$1:$DN$1,"&lt;="&amp;EOMONTH(AQ$1,0),'UX + Dev'!$AB101:$DN101,"&lt;&gt;"))</f>
      </c>
      <c r="AR101">
        <f>IF($B101="",0,COUNTIFS('UX + Dev'!$AB$1:$DN$1,"&gt;="&amp;AR$1,'UX + Dev'!$AB$1:$DN$1,"&lt;="&amp;EOMONTH(AR$1,0),'UX + Dev'!$AB101:$DN101,"&lt;&gt;"))</f>
      </c>
      <c r="AS101">
        <f>IF($B101="",0,COUNTIFS('UX + Dev'!$AB$1:$DN$1,"&gt;="&amp;AS$1,'UX + Dev'!$AB$1:$DN$1,"&lt;="&amp;EOMONTH(AS$1,0),'UX + Dev'!$AB101:$DN101,"&lt;&gt;"))</f>
      </c>
      <c r="AT101">
        <f>IF($B101="",0,COUNTIFS('UX + Dev'!$AB$1:$DN$1,"&gt;="&amp;AT$1,'UX + Dev'!$AB$1:$DN$1,"&lt;="&amp;EOMONTH(AT$1,0),'UX + Dev'!$AB101:$DN101,"&lt;&gt;"))</f>
      </c>
      <c r="AU101">
        <f>IF($B101="",0,COUNTIFS('UX + Dev'!$AB$1:$DN$1,"&gt;="&amp;AU$1,'UX + Dev'!$AB$1:$DN$1,"&lt;="&amp;EOMONTH(AU$1,0),'UX + Dev'!$AB101:$DN101,"&lt;&gt;"))</f>
      </c>
      <c r="AV101">
        <f>IF($B101="",0,COUNTIFS('UX + Dev'!$AB$1:$DN$1,"&gt;="&amp;AV$1,'UX + Dev'!$AB$1:$DN$1,"&lt;="&amp;EOMONTH(AV$1,0),'UX + Dev'!$AB101:$DN101,"&lt;&gt;"))</f>
      </c>
      <c r="AW101">
        <f>IF($B101="",0,COUNTIFS('UX + Dev'!$AB$1:$DN$1,"&gt;="&amp;AW$1,'UX + Dev'!$AB$1:$DN$1,"&lt;="&amp;EOMONTH(AW$1,0),'UX + Dev'!$AB101:$DN101,"&lt;&gt;"))</f>
      </c>
      <c r="AX101">
        <f>IF($B101="",0,COUNTIFS('UX + Dev'!$AB$1:$DN$1,"&gt;="&amp;AX$1,'UX + Dev'!$AB$1:$DN$1,"&lt;="&amp;EOMONTH(AX$1,0),'UX + Dev'!$AB101:$DN101,"&lt;&gt;"))</f>
      </c>
      <c r="BB101" s="308">
        <f>IF($B101="","",IF(COUNTA('UX + Dev'!U101)&gt;0,DATE(YEAR('UX + Dev'!U101),MONTH('UX + Dev'!U101),1),IF(COUNTA('UX + Dev'!V101)&gt;0,DATE(YEAR('UX + Dev'!V101),MONTH('UX + Dev'!V101),1),"")))</f>
      </c>
      <c r="BC101" s="308">
        <f>IF($B101="","",IF(COUNTA('UX + Dev'!V101)&gt;0,EOMONTH('UX + Dev'!V101,0),IF(COUNTA('UX + Dev'!U101)&gt;0,EOMONTH('UX + Dev'!U101,0),"")))</f>
      </c>
    </row>
    <row r="102">
      <c r="A102" s="305" t="n">
        <v>102</v>
      </c>
      <c r="B102" s="305">
        <f>IF(TRIM('UX + Dev'!E102)="","",TRIM('UX + Dev'!E102))</f>
      </c>
      <c r="C102" s="305">
        <f>IF($B102="","",'UX + Dev'!B102)</f>
      </c>
      <c r="D102" s="305">
        <f>IF($B102="","",IF(TRIM('UX + Dev'!C102)="","(No theme assigned)",TRIM('UX + Dev'!C102)))</f>
      </c>
      <c r="E102" s="305">
        <f>IF($B102="","",TRIM('UX + Dev'!F102))</f>
      </c>
      <c r="F102" s="305">
        <f>IF($B102="","",'UX + Dev'!G102)</f>
      </c>
      <c r="G102" s="306">
        <f t="array" ref="G102">IF($B102="","",IF($T102=0,"",IFERROR(MIN(IF('UX + Dev'!$AB102:$DN102&lt;&gt;"",'UX + Dev'!$AB$1:$DN$1)),"")))</f>
      </c>
      <c r="H102" s="306">
        <f t="array" ref="H102">IF($B102="","",IF($T102=0,"",IFERROR(MAX(IF('UX + Dev'!$AB102:$DN102&lt;&gt;"",'UX + Dev'!$AB$1:$DN$1)),"")))</f>
      </c>
      <c r="I102" s="307">
        <f>IF($R102&lt;&gt;"",$R102,IF($S102&lt;&gt;"",$S102,""))</f>
      </c>
      <c r="J102" s="307">
        <f>IF($S102&lt;&gt;"",EOMONTH($S102,0),IF($R102&lt;&gt;"",EOMONTH($R102,0),""))</f>
      </c>
      <c r="K102" s="305">
        <f>IF($B102="","",IF(COUNTA('UX + Dev'!AA102)=0,"",TRIM('UX + Dev'!AA102)))</f>
      </c>
      <c r="L102" s="305">
        <f>IF($B102="","",IFERROR(MATCH($D102,Control!$E$4:$E$30,0),99))</f>
      </c>
      <c r="M102" s="305">
        <f>IF($B102="","",IFERROR(MATCH($F102,Control!$B$4:$B$30,0),99))</f>
      </c>
      <c r="N102" s="305">
        <f>IF($V102&lt;&gt;1,"",IF('Roadmap (Auto)'!$D$3="Status, then Theme",$M102*1000000+$L102*10000+ROW(),IF('Roadmap (Auto)'!$D$3="Dev start (earliest)",IF($I102="",99999999,$I102)*10000+ROW(),IF('Roadmap (Auto)'!$D$3="UX start (earliest)",IF($G102="",99999999,$G102)*10000+ROW(),IF('Roadmap (Auto)'!$D$3="Deliverable A-Z",$W102*10000+ROW(),$L102*1000000+$M102*10000+ROW())))))</f>
      </c>
      <c r="O102" s="305">
        <f>IF($N102="","",COUNTIF($N$2:$N$151,"&lt;"&amp;$N102)+1)</f>
      </c>
      <c r="P102" s="305">
        <f>IF($B102="","",IF(COUNTA('UX + Dev'!X102)=0,"",'UX + Dev'!X102))</f>
      </c>
      <c r="Q102" s="305">
        <f>IF($B102="","",IF(COUNTA('UX + Dev'!Y102)=0,"",'UX + Dev'!Y102))</f>
      </c>
      <c r="R102" s="307">
        <f>IF($P102="","",IF(ISNUMBER($P102),DATE(YEAR($P102),MONTH($P102),1),IFERROR(DATE(IFERROR(VALUE(RIGHT(TRIM($P102),4)),YEAR(TODAY())),(SEARCH(LEFT(TRIM($P102),3),"JanFebMarAprMayJunJulAugSepOctNovDec")+2)/3,1),"")))</f>
      </c>
      <c r="S102" s="307">
        <f>IF($Q102="","",IF(ISNUMBER($Q102),DATE(YEAR($Q102),MONTH($Q102),1),IFERROR(DATE(IFERROR(VALUE(RIGHT(TRIM($Q102),4)),YEAR(TODAY())),(SEARCH(LEFT(TRIM($Q102),3),"JanFebMarAprMayJunJulAugSepOctNovDec")+2)/3,1),"")))</f>
      </c>
      <c r="T102" s="305">
        <f>IF($B102="","",COUNTA('UX + Dev'!$AB102:$DN102))</f>
      </c>
      <c r="U102" s="305">
        <f>IF($B102="","",IFERROR(MATCH($D102,Control!$E$4:$E$30,0)+3,0))</f>
      </c>
      <c r="V102" s="305">
        <f>IF($B102="","",IF(AND(OR('Roadmap (Auto)'!$A$3="",'Roadmap (Auto)'!$A$3="(All)",ISNUMBER(SEARCH('Roadmap (Auto)'!$A$3,$C102&amp;""))),OR('Roadmap (Auto)'!$B$3="",'Roadmap (Auto)'!$B$3="(All)",$D102='Roadmap (Auto)'!$B$3,$X102='Roadmap (Auto)'!$B$3),OR('Roadmap (Auto)'!$C$3="",'Roadmap (Auto)'!$C$3="(All)",$F102='Roadmap (Auto)'!$C$3)),1,0))</f>
      </c>
      <c r="W102" s="305">
        <f>IF($B102="","",COUNTIF($Y$2:$Y$151,"&lt;"&amp;$Y102)+1)</f>
      </c>
      <c r="X102" s="305">
        <f>IF($B102="","",IF(TRIM('UX + Dev'!D102)="","",TRIM('UX + Dev'!D102)))</f>
      </c>
      <c r="Y102" s="305">
        <f>IF($B102="","",SUBSTITUTE(SUBSTITUTE(SUBSTITUTE(SUBSTITUTE(SUBSTITUTE(SUBSTITUTE(SUBSTITUTE(SUBSTITUTE(SUBSTITUTE(SUBSTITUTE(SUBSTITUTE(SUBSTITUTE(SUBSTITUTE(SUBSTITUTE(SUBSTITUTE(SUBSTITUTE(SUBSTITUTE(SUBSTITUTE(SUBSTITUTE(SUBSTITUTE(SUBSTITUTE(SUBSTITUTE(SUBSTITUTE(SUBSTITUTE(SUBSTITUTE(UPPER($B102)," ",""),"-",""),":",""),"/",""),"&amp;",""),"|",""),"'",""),"’",""),"&lt;",""),"&gt;",""),",",""),"$",""),".",""),"(",""),")",""),"*",""),"?",""),"~",""),"_",""),"+",""),"#",""),";",""),"!",""),"%",""),"@",""))</f>
      </c>
      <c r="AA102">
        <f>IF($B102="",0,COUNTIFS('UX + Dev'!$AB$1:$DN$1,"&gt;="&amp;AA$1,'UX + Dev'!$AB$1:$DN$1,"&lt;="&amp;EOMONTH(AA$1,0),'UX + Dev'!$AB102:$DN102,"&lt;&gt;"))</f>
      </c>
      <c r="AB102">
        <f>IF($B102="",0,COUNTIFS('UX + Dev'!$AB$1:$DN$1,"&gt;="&amp;AB$1,'UX + Dev'!$AB$1:$DN$1,"&lt;="&amp;EOMONTH(AB$1,0),'UX + Dev'!$AB102:$DN102,"&lt;&gt;"))</f>
      </c>
      <c r="AC102">
        <f>IF($B102="",0,COUNTIFS('UX + Dev'!$AB$1:$DN$1,"&gt;="&amp;AC$1,'UX + Dev'!$AB$1:$DN$1,"&lt;="&amp;EOMONTH(AC$1,0),'UX + Dev'!$AB102:$DN102,"&lt;&gt;"))</f>
      </c>
      <c r="AD102">
        <f>IF($B102="",0,COUNTIFS('UX + Dev'!$AB$1:$DN$1,"&gt;="&amp;AD$1,'UX + Dev'!$AB$1:$DN$1,"&lt;="&amp;EOMONTH(AD$1,0),'UX + Dev'!$AB102:$DN102,"&lt;&gt;"))</f>
      </c>
      <c r="AE102">
        <f>IF($B102="",0,COUNTIFS('UX + Dev'!$AB$1:$DN$1,"&gt;="&amp;AE$1,'UX + Dev'!$AB$1:$DN$1,"&lt;="&amp;EOMONTH(AE$1,0),'UX + Dev'!$AB102:$DN102,"&lt;&gt;"))</f>
      </c>
      <c r="AF102">
        <f>IF($B102="",0,COUNTIFS('UX + Dev'!$AB$1:$DN$1,"&gt;="&amp;AF$1,'UX + Dev'!$AB$1:$DN$1,"&lt;="&amp;EOMONTH(AF$1,0),'UX + Dev'!$AB102:$DN102,"&lt;&gt;"))</f>
      </c>
      <c r="AG102">
        <f>IF($B102="",0,COUNTIFS('UX + Dev'!$AB$1:$DN$1,"&gt;="&amp;AG$1,'UX + Dev'!$AB$1:$DN$1,"&lt;="&amp;EOMONTH(AG$1,0),'UX + Dev'!$AB102:$DN102,"&lt;&gt;"))</f>
      </c>
      <c r="AH102">
        <f>IF($B102="",0,COUNTIFS('UX + Dev'!$AB$1:$DN$1,"&gt;="&amp;AH$1,'UX + Dev'!$AB$1:$DN$1,"&lt;="&amp;EOMONTH(AH$1,0),'UX + Dev'!$AB102:$DN102,"&lt;&gt;"))</f>
      </c>
      <c r="AI102">
        <f>IF($B102="",0,COUNTIFS('UX + Dev'!$AB$1:$DN$1,"&gt;="&amp;AI$1,'UX + Dev'!$AB$1:$DN$1,"&lt;="&amp;EOMONTH(AI$1,0),'UX + Dev'!$AB102:$DN102,"&lt;&gt;"))</f>
      </c>
      <c r="AJ102">
        <f>IF($B102="",0,COUNTIFS('UX + Dev'!$AB$1:$DN$1,"&gt;="&amp;AJ$1,'UX + Dev'!$AB$1:$DN$1,"&lt;="&amp;EOMONTH(AJ$1,0),'UX + Dev'!$AB102:$DN102,"&lt;&gt;"))</f>
      </c>
      <c r="AK102">
        <f>IF($B102="",0,COUNTIFS('UX + Dev'!$AB$1:$DN$1,"&gt;="&amp;AK$1,'UX + Dev'!$AB$1:$DN$1,"&lt;="&amp;EOMONTH(AK$1,0),'UX + Dev'!$AB102:$DN102,"&lt;&gt;"))</f>
      </c>
      <c r="AL102">
        <f>IF($B102="",0,COUNTIFS('UX + Dev'!$AB$1:$DN$1,"&gt;="&amp;AL$1,'UX + Dev'!$AB$1:$DN$1,"&lt;="&amp;EOMONTH(AL$1,0),'UX + Dev'!$AB102:$DN102,"&lt;&gt;"))</f>
      </c>
      <c r="AM102">
        <f>IF($B102="",0,COUNTIFS('UX + Dev'!$AB$1:$DN$1,"&gt;="&amp;AM$1,'UX + Dev'!$AB$1:$DN$1,"&lt;="&amp;EOMONTH(AM$1,0),'UX + Dev'!$AB102:$DN102,"&lt;&gt;"))</f>
      </c>
      <c r="AN102">
        <f>IF($B102="",0,COUNTIFS('UX + Dev'!$AB$1:$DN$1,"&gt;="&amp;AN$1,'UX + Dev'!$AB$1:$DN$1,"&lt;="&amp;EOMONTH(AN$1,0),'UX + Dev'!$AB102:$DN102,"&lt;&gt;"))</f>
      </c>
      <c r="AO102">
        <f>IF($B102="",0,COUNTIFS('UX + Dev'!$AB$1:$DN$1,"&gt;="&amp;AO$1,'UX + Dev'!$AB$1:$DN$1,"&lt;="&amp;EOMONTH(AO$1,0),'UX + Dev'!$AB102:$DN102,"&lt;&gt;"))</f>
      </c>
      <c r="AP102">
        <f>IF($B102="",0,COUNTIFS('UX + Dev'!$AB$1:$DN$1,"&gt;="&amp;AP$1,'UX + Dev'!$AB$1:$DN$1,"&lt;="&amp;EOMONTH(AP$1,0),'UX + Dev'!$AB102:$DN102,"&lt;&gt;"))</f>
      </c>
      <c r="AQ102">
        <f>IF($B102="",0,COUNTIFS('UX + Dev'!$AB$1:$DN$1,"&gt;="&amp;AQ$1,'UX + Dev'!$AB$1:$DN$1,"&lt;="&amp;EOMONTH(AQ$1,0),'UX + Dev'!$AB102:$DN102,"&lt;&gt;"))</f>
      </c>
      <c r="AR102">
        <f>IF($B102="",0,COUNTIFS('UX + Dev'!$AB$1:$DN$1,"&gt;="&amp;AR$1,'UX + Dev'!$AB$1:$DN$1,"&lt;="&amp;EOMONTH(AR$1,0),'UX + Dev'!$AB102:$DN102,"&lt;&gt;"))</f>
      </c>
      <c r="AS102">
        <f>IF($B102="",0,COUNTIFS('UX + Dev'!$AB$1:$DN$1,"&gt;="&amp;AS$1,'UX + Dev'!$AB$1:$DN$1,"&lt;="&amp;EOMONTH(AS$1,0),'UX + Dev'!$AB102:$DN102,"&lt;&gt;"))</f>
      </c>
      <c r="AT102">
        <f>IF($B102="",0,COUNTIFS('UX + Dev'!$AB$1:$DN$1,"&gt;="&amp;AT$1,'UX + Dev'!$AB$1:$DN$1,"&lt;="&amp;EOMONTH(AT$1,0),'UX + Dev'!$AB102:$DN102,"&lt;&gt;"))</f>
      </c>
      <c r="AU102">
        <f>IF($B102="",0,COUNTIFS('UX + Dev'!$AB$1:$DN$1,"&gt;="&amp;AU$1,'UX + Dev'!$AB$1:$DN$1,"&lt;="&amp;EOMONTH(AU$1,0),'UX + Dev'!$AB102:$DN102,"&lt;&gt;"))</f>
      </c>
      <c r="AV102">
        <f>IF($B102="",0,COUNTIFS('UX + Dev'!$AB$1:$DN$1,"&gt;="&amp;AV$1,'UX + Dev'!$AB$1:$DN$1,"&lt;="&amp;EOMONTH(AV$1,0),'UX + Dev'!$AB102:$DN102,"&lt;&gt;"))</f>
      </c>
      <c r="AW102">
        <f>IF($B102="",0,COUNTIFS('UX + Dev'!$AB$1:$DN$1,"&gt;="&amp;AW$1,'UX + Dev'!$AB$1:$DN$1,"&lt;="&amp;EOMONTH(AW$1,0),'UX + Dev'!$AB102:$DN102,"&lt;&gt;"))</f>
      </c>
      <c r="AX102">
        <f>IF($B102="",0,COUNTIFS('UX + Dev'!$AB$1:$DN$1,"&gt;="&amp;AX$1,'UX + Dev'!$AB$1:$DN$1,"&lt;="&amp;EOMONTH(AX$1,0),'UX + Dev'!$AB102:$DN102,"&lt;&gt;"))</f>
      </c>
      <c r="BB102" s="308">
        <f>IF($B102="","",IF(COUNTA('UX + Dev'!U102)&gt;0,DATE(YEAR('UX + Dev'!U102),MONTH('UX + Dev'!U102),1),IF(COUNTA('UX + Dev'!V102)&gt;0,DATE(YEAR('UX + Dev'!V102),MONTH('UX + Dev'!V102),1),"")))</f>
      </c>
      <c r="BC102" s="308">
        <f>IF($B102="","",IF(COUNTA('UX + Dev'!V102)&gt;0,EOMONTH('UX + Dev'!V102,0),IF(COUNTA('UX + Dev'!U102)&gt;0,EOMONTH('UX + Dev'!U102,0),"")))</f>
      </c>
    </row>
    <row r="103">
      <c r="A103" s="305" t="n">
        <v>103</v>
      </c>
      <c r="B103" s="305">
        <f>IF(TRIM('UX + Dev'!E103)="","",TRIM('UX + Dev'!E103))</f>
      </c>
      <c r="C103" s="305">
        <f>IF($B103="","",'UX + Dev'!B103)</f>
      </c>
      <c r="D103" s="305">
        <f>IF($B103="","",IF(TRIM('UX + Dev'!C103)="","(No theme assigned)",TRIM('UX + Dev'!C103)))</f>
      </c>
      <c r="E103" s="305">
        <f>IF($B103="","",TRIM('UX + Dev'!F103))</f>
      </c>
      <c r="F103" s="305">
        <f>IF($B103="","",'UX + Dev'!G103)</f>
      </c>
      <c r="G103" s="306">
        <f t="array" ref="G103">IF($B103="","",IF($T103=0,"",IFERROR(MIN(IF('UX + Dev'!$AB103:$DN103&lt;&gt;"",'UX + Dev'!$AB$1:$DN$1)),"")))</f>
      </c>
      <c r="H103" s="306">
        <f t="array" ref="H103">IF($B103="","",IF($T103=0,"",IFERROR(MAX(IF('UX + Dev'!$AB103:$DN103&lt;&gt;"",'UX + Dev'!$AB$1:$DN$1)),"")))</f>
      </c>
      <c r="I103" s="307">
        <f>IF($R103&lt;&gt;"",$R103,IF($S103&lt;&gt;"",$S103,""))</f>
      </c>
      <c r="J103" s="307">
        <f>IF($S103&lt;&gt;"",EOMONTH($S103,0),IF($R103&lt;&gt;"",EOMONTH($R103,0),""))</f>
      </c>
      <c r="K103" s="305">
        <f>IF($B103="","",IF(COUNTA('UX + Dev'!AA103)=0,"",TRIM('UX + Dev'!AA103)))</f>
      </c>
      <c r="L103" s="305">
        <f>IF($B103="","",IFERROR(MATCH($D103,Control!$E$4:$E$30,0),99))</f>
      </c>
      <c r="M103" s="305">
        <f>IF($B103="","",IFERROR(MATCH($F103,Control!$B$4:$B$30,0),99))</f>
      </c>
      <c r="N103" s="305">
        <f>IF($V103&lt;&gt;1,"",IF('Roadmap (Auto)'!$D$3="Status, then Theme",$M103*1000000+$L103*10000+ROW(),IF('Roadmap (Auto)'!$D$3="Dev start (earliest)",IF($I103="",99999999,$I103)*10000+ROW(),IF('Roadmap (Auto)'!$D$3="UX start (earliest)",IF($G103="",99999999,$G103)*10000+ROW(),IF('Roadmap (Auto)'!$D$3="Deliverable A-Z",$W103*10000+ROW(),$L103*1000000+$M103*10000+ROW())))))</f>
      </c>
      <c r="O103" s="305">
        <f>IF($N103="","",COUNTIF($N$2:$N$151,"&lt;"&amp;$N103)+1)</f>
      </c>
      <c r="P103" s="305">
        <f>IF($B103="","",IF(COUNTA('UX + Dev'!X103)=0,"",'UX + Dev'!X103))</f>
      </c>
      <c r="Q103" s="305">
        <f>IF($B103="","",IF(COUNTA('UX + Dev'!Y103)=0,"",'UX + Dev'!Y103))</f>
      </c>
      <c r="R103" s="307">
        <f>IF($P103="","",IF(ISNUMBER($P103),DATE(YEAR($P103),MONTH($P103),1),IFERROR(DATE(IFERROR(VALUE(RIGHT(TRIM($P103),4)),YEAR(TODAY())),(SEARCH(LEFT(TRIM($P103),3),"JanFebMarAprMayJunJulAugSepOctNovDec")+2)/3,1),"")))</f>
      </c>
      <c r="S103" s="307">
        <f>IF($Q103="","",IF(ISNUMBER($Q103),DATE(YEAR($Q103),MONTH($Q103),1),IFERROR(DATE(IFERROR(VALUE(RIGHT(TRIM($Q103),4)),YEAR(TODAY())),(SEARCH(LEFT(TRIM($Q103),3),"JanFebMarAprMayJunJulAugSepOctNovDec")+2)/3,1),"")))</f>
      </c>
      <c r="T103" s="305">
        <f>IF($B103="","",COUNTA('UX + Dev'!$AB103:$DN103))</f>
      </c>
      <c r="U103" s="305">
        <f>IF($B103="","",IFERROR(MATCH($D103,Control!$E$4:$E$30,0)+3,0))</f>
      </c>
      <c r="V103" s="305">
        <f>IF($B103="","",IF(AND(OR('Roadmap (Auto)'!$A$3="",'Roadmap (Auto)'!$A$3="(All)",ISNUMBER(SEARCH('Roadmap (Auto)'!$A$3,$C103&amp;""))),OR('Roadmap (Auto)'!$B$3="",'Roadmap (Auto)'!$B$3="(All)",$D103='Roadmap (Auto)'!$B$3,$X103='Roadmap (Auto)'!$B$3),OR('Roadmap (Auto)'!$C$3="",'Roadmap (Auto)'!$C$3="(All)",$F103='Roadmap (Auto)'!$C$3)),1,0))</f>
      </c>
      <c r="W103" s="305">
        <f>IF($B103="","",COUNTIF($Y$2:$Y$151,"&lt;"&amp;$Y103)+1)</f>
      </c>
      <c r="X103" s="305">
        <f>IF($B103="","",IF(TRIM('UX + Dev'!D103)="","",TRIM('UX + Dev'!D103)))</f>
      </c>
      <c r="Y103" s="305">
        <f>IF($B103="","",SUBSTITUTE(SUBSTITUTE(SUBSTITUTE(SUBSTITUTE(SUBSTITUTE(SUBSTITUTE(SUBSTITUTE(SUBSTITUTE(SUBSTITUTE(SUBSTITUTE(SUBSTITUTE(SUBSTITUTE(SUBSTITUTE(SUBSTITUTE(SUBSTITUTE(SUBSTITUTE(SUBSTITUTE(SUBSTITUTE(SUBSTITUTE(SUBSTITUTE(SUBSTITUTE(SUBSTITUTE(SUBSTITUTE(SUBSTITUTE(SUBSTITUTE(UPPER($B103)," ",""),"-",""),":",""),"/",""),"&amp;",""),"|",""),"'",""),"’",""),"&lt;",""),"&gt;",""),",",""),"$",""),".",""),"(",""),")",""),"*",""),"?",""),"~",""),"_",""),"+",""),"#",""),";",""),"!",""),"%",""),"@",""))</f>
      </c>
      <c r="AA103">
        <f>IF($B103="",0,COUNTIFS('UX + Dev'!$AB$1:$DN$1,"&gt;="&amp;AA$1,'UX + Dev'!$AB$1:$DN$1,"&lt;="&amp;EOMONTH(AA$1,0),'UX + Dev'!$AB103:$DN103,"&lt;&gt;"))</f>
      </c>
      <c r="AB103">
        <f>IF($B103="",0,COUNTIFS('UX + Dev'!$AB$1:$DN$1,"&gt;="&amp;AB$1,'UX + Dev'!$AB$1:$DN$1,"&lt;="&amp;EOMONTH(AB$1,0),'UX + Dev'!$AB103:$DN103,"&lt;&gt;"))</f>
      </c>
      <c r="AC103">
        <f>IF($B103="",0,COUNTIFS('UX + Dev'!$AB$1:$DN$1,"&gt;="&amp;AC$1,'UX + Dev'!$AB$1:$DN$1,"&lt;="&amp;EOMONTH(AC$1,0),'UX + Dev'!$AB103:$DN103,"&lt;&gt;"))</f>
      </c>
      <c r="AD103">
        <f>IF($B103="",0,COUNTIFS('UX + Dev'!$AB$1:$DN$1,"&gt;="&amp;AD$1,'UX + Dev'!$AB$1:$DN$1,"&lt;="&amp;EOMONTH(AD$1,0),'UX + Dev'!$AB103:$DN103,"&lt;&gt;"))</f>
      </c>
      <c r="AE103">
        <f>IF($B103="",0,COUNTIFS('UX + Dev'!$AB$1:$DN$1,"&gt;="&amp;AE$1,'UX + Dev'!$AB$1:$DN$1,"&lt;="&amp;EOMONTH(AE$1,0),'UX + Dev'!$AB103:$DN103,"&lt;&gt;"))</f>
      </c>
      <c r="AF103">
        <f>IF($B103="",0,COUNTIFS('UX + Dev'!$AB$1:$DN$1,"&gt;="&amp;AF$1,'UX + Dev'!$AB$1:$DN$1,"&lt;="&amp;EOMONTH(AF$1,0),'UX + Dev'!$AB103:$DN103,"&lt;&gt;"))</f>
      </c>
      <c r="AG103">
        <f>IF($B103="",0,COUNTIFS('UX + Dev'!$AB$1:$DN$1,"&gt;="&amp;AG$1,'UX + Dev'!$AB$1:$DN$1,"&lt;="&amp;EOMONTH(AG$1,0),'UX + Dev'!$AB103:$DN103,"&lt;&gt;"))</f>
      </c>
      <c r="AH103">
        <f>IF($B103="",0,COUNTIFS('UX + Dev'!$AB$1:$DN$1,"&gt;="&amp;AH$1,'UX + Dev'!$AB$1:$DN$1,"&lt;="&amp;EOMONTH(AH$1,0),'UX + Dev'!$AB103:$DN103,"&lt;&gt;"))</f>
      </c>
      <c r="AI103">
        <f>IF($B103="",0,COUNTIFS('UX + Dev'!$AB$1:$DN$1,"&gt;="&amp;AI$1,'UX + Dev'!$AB$1:$DN$1,"&lt;="&amp;EOMONTH(AI$1,0),'UX + Dev'!$AB103:$DN103,"&lt;&gt;"))</f>
      </c>
      <c r="AJ103">
        <f>IF($B103="",0,COUNTIFS('UX + Dev'!$AB$1:$DN$1,"&gt;="&amp;AJ$1,'UX + Dev'!$AB$1:$DN$1,"&lt;="&amp;EOMONTH(AJ$1,0),'UX + Dev'!$AB103:$DN103,"&lt;&gt;"))</f>
      </c>
      <c r="AK103">
        <f>IF($B103="",0,COUNTIFS('UX + Dev'!$AB$1:$DN$1,"&gt;="&amp;AK$1,'UX + Dev'!$AB$1:$DN$1,"&lt;="&amp;EOMONTH(AK$1,0),'UX + Dev'!$AB103:$DN103,"&lt;&gt;"))</f>
      </c>
      <c r="AL103">
        <f>IF($B103="",0,COUNTIFS('UX + Dev'!$AB$1:$DN$1,"&gt;="&amp;AL$1,'UX + Dev'!$AB$1:$DN$1,"&lt;="&amp;EOMONTH(AL$1,0),'UX + Dev'!$AB103:$DN103,"&lt;&gt;"))</f>
      </c>
      <c r="AM103">
        <f>IF($B103="",0,COUNTIFS('UX + Dev'!$AB$1:$DN$1,"&gt;="&amp;AM$1,'UX + Dev'!$AB$1:$DN$1,"&lt;="&amp;EOMONTH(AM$1,0),'UX + Dev'!$AB103:$DN103,"&lt;&gt;"))</f>
      </c>
      <c r="AN103">
        <f>IF($B103="",0,COUNTIFS('UX + Dev'!$AB$1:$DN$1,"&gt;="&amp;AN$1,'UX + Dev'!$AB$1:$DN$1,"&lt;="&amp;EOMONTH(AN$1,0),'UX + Dev'!$AB103:$DN103,"&lt;&gt;"))</f>
      </c>
      <c r="AO103">
        <f>IF($B103="",0,COUNTIFS('UX + Dev'!$AB$1:$DN$1,"&gt;="&amp;AO$1,'UX + Dev'!$AB$1:$DN$1,"&lt;="&amp;EOMONTH(AO$1,0),'UX + Dev'!$AB103:$DN103,"&lt;&gt;"))</f>
      </c>
      <c r="AP103">
        <f>IF($B103="",0,COUNTIFS('UX + Dev'!$AB$1:$DN$1,"&gt;="&amp;AP$1,'UX + Dev'!$AB$1:$DN$1,"&lt;="&amp;EOMONTH(AP$1,0),'UX + Dev'!$AB103:$DN103,"&lt;&gt;"))</f>
      </c>
      <c r="AQ103">
        <f>IF($B103="",0,COUNTIFS('UX + Dev'!$AB$1:$DN$1,"&gt;="&amp;AQ$1,'UX + Dev'!$AB$1:$DN$1,"&lt;="&amp;EOMONTH(AQ$1,0),'UX + Dev'!$AB103:$DN103,"&lt;&gt;"))</f>
      </c>
      <c r="AR103">
        <f>IF($B103="",0,COUNTIFS('UX + Dev'!$AB$1:$DN$1,"&gt;="&amp;AR$1,'UX + Dev'!$AB$1:$DN$1,"&lt;="&amp;EOMONTH(AR$1,0),'UX + Dev'!$AB103:$DN103,"&lt;&gt;"))</f>
      </c>
      <c r="AS103">
        <f>IF($B103="",0,COUNTIFS('UX + Dev'!$AB$1:$DN$1,"&gt;="&amp;AS$1,'UX + Dev'!$AB$1:$DN$1,"&lt;="&amp;EOMONTH(AS$1,0),'UX + Dev'!$AB103:$DN103,"&lt;&gt;"))</f>
      </c>
      <c r="AT103">
        <f>IF($B103="",0,COUNTIFS('UX + Dev'!$AB$1:$DN$1,"&gt;="&amp;AT$1,'UX + Dev'!$AB$1:$DN$1,"&lt;="&amp;EOMONTH(AT$1,0),'UX + Dev'!$AB103:$DN103,"&lt;&gt;"))</f>
      </c>
      <c r="AU103">
        <f>IF($B103="",0,COUNTIFS('UX + Dev'!$AB$1:$DN$1,"&gt;="&amp;AU$1,'UX + Dev'!$AB$1:$DN$1,"&lt;="&amp;EOMONTH(AU$1,0),'UX + Dev'!$AB103:$DN103,"&lt;&gt;"))</f>
      </c>
      <c r="AV103">
        <f>IF($B103="",0,COUNTIFS('UX + Dev'!$AB$1:$DN$1,"&gt;="&amp;AV$1,'UX + Dev'!$AB$1:$DN$1,"&lt;="&amp;EOMONTH(AV$1,0),'UX + Dev'!$AB103:$DN103,"&lt;&gt;"))</f>
      </c>
      <c r="AW103">
        <f>IF($B103="",0,COUNTIFS('UX + Dev'!$AB$1:$DN$1,"&gt;="&amp;AW$1,'UX + Dev'!$AB$1:$DN$1,"&lt;="&amp;EOMONTH(AW$1,0),'UX + Dev'!$AB103:$DN103,"&lt;&gt;"))</f>
      </c>
      <c r="AX103">
        <f>IF($B103="",0,COUNTIFS('UX + Dev'!$AB$1:$DN$1,"&gt;="&amp;AX$1,'UX + Dev'!$AB$1:$DN$1,"&lt;="&amp;EOMONTH(AX$1,0),'UX + Dev'!$AB103:$DN103,"&lt;&gt;"))</f>
      </c>
      <c r="BB103" s="308">
        <f>IF($B103="","",IF(COUNTA('UX + Dev'!U103)&gt;0,DATE(YEAR('UX + Dev'!U103),MONTH('UX + Dev'!U103),1),IF(COUNTA('UX + Dev'!V103)&gt;0,DATE(YEAR('UX + Dev'!V103),MONTH('UX + Dev'!V103),1),"")))</f>
      </c>
      <c r="BC103" s="308">
        <f>IF($B103="","",IF(COUNTA('UX + Dev'!V103)&gt;0,EOMONTH('UX + Dev'!V103,0),IF(COUNTA('UX + Dev'!U103)&gt;0,EOMONTH('UX + Dev'!U103,0),"")))</f>
      </c>
    </row>
    <row r="104">
      <c r="A104" s="305" t="n">
        <v>104</v>
      </c>
      <c r="B104" s="305">
        <f>IF(TRIM('UX + Dev'!E104)="","",TRIM('UX + Dev'!E104))</f>
      </c>
      <c r="C104" s="305">
        <f>IF($B104="","",'UX + Dev'!B104)</f>
      </c>
      <c r="D104" s="305">
        <f>IF($B104="","",IF(TRIM('UX + Dev'!C104)="","(No theme assigned)",TRIM('UX + Dev'!C104)))</f>
      </c>
      <c r="E104" s="305">
        <f>IF($B104="","",TRIM('UX + Dev'!F104))</f>
      </c>
      <c r="F104" s="305">
        <f>IF($B104="","",'UX + Dev'!G104)</f>
      </c>
      <c r="G104" s="306">
        <f t="array" ref="G104">IF($B104="","",IF($T104=0,"",IFERROR(MIN(IF('UX + Dev'!$AB104:$DN104&lt;&gt;"",'UX + Dev'!$AB$1:$DN$1)),"")))</f>
      </c>
      <c r="H104" s="306">
        <f t="array" ref="H104">IF($B104="","",IF($T104=0,"",IFERROR(MAX(IF('UX + Dev'!$AB104:$DN104&lt;&gt;"",'UX + Dev'!$AB$1:$DN$1)),"")))</f>
      </c>
      <c r="I104" s="307">
        <f>IF($R104&lt;&gt;"",$R104,IF($S104&lt;&gt;"",$S104,""))</f>
      </c>
      <c r="J104" s="307">
        <f>IF($S104&lt;&gt;"",EOMONTH($S104,0),IF($R104&lt;&gt;"",EOMONTH($R104,0),""))</f>
      </c>
      <c r="K104" s="305">
        <f>IF($B104="","",IF(COUNTA('UX + Dev'!AA104)=0,"",TRIM('UX + Dev'!AA104)))</f>
      </c>
      <c r="L104" s="305">
        <f>IF($B104="","",IFERROR(MATCH($D104,Control!$E$4:$E$30,0),99))</f>
      </c>
      <c r="M104" s="305">
        <f>IF($B104="","",IFERROR(MATCH($F104,Control!$B$4:$B$30,0),99))</f>
      </c>
      <c r="N104" s="305">
        <f>IF($V104&lt;&gt;1,"",IF('Roadmap (Auto)'!$D$3="Status, then Theme",$M104*1000000+$L104*10000+ROW(),IF('Roadmap (Auto)'!$D$3="Dev start (earliest)",IF($I104="",99999999,$I104)*10000+ROW(),IF('Roadmap (Auto)'!$D$3="UX start (earliest)",IF($G104="",99999999,$G104)*10000+ROW(),IF('Roadmap (Auto)'!$D$3="Deliverable A-Z",$W104*10000+ROW(),$L104*1000000+$M104*10000+ROW())))))</f>
      </c>
      <c r="O104" s="305">
        <f>IF($N104="","",COUNTIF($N$2:$N$151,"&lt;"&amp;$N104)+1)</f>
      </c>
      <c r="P104" s="305">
        <f>IF($B104="","",IF(COUNTA('UX + Dev'!X104)=0,"",'UX + Dev'!X104))</f>
      </c>
      <c r="Q104" s="305">
        <f>IF($B104="","",IF(COUNTA('UX + Dev'!Y104)=0,"",'UX + Dev'!Y104))</f>
      </c>
      <c r="R104" s="307">
        <f>IF($P104="","",IF(ISNUMBER($P104),DATE(YEAR($P104),MONTH($P104),1),IFERROR(DATE(IFERROR(VALUE(RIGHT(TRIM($P104),4)),YEAR(TODAY())),(SEARCH(LEFT(TRIM($P104),3),"JanFebMarAprMayJunJulAugSepOctNovDec")+2)/3,1),"")))</f>
      </c>
      <c r="S104" s="307">
        <f>IF($Q104="","",IF(ISNUMBER($Q104),DATE(YEAR($Q104),MONTH($Q104),1),IFERROR(DATE(IFERROR(VALUE(RIGHT(TRIM($Q104),4)),YEAR(TODAY())),(SEARCH(LEFT(TRIM($Q104),3),"JanFebMarAprMayJunJulAugSepOctNovDec")+2)/3,1),"")))</f>
      </c>
      <c r="T104" s="305">
        <f>IF($B104="","",COUNTA('UX + Dev'!$AB104:$DN104))</f>
      </c>
      <c r="U104" s="305">
        <f>IF($B104="","",IFERROR(MATCH($D104,Control!$E$4:$E$30,0)+3,0))</f>
      </c>
      <c r="V104" s="305">
        <f>IF($B104="","",IF(AND(OR('Roadmap (Auto)'!$A$3="",'Roadmap (Auto)'!$A$3="(All)",ISNUMBER(SEARCH('Roadmap (Auto)'!$A$3,$C104&amp;""))),OR('Roadmap (Auto)'!$B$3="",'Roadmap (Auto)'!$B$3="(All)",$D104='Roadmap (Auto)'!$B$3,$X104='Roadmap (Auto)'!$B$3),OR('Roadmap (Auto)'!$C$3="",'Roadmap (Auto)'!$C$3="(All)",$F104='Roadmap (Auto)'!$C$3)),1,0))</f>
      </c>
      <c r="W104" s="305">
        <f>IF($B104="","",COUNTIF($Y$2:$Y$151,"&lt;"&amp;$Y104)+1)</f>
      </c>
      <c r="X104" s="305">
        <f>IF($B104="","",IF(TRIM('UX + Dev'!D104)="","",TRIM('UX + Dev'!D104)))</f>
      </c>
      <c r="Y104" s="305">
        <f>IF($B104="","",SUBSTITUTE(SUBSTITUTE(SUBSTITUTE(SUBSTITUTE(SUBSTITUTE(SUBSTITUTE(SUBSTITUTE(SUBSTITUTE(SUBSTITUTE(SUBSTITUTE(SUBSTITUTE(SUBSTITUTE(SUBSTITUTE(SUBSTITUTE(SUBSTITUTE(SUBSTITUTE(SUBSTITUTE(SUBSTITUTE(SUBSTITUTE(SUBSTITUTE(SUBSTITUTE(SUBSTITUTE(SUBSTITUTE(SUBSTITUTE(SUBSTITUTE(UPPER($B104)," ",""),"-",""),":",""),"/",""),"&amp;",""),"|",""),"'",""),"’",""),"&lt;",""),"&gt;",""),",",""),"$",""),".",""),"(",""),")",""),"*",""),"?",""),"~",""),"_",""),"+",""),"#",""),";",""),"!",""),"%",""),"@",""))</f>
      </c>
      <c r="AA104">
        <f>IF($B104="",0,COUNTIFS('UX + Dev'!$AB$1:$DN$1,"&gt;="&amp;AA$1,'UX + Dev'!$AB$1:$DN$1,"&lt;="&amp;EOMONTH(AA$1,0),'UX + Dev'!$AB104:$DN104,"&lt;&gt;"))</f>
      </c>
      <c r="AB104">
        <f>IF($B104="",0,COUNTIFS('UX + Dev'!$AB$1:$DN$1,"&gt;="&amp;AB$1,'UX + Dev'!$AB$1:$DN$1,"&lt;="&amp;EOMONTH(AB$1,0),'UX + Dev'!$AB104:$DN104,"&lt;&gt;"))</f>
      </c>
      <c r="AC104">
        <f>IF($B104="",0,COUNTIFS('UX + Dev'!$AB$1:$DN$1,"&gt;="&amp;AC$1,'UX + Dev'!$AB$1:$DN$1,"&lt;="&amp;EOMONTH(AC$1,0),'UX + Dev'!$AB104:$DN104,"&lt;&gt;"))</f>
      </c>
      <c r="AD104">
        <f>IF($B104="",0,COUNTIFS('UX + Dev'!$AB$1:$DN$1,"&gt;="&amp;AD$1,'UX + Dev'!$AB$1:$DN$1,"&lt;="&amp;EOMONTH(AD$1,0),'UX + Dev'!$AB104:$DN104,"&lt;&gt;"))</f>
      </c>
      <c r="AE104">
        <f>IF($B104="",0,COUNTIFS('UX + Dev'!$AB$1:$DN$1,"&gt;="&amp;AE$1,'UX + Dev'!$AB$1:$DN$1,"&lt;="&amp;EOMONTH(AE$1,0),'UX + Dev'!$AB104:$DN104,"&lt;&gt;"))</f>
      </c>
      <c r="AF104">
        <f>IF($B104="",0,COUNTIFS('UX + Dev'!$AB$1:$DN$1,"&gt;="&amp;AF$1,'UX + Dev'!$AB$1:$DN$1,"&lt;="&amp;EOMONTH(AF$1,0),'UX + Dev'!$AB104:$DN104,"&lt;&gt;"))</f>
      </c>
      <c r="AG104">
        <f>IF($B104="",0,COUNTIFS('UX + Dev'!$AB$1:$DN$1,"&gt;="&amp;AG$1,'UX + Dev'!$AB$1:$DN$1,"&lt;="&amp;EOMONTH(AG$1,0),'UX + Dev'!$AB104:$DN104,"&lt;&gt;"))</f>
      </c>
      <c r="AH104">
        <f>IF($B104="",0,COUNTIFS('UX + Dev'!$AB$1:$DN$1,"&gt;="&amp;AH$1,'UX + Dev'!$AB$1:$DN$1,"&lt;="&amp;EOMONTH(AH$1,0),'UX + Dev'!$AB104:$DN104,"&lt;&gt;"))</f>
      </c>
      <c r="AI104">
        <f>IF($B104="",0,COUNTIFS('UX + Dev'!$AB$1:$DN$1,"&gt;="&amp;AI$1,'UX + Dev'!$AB$1:$DN$1,"&lt;="&amp;EOMONTH(AI$1,0),'UX + Dev'!$AB104:$DN104,"&lt;&gt;"))</f>
      </c>
      <c r="AJ104">
        <f>IF($B104="",0,COUNTIFS('UX + Dev'!$AB$1:$DN$1,"&gt;="&amp;AJ$1,'UX + Dev'!$AB$1:$DN$1,"&lt;="&amp;EOMONTH(AJ$1,0),'UX + Dev'!$AB104:$DN104,"&lt;&gt;"))</f>
      </c>
      <c r="AK104">
        <f>IF($B104="",0,COUNTIFS('UX + Dev'!$AB$1:$DN$1,"&gt;="&amp;AK$1,'UX + Dev'!$AB$1:$DN$1,"&lt;="&amp;EOMONTH(AK$1,0),'UX + Dev'!$AB104:$DN104,"&lt;&gt;"))</f>
      </c>
      <c r="AL104">
        <f>IF($B104="",0,COUNTIFS('UX + Dev'!$AB$1:$DN$1,"&gt;="&amp;AL$1,'UX + Dev'!$AB$1:$DN$1,"&lt;="&amp;EOMONTH(AL$1,0),'UX + Dev'!$AB104:$DN104,"&lt;&gt;"))</f>
      </c>
      <c r="AM104">
        <f>IF($B104="",0,COUNTIFS('UX + Dev'!$AB$1:$DN$1,"&gt;="&amp;AM$1,'UX + Dev'!$AB$1:$DN$1,"&lt;="&amp;EOMONTH(AM$1,0),'UX + Dev'!$AB104:$DN104,"&lt;&gt;"))</f>
      </c>
      <c r="AN104">
        <f>IF($B104="",0,COUNTIFS('UX + Dev'!$AB$1:$DN$1,"&gt;="&amp;AN$1,'UX + Dev'!$AB$1:$DN$1,"&lt;="&amp;EOMONTH(AN$1,0),'UX + Dev'!$AB104:$DN104,"&lt;&gt;"))</f>
      </c>
      <c r="AO104">
        <f>IF($B104="",0,COUNTIFS('UX + Dev'!$AB$1:$DN$1,"&gt;="&amp;AO$1,'UX + Dev'!$AB$1:$DN$1,"&lt;="&amp;EOMONTH(AO$1,0),'UX + Dev'!$AB104:$DN104,"&lt;&gt;"))</f>
      </c>
      <c r="AP104">
        <f>IF($B104="",0,COUNTIFS('UX + Dev'!$AB$1:$DN$1,"&gt;="&amp;AP$1,'UX + Dev'!$AB$1:$DN$1,"&lt;="&amp;EOMONTH(AP$1,0),'UX + Dev'!$AB104:$DN104,"&lt;&gt;"))</f>
      </c>
      <c r="AQ104">
        <f>IF($B104="",0,COUNTIFS('UX + Dev'!$AB$1:$DN$1,"&gt;="&amp;AQ$1,'UX + Dev'!$AB$1:$DN$1,"&lt;="&amp;EOMONTH(AQ$1,0),'UX + Dev'!$AB104:$DN104,"&lt;&gt;"))</f>
      </c>
      <c r="AR104">
        <f>IF($B104="",0,COUNTIFS('UX + Dev'!$AB$1:$DN$1,"&gt;="&amp;AR$1,'UX + Dev'!$AB$1:$DN$1,"&lt;="&amp;EOMONTH(AR$1,0),'UX + Dev'!$AB104:$DN104,"&lt;&gt;"))</f>
      </c>
      <c r="AS104">
        <f>IF($B104="",0,COUNTIFS('UX + Dev'!$AB$1:$DN$1,"&gt;="&amp;AS$1,'UX + Dev'!$AB$1:$DN$1,"&lt;="&amp;EOMONTH(AS$1,0),'UX + Dev'!$AB104:$DN104,"&lt;&gt;"))</f>
      </c>
      <c r="AT104">
        <f>IF($B104="",0,COUNTIFS('UX + Dev'!$AB$1:$DN$1,"&gt;="&amp;AT$1,'UX + Dev'!$AB$1:$DN$1,"&lt;="&amp;EOMONTH(AT$1,0),'UX + Dev'!$AB104:$DN104,"&lt;&gt;"))</f>
      </c>
      <c r="AU104">
        <f>IF($B104="",0,COUNTIFS('UX + Dev'!$AB$1:$DN$1,"&gt;="&amp;AU$1,'UX + Dev'!$AB$1:$DN$1,"&lt;="&amp;EOMONTH(AU$1,0),'UX + Dev'!$AB104:$DN104,"&lt;&gt;"))</f>
      </c>
      <c r="AV104">
        <f>IF($B104="",0,COUNTIFS('UX + Dev'!$AB$1:$DN$1,"&gt;="&amp;AV$1,'UX + Dev'!$AB$1:$DN$1,"&lt;="&amp;EOMONTH(AV$1,0),'UX + Dev'!$AB104:$DN104,"&lt;&gt;"))</f>
      </c>
      <c r="AW104">
        <f>IF($B104="",0,COUNTIFS('UX + Dev'!$AB$1:$DN$1,"&gt;="&amp;AW$1,'UX + Dev'!$AB$1:$DN$1,"&lt;="&amp;EOMONTH(AW$1,0),'UX + Dev'!$AB104:$DN104,"&lt;&gt;"))</f>
      </c>
      <c r="AX104">
        <f>IF($B104="",0,COUNTIFS('UX + Dev'!$AB$1:$DN$1,"&gt;="&amp;AX$1,'UX + Dev'!$AB$1:$DN$1,"&lt;="&amp;EOMONTH(AX$1,0),'UX + Dev'!$AB104:$DN104,"&lt;&gt;"))</f>
      </c>
      <c r="BB104" s="308">
        <f>IF($B104="","",IF(COUNTA('UX + Dev'!U104)&gt;0,DATE(YEAR('UX + Dev'!U104),MONTH('UX + Dev'!U104),1),IF(COUNTA('UX + Dev'!V104)&gt;0,DATE(YEAR('UX + Dev'!V104),MONTH('UX + Dev'!V104),1),"")))</f>
      </c>
      <c r="BC104" s="308">
        <f>IF($B104="","",IF(COUNTA('UX + Dev'!V104)&gt;0,EOMONTH('UX + Dev'!V104,0),IF(COUNTA('UX + Dev'!U104)&gt;0,EOMONTH('UX + Dev'!U104,0),"")))</f>
      </c>
    </row>
    <row r="105">
      <c r="A105" s="305" t="n">
        <v>105</v>
      </c>
      <c r="B105" s="305">
        <f>IF(TRIM('UX + Dev'!E105)="","",TRIM('UX + Dev'!E105))</f>
      </c>
      <c r="C105" s="305">
        <f>IF($B105="","",'UX + Dev'!B105)</f>
      </c>
      <c r="D105" s="305">
        <f>IF($B105="","",IF(TRIM('UX + Dev'!C105)="","(No theme assigned)",TRIM('UX + Dev'!C105)))</f>
      </c>
      <c r="E105" s="305">
        <f>IF($B105="","",TRIM('UX + Dev'!F105))</f>
      </c>
      <c r="F105" s="305">
        <f>IF($B105="","",'UX + Dev'!G105)</f>
      </c>
      <c r="G105" s="306">
        <f t="array" ref="G105">IF($B105="","",IF($T105=0,"",IFERROR(MIN(IF('UX + Dev'!$AB105:$DN105&lt;&gt;"",'UX + Dev'!$AB$1:$DN$1)),"")))</f>
      </c>
      <c r="H105" s="306">
        <f t="array" ref="H105">IF($B105="","",IF($T105=0,"",IFERROR(MAX(IF('UX + Dev'!$AB105:$DN105&lt;&gt;"",'UX + Dev'!$AB$1:$DN$1)),"")))</f>
      </c>
      <c r="I105" s="307">
        <f>IF($R105&lt;&gt;"",$R105,IF($S105&lt;&gt;"",$S105,""))</f>
      </c>
      <c r="J105" s="307">
        <f>IF($S105&lt;&gt;"",EOMONTH($S105,0),IF($R105&lt;&gt;"",EOMONTH($R105,0),""))</f>
      </c>
      <c r="K105" s="305">
        <f>IF($B105="","",IF(COUNTA('UX + Dev'!AA105)=0,"",TRIM('UX + Dev'!AA105)))</f>
      </c>
      <c r="L105" s="305">
        <f>IF($B105="","",IFERROR(MATCH($D105,Control!$E$4:$E$30,0),99))</f>
      </c>
      <c r="M105" s="305">
        <f>IF($B105="","",IFERROR(MATCH($F105,Control!$B$4:$B$30,0),99))</f>
      </c>
      <c r="N105" s="305">
        <f>IF($V105&lt;&gt;1,"",IF('Roadmap (Auto)'!$D$3="Status, then Theme",$M105*1000000+$L105*10000+ROW(),IF('Roadmap (Auto)'!$D$3="Dev start (earliest)",IF($I105="",99999999,$I105)*10000+ROW(),IF('Roadmap (Auto)'!$D$3="UX start (earliest)",IF($G105="",99999999,$G105)*10000+ROW(),IF('Roadmap (Auto)'!$D$3="Deliverable A-Z",$W105*10000+ROW(),$L105*1000000+$M105*10000+ROW())))))</f>
      </c>
      <c r="O105" s="305">
        <f>IF($N105="","",COUNTIF($N$2:$N$151,"&lt;"&amp;$N105)+1)</f>
      </c>
      <c r="P105" s="305">
        <f>IF($B105="","",IF(COUNTA('UX + Dev'!X105)=0,"",'UX + Dev'!X105))</f>
      </c>
      <c r="Q105" s="305">
        <f>IF($B105="","",IF(COUNTA('UX + Dev'!Y105)=0,"",'UX + Dev'!Y105))</f>
      </c>
      <c r="R105" s="307">
        <f>IF($P105="","",IF(ISNUMBER($P105),DATE(YEAR($P105),MONTH($P105),1),IFERROR(DATE(IFERROR(VALUE(RIGHT(TRIM($P105),4)),YEAR(TODAY())),(SEARCH(LEFT(TRIM($P105),3),"JanFebMarAprMayJunJulAugSepOctNovDec")+2)/3,1),"")))</f>
      </c>
      <c r="S105" s="307">
        <f>IF($Q105="","",IF(ISNUMBER($Q105),DATE(YEAR($Q105),MONTH($Q105),1),IFERROR(DATE(IFERROR(VALUE(RIGHT(TRIM($Q105),4)),YEAR(TODAY())),(SEARCH(LEFT(TRIM($Q105),3),"JanFebMarAprMayJunJulAugSepOctNovDec")+2)/3,1),"")))</f>
      </c>
      <c r="T105" s="305">
        <f>IF($B105="","",COUNTA('UX + Dev'!$AB105:$DN105))</f>
      </c>
      <c r="U105" s="305">
        <f>IF($B105="","",IFERROR(MATCH($D105,Control!$E$4:$E$30,0)+3,0))</f>
      </c>
      <c r="V105" s="305">
        <f>IF($B105="","",IF(AND(OR('Roadmap (Auto)'!$A$3="",'Roadmap (Auto)'!$A$3="(All)",ISNUMBER(SEARCH('Roadmap (Auto)'!$A$3,$C105&amp;""))),OR('Roadmap (Auto)'!$B$3="",'Roadmap (Auto)'!$B$3="(All)",$D105='Roadmap (Auto)'!$B$3,$X105='Roadmap (Auto)'!$B$3),OR('Roadmap (Auto)'!$C$3="",'Roadmap (Auto)'!$C$3="(All)",$F105='Roadmap (Auto)'!$C$3)),1,0))</f>
      </c>
      <c r="W105" s="305">
        <f>IF($B105="","",COUNTIF($Y$2:$Y$151,"&lt;"&amp;$Y105)+1)</f>
      </c>
      <c r="X105" s="305">
        <f>IF($B105="","",IF(TRIM('UX + Dev'!D105)="","",TRIM('UX + Dev'!D105)))</f>
      </c>
      <c r="Y105" s="305">
        <f>IF($B105="","",SUBSTITUTE(SUBSTITUTE(SUBSTITUTE(SUBSTITUTE(SUBSTITUTE(SUBSTITUTE(SUBSTITUTE(SUBSTITUTE(SUBSTITUTE(SUBSTITUTE(SUBSTITUTE(SUBSTITUTE(SUBSTITUTE(SUBSTITUTE(SUBSTITUTE(SUBSTITUTE(SUBSTITUTE(SUBSTITUTE(SUBSTITUTE(SUBSTITUTE(SUBSTITUTE(SUBSTITUTE(SUBSTITUTE(SUBSTITUTE(SUBSTITUTE(UPPER($B105)," ",""),"-",""),":",""),"/",""),"&amp;",""),"|",""),"'",""),"’",""),"&lt;",""),"&gt;",""),",",""),"$",""),".",""),"(",""),")",""),"*",""),"?",""),"~",""),"_",""),"+",""),"#",""),";",""),"!",""),"%",""),"@",""))</f>
      </c>
      <c r="AA105">
        <f>IF($B105="",0,COUNTIFS('UX + Dev'!$AB$1:$DN$1,"&gt;="&amp;AA$1,'UX + Dev'!$AB$1:$DN$1,"&lt;="&amp;EOMONTH(AA$1,0),'UX + Dev'!$AB105:$DN105,"&lt;&gt;"))</f>
      </c>
      <c r="AB105">
        <f>IF($B105="",0,COUNTIFS('UX + Dev'!$AB$1:$DN$1,"&gt;="&amp;AB$1,'UX + Dev'!$AB$1:$DN$1,"&lt;="&amp;EOMONTH(AB$1,0),'UX + Dev'!$AB105:$DN105,"&lt;&gt;"))</f>
      </c>
      <c r="AC105">
        <f>IF($B105="",0,COUNTIFS('UX + Dev'!$AB$1:$DN$1,"&gt;="&amp;AC$1,'UX + Dev'!$AB$1:$DN$1,"&lt;="&amp;EOMONTH(AC$1,0),'UX + Dev'!$AB105:$DN105,"&lt;&gt;"))</f>
      </c>
      <c r="AD105">
        <f>IF($B105="",0,COUNTIFS('UX + Dev'!$AB$1:$DN$1,"&gt;="&amp;AD$1,'UX + Dev'!$AB$1:$DN$1,"&lt;="&amp;EOMONTH(AD$1,0),'UX + Dev'!$AB105:$DN105,"&lt;&gt;"))</f>
      </c>
      <c r="AE105">
        <f>IF($B105="",0,COUNTIFS('UX + Dev'!$AB$1:$DN$1,"&gt;="&amp;AE$1,'UX + Dev'!$AB$1:$DN$1,"&lt;="&amp;EOMONTH(AE$1,0),'UX + Dev'!$AB105:$DN105,"&lt;&gt;"))</f>
      </c>
      <c r="AF105">
        <f>IF($B105="",0,COUNTIFS('UX + Dev'!$AB$1:$DN$1,"&gt;="&amp;AF$1,'UX + Dev'!$AB$1:$DN$1,"&lt;="&amp;EOMONTH(AF$1,0),'UX + Dev'!$AB105:$DN105,"&lt;&gt;"))</f>
      </c>
      <c r="AG105">
        <f>IF($B105="",0,COUNTIFS('UX + Dev'!$AB$1:$DN$1,"&gt;="&amp;AG$1,'UX + Dev'!$AB$1:$DN$1,"&lt;="&amp;EOMONTH(AG$1,0),'UX + Dev'!$AB105:$DN105,"&lt;&gt;"))</f>
      </c>
      <c r="AH105">
        <f>IF($B105="",0,COUNTIFS('UX + Dev'!$AB$1:$DN$1,"&gt;="&amp;AH$1,'UX + Dev'!$AB$1:$DN$1,"&lt;="&amp;EOMONTH(AH$1,0),'UX + Dev'!$AB105:$DN105,"&lt;&gt;"))</f>
      </c>
      <c r="AI105">
        <f>IF($B105="",0,COUNTIFS('UX + Dev'!$AB$1:$DN$1,"&gt;="&amp;AI$1,'UX + Dev'!$AB$1:$DN$1,"&lt;="&amp;EOMONTH(AI$1,0),'UX + Dev'!$AB105:$DN105,"&lt;&gt;"))</f>
      </c>
      <c r="AJ105">
        <f>IF($B105="",0,COUNTIFS('UX + Dev'!$AB$1:$DN$1,"&gt;="&amp;AJ$1,'UX + Dev'!$AB$1:$DN$1,"&lt;="&amp;EOMONTH(AJ$1,0),'UX + Dev'!$AB105:$DN105,"&lt;&gt;"))</f>
      </c>
      <c r="AK105">
        <f>IF($B105="",0,COUNTIFS('UX + Dev'!$AB$1:$DN$1,"&gt;="&amp;AK$1,'UX + Dev'!$AB$1:$DN$1,"&lt;="&amp;EOMONTH(AK$1,0),'UX + Dev'!$AB105:$DN105,"&lt;&gt;"))</f>
      </c>
      <c r="AL105">
        <f>IF($B105="",0,COUNTIFS('UX + Dev'!$AB$1:$DN$1,"&gt;="&amp;AL$1,'UX + Dev'!$AB$1:$DN$1,"&lt;="&amp;EOMONTH(AL$1,0),'UX + Dev'!$AB105:$DN105,"&lt;&gt;"))</f>
      </c>
      <c r="AM105">
        <f>IF($B105="",0,COUNTIFS('UX + Dev'!$AB$1:$DN$1,"&gt;="&amp;AM$1,'UX + Dev'!$AB$1:$DN$1,"&lt;="&amp;EOMONTH(AM$1,0),'UX + Dev'!$AB105:$DN105,"&lt;&gt;"))</f>
      </c>
      <c r="AN105">
        <f>IF($B105="",0,COUNTIFS('UX + Dev'!$AB$1:$DN$1,"&gt;="&amp;AN$1,'UX + Dev'!$AB$1:$DN$1,"&lt;="&amp;EOMONTH(AN$1,0),'UX + Dev'!$AB105:$DN105,"&lt;&gt;"))</f>
      </c>
      <c r="AO105">
        <f>IF($B105="",0,COUNTIFS('UX + Dev'!$AB$1:$DN$1,"&gt;="&amp;AO$1,'UX + Dev'!$AB$1:$DN$1,"&lt;="&amp;EOMONTH(AO$1,0),'UX + Dev'!$AB105:$DN105,"&lt;&gt;"))</f>
      </c>
      <c r="AP105">
        <f>IF($B105="",0,COUNTIFS('UX + Dev'!$AB$1:$DN$1,"&gt;="&amp;AP$1,'UX + Dev'!$AB$1:$DN$1,"&lt;="&amp;EOMONTH(AP$1,0),'UX + Dev'!$AB105:$DN105,"&lt;&gt;"))</f>
      </c>
      <c r="AQ105">
        <f>IF($B105="",0,COUNTIFS('UX + Dev'!$AB$1:$DN$1,"&gt;="&amp;AQ$1,'UX + Dev'!$AB$1:$DN$1,"&lt;="&amp;EOMONTH(AQ$1,0),'UX + Dev'!$AB105:$DN105,"&lt;&gt;"))</f>
      </c>
      <c r="AR105">
        <f>IF($B105="",0,COUNTIFS('UX + Dev'!$AB$1:$DN$1,"&gt;="&amp;AR$1,'UX + Dev'!$AB$1:$DN$1,"&lt;="&amp;EOMONTH(AR$1,0),'UX + Dev'!$AB105:$DN105,"&lt;&gt;"))</f>
      </c>
      <c r="AS105">
        <f>IF($B105="",0,COUNTIFS('UX + Dev'!$AB$1:$DN$1,"&gt;="&amp;AS$1,'UX + Dev'!$AB$1:$DN$1,"&lt;="&amp;EOMONTH(AS$1,0),'UX + Dev'!$AB105:$DN105,"&lt;&gt;"))</f>
      </c>
      <c r="AT105">
        <f>IF($B105="",0,COUNTIFS('UX + Dev'!$AB$1:$DN$1,"&gt;="&amp;AT$1,'UX + Dev'!$AB$1:$DN$1,"&lt;="&amp;EOMONTH(AT$1,0),'UX + Dev'!$AB105:$DN105,"&lt;&gt;"))</f>
      </c>
      <c r="AU105">
        <f>IF($B105="",0,COUNTIFS('UX + Dev'!$AB$1:$DN$1,"&gt;="&amp;AU$1,'UX + Dev'!$AB$1:$DN$1,"&lt;="&amp;EOMONTH(AU$1,0),'UX + Dev'!$AB105:$DN105,"&lt;&gt;"))</f>
      </c>
      <c r="AV105">
        <f>IF($B105="",0,COUNTIFS('UX + Dev'!$AB$1:$DN$1,"&gt;="&amp;AV$1,'UX + Dev'!$AB$1:$DN$1,"&lt;="&amp;EOMONTH(AV$1,0),'UX + Dev'!$AB105:$DN105,"&lt;&gt;"))</f>
      </c>
      <c r="AW105">
        <f>IF($B105="",0,COUNTIFS('UX + Dev'!$AB$1:$DN$1,"&gt;="&amp;AW$1,'UX + Dev'!$AB$1:$DN$1,"&lt;="&amp;EOMONTH(AW$1,0),'UX + Dev'!$AB105:$DN105,"&lt;&gt;"))</f>
      </c>
      <c r="AX105">
        <f>IF($B105="",0,COUNTIFS('UX + Dev'!$AB$1:$DN$1,"&gt;="&amp;AX$1,'UX + Dev'!$AB$1:$DN$1,"&lt;="&amp;EOMONTH(AX$1,0),'UX + Dev'!$AB105:$DN105,"&lt;&gt;"))</f>
      </c>
      <c r="BB105" s="308">
        <f>IF($B105="","",IF(COUNTA('UX + Dev'!U105)&gt;0,DATE(YEAR('UX + Dev'!U105),MONTH('UX + Dev'!U105),1),IF(COUNTA('UX + Dev'!V105)&gt;0,DATE(YEAR('UX + Dev'!V105),MONTH('UX + Dev'!V105),1),"")))</f>
      </c>
      <c r="BC105" s="308">
        <f>IF($B105="","",IF(COUNTA('UX + Dev'!V105)&gt;0,EOMONTH('UX + Dev'!V105,0),IF(COUNTA('UX + Dev'!U105)&gt;0,EOMONTH('UX + Dev'!U105,0),"")))</f>
      </c>
    </row>
    <row r="106">
      <c r="A106" s="305" t="n">
        <v>106</v>
      </c>
      <c r="B106" s="305">
        <f>IF(TRIM('UX + Dev'!E106)="","",TRIM('UX + Dev'!E106))</f>
      </c>
      <c r="C106" s="305">
        <f>IF($B106="","",'UX + Dev'!B106)</f>
      </c>
      <c r="D106" s="305">
        <f>IF($B106="","",IF(TRIM('UX + Dev'!C106)="","(No theme assigned)",TRIM('UX + Dev'!C106)))</f>
      </c>
      <c r="E106" s="305">
        <f>IF($B106="","",TRIM('UX + Dev'!F106))</f>
      </c>
      <c r="F106" s="305">
        <f>IF($B106="","",'UX + Dev'!G106)</f>
      </c>
      <c r="G106" s="306">
        <f t="array" ref="G106">IF($B106="","",IF($T106=0,"",IFERROR(MIN(IF('UX + Dev'!$AB106:$DN106&lt;&gt;"",'UX + Dev'!$AB$1:$DN$1)),"")))</f>
      </c>
      <c r="H106" s="306">
        <f t="array" ref="H106">IF($B106="","",IF($T106=0,"",IFERROR(MAX(IF('UX + Dev'!$AB106:$DN106&lt;&gt;"",'UX + Dev'!$AB$1:$DN$1)),"")))</f>
      </c>
      <c r="I106" s="307">
        <f>IF($R106&lt;&gt;"",$R106,IF($S106&lt;&gt;"",$S106,""))</f>
      </c>
      <c r="J106" s="307">
        <f>IF($S106&lt;&gt;"",EOMONTH($S106,0),IF($R106&lt;&gt;"",EOMONTH($R106,0),""))</f>
      </c>
      <c r="K106" s="305">
        <f>IF($B106="","",IF(COUNTA('UX + Dev'!AA106)=0,"",TRIM('UX + Dev'!AA106)))</f>
      </c>
      <c r="L106" s="305">
        <f>IF($B106="","",IFERROR(MATCH($D106,Control!$E$4:$E$30,0),99))</f>
      </c>
      <c r="M106" s="305">
        <f>IF($B106="","",IFERROR(MATCH($F106,Control!$B$4:$B$30,0),99))</f>
      </c>
      <c r="N106" s="305">
        <f>IF($V106&lt;&gt;1,"",IF('Roadmap (Auto)'!$D$3="Status, then Theme",$M106*1000000+$L106*10000+ROW(),IF('Roadmap (Auto)'!$D$3="Dev start (earliest)",IF($I106="",99999999,$I106)*10000+ROW(),IF('Roadmap (Auto)'!$D$3="UX start (earliest)",IF($G106="",99999999,$G106)*10000+ROW(),IF('Roadmap (Auto)'!$D$3="Deliverable A-Z",$W106*10000+ROW(),$L106*1000000+$M106*10000+ROW())))))</f>
      </c>
      <c r="O106" s="305">
        <f>IF($N106="","",COUNTIF($N$2:$N$151,"&lt;"&amp;$N106)+1)</f>
      </c>
      <c r="P106" s="305">
        <f>IF($B106="","",IF(COUNTA('UX + Dev'!X106)=0,"",'UX + Dev'!X106))</f>
      </c>
      <c r="Q106" s="305">
        <f>IF($B106="","",IF(COUNTA('UX + Dev'!Y106)=0,"",'UX + Dev'!Y106))</f>
      </c>
      <c r="R106" s="307">
        <f>IF($P106="","",IF(ISNUMBER($P106),DATE(YEAR($P106),MONTH($P106),1),IFERROR(DATE(IFERROR(VALUE(RIGHT(TRIM($P106),4)),YEAR(TODAY())),(SEARCH(LEFT(TRIM($P106),3),"JanFebMarAprMayJunJulAugSepOctNovDec")+2)/3,1),"")))</f>
      </c>
      <c r="S106" s="307">
        <f>IF($Q106="","",IF(ISNUMBER($Q106),DATE(YEAR($Q106),MONTH($Q106),1),IFERROR(DATE(IFERROR(VALUE(RIGHT(TRIM($Q106),4)),YEAR(TODAY())),(SEARCH(LEFT(TRIM($Q106),3),"JanFebMarAprMayJunJulAugSepOctNovDec")+2)/3,1),"")))</f>
      </c>
      <c r="T106" s="305">
        <f>IF($B106="","",COUNTA('UX + Dev'!$AB106:$DN106))</f>
      </c>
      <c r="U106" s="305">
        <f>IF($B106="","",IFERROR(MATCH($D106,Control!$E$4:$E$30,0)+3,0))</f>
      </c>
      <c r="V106" s="305">
        <f>IF($B106="","",IF(AND(OR('Roadmap (Auto)'!$A$3="",'Roadmap (Auto)'!$A$3="(All)",ISNUMBER(SEARCH('Roadmap (Auto)'!$A$3,$C106&amp;""))),OR('Roadmap (Auto)'!$B$3="",'Roadmap (Auto)'!$B$3="(All)",$D106='Roadmap (Auto)'!$B$3,$X106='Roadmap (Auto)'!$B$3),OR('Roadmap (Auto)'!$C$3="",'Roadmap (Auto)'!$C$3="(All)",$F106='Roadmap (Auto)'!$C$3)),1,0))</f>
      </c>
      <c r="W106" s="305">
        <f>IF($B106="","",COUNTIF($Y$2:$Y$151,"&lt;"&amp;$Y106)+1)</f>
      </c>
      <c r="X106" s="305">
        <f>IF($B106="","",IF(TRIM('UX + Dev'!D106)="","",TRIM('UX + Dev'!D106)))</f>
      </c>
      <c r="Y106" s="305">
        <f>IF($B106="","",SUBSTITUTE(SUBSTITUTE(SUBSTITUTE(SUBSTITUTE(SUBSTITUTE(SUBSTITUTE(SUBSTITUTE(SUBSTITUTE(SUBSTITUTE(SUBSTITUTE(SUBSTITUTE(SUBSTITUTE(SUBSTITUTE(SUBSTITUTE(SUBSTITUTE(SUBSTITUTE(SUBSTITUTE(SUBSTITUTE(SUBSTITUTE(SUBSTITUTE(SUBSTITUTE(SUBSTITUTE(SUBSTITUTE(SUBSTITUTE(SUBSTITUTE(UPPER($B106)," ",""),"-",""),":",""),"/",""),"&amp;",""),"|",""),"'",""),"’",""),"&lt;",""),"&gt;",""),",",""),"$",""),".",""),"(",""),")",""),"*",""),"?",""),"~",""),"_",""),"+",""),"#",""),";",""),"!",""),"%",""),"@",""))</f>
      </c>
      <c r="AA106">
        <f>IF($B106="",0,COUNTIFS('UX + Dev'!$AB$1:$DN$1,"&gt;="&amp;AA$1,'UX + Dev'!$AB$1:$DN$1,"&lt;="&amp;EOMONTH(AA$1,0),'UX + Dev'!$AB106:$DN106,"&lt;&gt;"))</f>
      </c>
      <c r="AB106">
        <f>IF($B106="",0,COUNTIFS('UX + Dev'!$AB$1:$DN$1,"&gt;="&amp;AB$1,'UX + Dev'!$AB$1:$DN$1,"&lt;="&amp;EOMONTH(AB$1,0),'UX + Dev'!$AB106:$DN106,"&lt;&gt;"))</f>
      </c>
      <c r="AC106">
        <f>IF($B106="",0,COUNTIFS('UX + Dev'!$AB$1:$DN$1,"&gt;="&amp;AC$1,'UX + Dev'!$AB$1:$DN$1,"&lt;="&amp;EOMONTH(AC$1,0),'UX + Dev'!$AB106:$DN106,"&lt;&gt;"))</f>
      </c>
      <c r="AD106">
        <f>IF($B106="",0,COUNTIFS('UX + Dev'!$AB$1:$DN$1,"&gt;="&amp;AD$1,'UX + Dev'!$AB$1:$DN$1,"&lt;="&amp;EOMONTH(AD$1,0),'UX + Dev'!$AB106:$DN106,"&lt;&gt;"))</f>
      </c>
      <c r="AE106">
        <f>IF($B106="",0,COUNTIFS('UX + Dev'!$AB$1:$DN$1,"&gt;="&amp;AE$1,'UX + Dev'!$AB$1:$DN$1,"&lt;="&amp;EOMONTH(AE$1,0),'UX + Dev'!$AB106:$DN106,"&lt;&gt;"))</f>
      </c>
      <c r="AF106">
        <f>IF($B106="",0,COUNTIFS('UX + Dev'!$AB$1:$DN$1,"&gt;="&amp;AF$1,'UX + Dev'!$AB$1:$DN$1,"&lt;="&amp;EOMONTH(AF$1,0),'UX + Dev'!$AB106:$DN106,"&lt;&gt;"))</f>
      </c>
      <c r="AG106">
        <f>IF($B106="",0,COUNTIFS('UX + Dev'!$AB$1:$DN$1,"&gt;="&amp;AG$1,'UX + Dev'!$AB$1:$DN$1,"&lt;="&amp;EOMONTH(AG$1,0),'UX + Dev'!$AB106:$DN106,"&lt;&gt;"))</f>
      </c>
      <c r="AH106">
        <f>IF($B106="",0,COUNTIFS('UX + Dev'!$AB$1:$DN$1,"&gt;="&amp;AH$1,'UX + Dev'!$AB$1:$DN$1,"&lt;="&amp;EOMONTH(AH$1,0),'UX + Dev'!$AB106:$DN106,"&lt;&gt;"))</f>
      </c>
      <c r="AI106">
        <f>IF($B106="",0,COUNTIFS('UX + Dev'!$AB$1:$DN$1,"&gt;="&amp;AI$1,'UX + Dev'!$AB$1:$DN$1,"&lt;="&amp;EOMONTH(AI$1,0),'UX + Dev'!$AB106:$DN106,"&lt;&gt;"))</f>
      </c>
      <c r="AJ106">
        <f>IF($B106="",0,COUNTIFS('UX + Dev'!$AB$1:$DN$1,"&gt;="&amp;AJ$1,'UX + Dev'!$AB$1:$DN$1,"&lt;="&amp;EOMONTH(AJ$1,0),'UX + Dev'!$AB106:$DN106,"&lt;&gt;"))</f>
      </c>
      <c r="AK106">
        <f>IF($B106="",0,COUNTIFS('UX + Dev'!$AB$1:$DN$1,"&gt;="&amp;AK$1,'UX + Dev'!$AB$1:$DN$1,"&lt;="&amp;EOMONTH(AK$1,0),'UX + Dev'!$AB106:$DN106,"&lt;&gt;"))</f>
      </c>
      <c r="AL106">
        <f>IF($B106="",0,COUNTIFS('UX + Dev'!$AB$1:$DN$1,"&gt;="&amp;AL$1,'UX + Dev'!$AB$1:$DN$1,"&lt;="&amp;EOMONTH(AL$1,0),'UX + Dev'!$AB106:$DN106,"&lt;&gt;"))</f>
      </c>
      <c r="AM106">
        <f>IF($B106="",0,COUNTIFS('UX + Dev'!$AB$1:$DN$1,"&gt;="&amp;AM$1,'UX + Dev'!$AB$1:$DN$1,"&lt;="&amp;EOMONTH(AM$1,0),'UX + Dev'!$AB106:$DN106,"&lt;&gt;"))</f>
      </c>
      <c r="AN106">
        <f>IF($B106="",0,COUNTIFS('UX + Dev'!$AB$1:$DN$1,"&gt;="&amp;AN$1,'UX + Dev'!$AB$1:$DN$1,"&lt;="&amp;EOMONTH(AN$1,0),'UX + Dev'!$AB106:$DN106,"&lt;&gt;"))</f>
      </c>
      <c r="AO106">
        <f>IF($B106="",0,COUNTIFS('UX + Dev'!$AB$1:$DN$1,"&gt;="&amp;AO$1,'UX + Dev'!$AB$1:$DN$1,"&lt;="&amp;EOMONTH(AO$1,0),'UX + Dev'!$AB106:$DN106,"&lt;&gt;"))</f>
      </c>
      <c r="AP106">
        <f>IF($B106="",0,COUNTIFS('UX + Dev'!$AB$1:$DN$1,"&gt;="&amp;AP$1,'UX + Dev'!$AB$1:$DN$1,"&lt;="&amp;EOMONTH(AP$1,0),'UX + Dev'!$AB106:$DN106,"&lt;&gt;"))</f>
      </c>
      <c r="AQ106">
        <f>IF($B106="",0,COUNTIFS('UX + Dev'!$AB$1:$DN$1,"&gt;="&amp;AQ$1,'UX + Dev'!$AB$1:$DN$1,"&lt;="&amp;EOMONTH(AQ$1,0),'UX + Dev'!$AB106:$DN106,"&lt;&gt;"))</f>
      </c>
      <c r="AR106">
        <f>IF($B106="",0,COUNTIFS('UX + Dev'!$AB$1:$DN$1,"&gt;="&amp;AR$1,'UX + Dev'!$AB$1:$DN$1,"&lt;="&amp;EOMONTH(AR$1,0),'UX + Dev'!$AB106:$DN106,"&lt;&gt;"))</f>
      </c>
      <c r="AS106">
        <f>IF($B106="",0,COUNTIFS('UX + Dev'!$AB$1:$DN$1,"&gt;="&amp;AS$1,'UX + Dev'!$AB$1:$DN$1,"&lt;="&amp;EOMONTH(AS$1,0),'UX + Dev'!$AB106:$DN106,"&lt;&gt;"))</f>
      </c>
      <c r="AT106">
        <f>IF($B106="",0,COUNTIFS('UX + Dev'!$AB$1:$DN$1,"&gt;="&amp;AT$1,'UX + Dev'!$AB$1:$DN$1,"&lt;="&amp;EOMONTH(AT$1,0),'UX + Dev'!$AB106:$DN106,"&lt;&gt;"))</f>
      </c>
      <c r="AU106">
        <f>IF($B106="",0,COUNTIFS('UX + Dev'!$AB$1:$DN$1,"&gt;="&amp;AU$1,'UX + Dev'!$AB$1:$DN$1,"&lt;="&amp;EOMONTH(AU$1,0),'UX + Dev'!$AB106:$DN106,"&lt;&gt;"))</f>
      </c>
      <c r="AV106">
        <f>IF($B106="",0,COUNTIFS('UX + Dev'!$AB$1:$DN$1,"&gt;="&amp;AV$1,'UX + Dev'!$AB$1:$DN$1,"&lt;="&amp;EOMONTH(AV$1,0),'UX + Dev'!$AB106:$DN106,"&lt;&gt;"))</f>
      </c>
      <c r="AW106">
        <f>IF($B106="",0,COUNTIFS('UX + Dev'!$AB$1:$DN$1,"&gt;="&amp;AW$1,'UX + Dev'!$AB$1:$DN$1,"&lt;="&amp;EOMONTH(AW$1,0),'UX + Dev'!$AB106:$DN106,"&lt;&gt;"))</f>
      </c>
      <c r="AX106">
        <f>IF($B106="",0,COUNTIFS('UX + Dev'!$AB$1:$DN$1,"&gt;="&amp;AX$1,'UX + Dev'!$AB$1:$DN$1,"&lt;="&amp;EOMONTH(AX$1,0),'UX + Dev'!$AB106:$DN106,"&lt;&gt;"))</f>
      </c>
      <c r="BB106" s="308">
        <f>IF($B106="","",IF(COUNTA('UX + Dev'!U106)&gt;0,DATE(YEAR('UX + Dev'!U106),MONTH('UX + Dev'!U106),1),IF(COUNTA('UX + Dev'!V106)&gt;0,DATE(YEAR('UX + Dev'!V106),MONTH('UX + Dev'!V106),1),"")))</f>
      </c>
      <c r="BC106" s="308">
        <f>IF($B106="","",IF(COUNTA('UX + Dev'!V106)&gt;0,EOMONTH('UX + Dev'!V106,0),IF(COUNTA('UX + Dev'!U106)&gt;0,EOMONTH('UX + Dev'!U106,0),"")))</f>
      </c>
    </row>
    <row r="107">
      <c r="A107" s="305" t="n">
        <v>107</v>
      </c>
      <c r="B107" s="305">
        <f>IF(TRIM('UX + Dev'!E107)="","",TRIM('UX + Dev'!E107))</f>
      </c>
      <c r="C107" s="305">
        <f>IF($B107="","",'UX + Dev'!B107)</f>
      </c>
      <c r="D107" s="305">
        <f>IF($B107="","",IF(TRIM('UX + Dev'!C107)="","(No theme assigned)",TRIM('UX + Dev'!C107)))</f>
      </c>
      <c r="E107" s="305">
        <f>IF($B107="","",TRIM('UX + Dev'!F107))</f>
      </c>
      <c r="F107" s="305">
        <f>IF($B107="","",'UX + Dev'!G107)</f>
      </c>
      <c r="G107" s="306">
        <f t="array" ref="G107">IF($B107="","",IF($T107=0,"",IFERROR(MIN(IF('UX + Dev'!$AB107:$DN107&lt;&gt;"",'UX + Dev'!$AB$1:$DN$1)),"")))</f>
      </c>
      <c r="H107" s="306">
        <f t="array" ref="H107">IF($B107="","",IF($T107=0,"",IFERROR(MAX(IF('UX + Dev'!$AB107:$DN107&lt;&gt;"",'UX + Dev'!$AB$1:$DN$1)),"")))</f>
      </c>
      <c r="I107" s="307">
        <f>IF($R107&lt;&gt;"",$R107,IF($S107&lt;&gt;"",$S107,""))</f>
      </c>
      <c r="J107" s="307">
        <f>IF($S107&lt;&gt;"",EOMONTH($S107,0),IF($R107&lt;&gt;"",EOMONTH($R107,0),""))</f>
      </c>
      <c r="K107" s="305">
        <f>IF($B107="","",IF(COUNTA('UX + Dev'!AA107)=0,"",TRIM('UX + Dev'!AA107)))</f>
      </c>
      <c r="L107" s="305">
        <f>IF($B107="","",IFERROR(MATCH($D107,Control!$E$4:$E$30,0),99))</f>
      </c>
      <c r="M107" s="305">
        <f>IF($B107="","",IFERROR(MATCH($F107,Control!$B$4:$B$30,0),99))</f>
      </c>
      <c r="N107" s="305">
        <f>IF($V107&lt;&gt;1,"",IF('Roadmap (Auto)'!$D$3="Status, then Theme",$M107*1000000+$L107*10000+ROW(),IF('Roadmap (Auto)'!$D$3="Dev start (earliest)",IF($I107="",99999999,$I107)*10000+ROW(),IF('Roadmap (Auto)'!$D$3="UX start (earliest)",IF($G107="",99999999,$G107)*10000+ROW(),IF('Roadmap (Auto)'!$D$3="Deliverable A-Z",$W107*10000+ROW(),$L107*1000000+$M107*10000+ROW())))))</f>
      </c>
      <c r="O107" s="305">
        <f>IF($N107="","",COUNTIF($N$2:$N$151,"&lt;"&amp;$N107)+1)</f>
      </c>
      <c r="P107" s="305">
        <f>IF($B107="","",IF(COUNTA('UX + Dev'!X107)=0,"",'UX + Dev'!X107))</f>
      </c>
      <c r="Q107" s="305">
        <f>IF($B107="","",IF(COUNTA('UX + Dev'!Y107)=0,"",'UX + Dev'!Y107))</f>
      </c>
      <c r="R107" s="307">
        <f>IF($P107="","",IF(ISNUMBER($P107),DATE(YEAR($P107),MONTH($P107),1),IFERROR(DATE(IFERROR(VALUE(RIGHT(TRIM($P107),4)),YEAR(TODAY())),(SEARCH(LEFT(TRIM($P107),3),"JanFebMarAprMayJunJulAugSepOctNovDec")+2)/3,1),"")))</f>
      </c>
      <c r="S107" s="307">
        <f>IF($Q107="","",IF(ISNUMBER($Q107),DATE(YEAR($Q107),MONTH($Q107),1),IFERROR(DATE(IFERROR(VALUE(RIGHT(TRIM($Q107),4)),YEAR(TODAY())),(SEARCH(LEFT(TRIM($Q107),3),"JanFebMarAprMayJunJulAugSepOctNovDec")+2)/3,1),"")))</f>
      </c>
      <c r="T107" s="305">
        <f>IF($B107="","",COUNTA('UX + Dev'!$AB107:$DN107))</f>
      </c>
      <c r="U107" s="305">
        <f>IF($B107="","",IFERROR(MATCH($D107,Control!$E$4:$E$30,0)+3,0))</f>
      </c>
      <c r="V107" s="305">
        <f>IF($B107="","",IF(AND(OR('Roadmap (Auto)'!$A$3="",'Roadmap (Auto)'!$A$3="(All)",ISNUMBER(SEARCH('Roadmap (Auto)'!$A$3,$C107&amp;""))),OR('Roadmap (Auto)'!$B$3="",'Roadmap (Auto)'!$B$3="(All)",$D107='Roadmap (Auto)'!$B$3,$X107='Roadmap (Auto)'!$B$3),OR('Roadmap (Auto)'!$C$3="",'Roadmap (Auto)'!$C$3="(All)",$F107='Roadmap (Auto)'!$C$3)),1,0))</f>
      </c>
      <c r="W107" s="305">
        <f>IF($B107="","",COUNTIF($Y$2:$Y$151,"&lt;"&amp;$Y107)+1)</f>
      </c>
      <c r="X107" s="305">
        <f>IF($B107="","",IF(TRIM('UX + Dev'!D107)="","",TRIM('UX + Dev'!D107)))</f>
      </c>
      <c r="Y107" s="305">
        <f>IF($B107="","",SUBSTITUTE(SUBSTITUTE(SUBSTITUTE(SUBSTITUTE(SUBSTITUTE(SUBSTITUTE(SUBSTITUTE(SUBSTITUTE(SUBSTITUTE(SUBSTITUTE(SUBSTITUTE(SUBSTITUTE(SUBSTITUTE(SUBSTITUTE(SUBSTITUTE(SUBSTITUTE(SUBSTITUTE(SUBSTITUTE(SUBSTITUTE(SUBSTITUTE(SUBSTITUTE(SUBSTITUTE(SUBSTITUTE(SUBSTITUTE(SUBSTITUTE(UPPER($B107)," ",""),"-",""),":",""),"/",""),"&amp;",""),"|",""),"'",""),"’",""),"&lt;",""),"&gt;",""),",",""),"$",""),".",""),"(",""),")",""),"*",""),"?",""),"~",""),"_",""),"+",""),"#",""),";",""),"!",""),"%",""),"@",""))</f>
      </c>
      <c r="AA107">
        <f>IF($B107="",0,COUNTIFS('UX + Dev'!$AB$1:$DN$1,"&gt;="&amp;AA$1,'UX + Dev'!$AB$1:$DN$1,"&lt;="&amp;EOMONTH(AA$1,0),'UX + Dev'!$AB107:$DN107,"&lt;&gt;"))</f>
      </c>
      <c r="AB107">
        <f>IF($B107="",0,COUNTIFS('UX + Dev'!$AB$1:$DN$1,"&gt;="&amp;AB$1,'UX + Dev'!$AB$1:$DN$1,"&lt;="&amp;EOMONTH(AB$1,0),'UX + Dev'!$AB107:$DN107,"&lt;&gt;"))</f>
      </c>
      <c r="AC107">
        <f>IF($B107="",0,COUNTIFS('UX + Dev'!$AB$1:$DN$1,"&gt;="&amp;AC$1,'UX + Dev'!$AB$1:$DN$1,"&lt;="&amp;EOMONTH(AC$1,0),'UX + Dev'!$AB107:$DN107,"&lt;&gt;"))</f>
      </c>
      <c r="AD107">
        <f>IF($B107="",0,COUNTIFS('UX + Dev'!$AB$1:$DN$1,"&gt;="&amp;AD$1,'UX + Dev'!$AB$1:$DN$1,"&lt;="&amp;EOMONTH(AD$1,0),'UX + Dev'!$AB107:$DN107,"&lt;&gt;"))</f>
      </c>
      <c r="AE107">
        <f>IF($B107="",0,COUNTIFS('UX + Dev'!$AB$1:$DN$1,"&gt;="&amp;AE$1,'UX + Dev'!$AB$1:$DN$1,"&lt;="&amp;EOMONTH(AE$1,0),'UX + Dev'!$AB107:$DN107,"&lt;&gt;"))</f>
      </c>
      <c r="AF107">
        <f>IF($B107="",0,COUNTIFS('UX + Dev'!$AB$1:$DN$1,"&gt;="&amp;AF$1,'UX + Dev'!$AB$1:$DN$1,"&lt;="&amp;EOMONTH(AF$1,0),'UX + Dev'!$AB107:$DN107,"&lt;&gt;"))</f>
      </c>
      <c r="AG107">
        <f>IF($B107="",0,COUNTIFS('UX + Dev'!$AB$1:$DN$1,"&gt;="&amp;AG$1,'UX + Dev'!$AB$1:$DN$1,"&lt;="&amp;EOMONTH(AG$1,0),'UX + Dev'!$AB107:$DN107,"&lt;&gt;"))</f>
      </c>
      <c r="AH107">
        <f>IF($B107="",0,COUNTIFS('UX + Dev'!$AB$1:$DN$1,"&gt;="&amp;AH$1,'UX + Dev'!$AB$1:$DN$1,"&lt;="&amp;EOMONTH(AH$1,0),'UX + Dev'!$AB107:$DN107,"&lt;&gt;"))</f>
      </c>
      <c r="AI107">
        <f>IF($B107="",0,COUNTIFS('UX + Dev'!$AB$1:$DN$1,"&gt;="&amp;AI$1,'UX + Dev'!$AB$1:$DN$1,"&lt;="&amp;EOMONTH(AI$1,0),'UX + Dev'!$AB107:$DN107,"&lt;&gt;"))</f>
      </c>
      <c r="AJ107">
        <f>IF($B107="",0,COUNTIFS('UX + Dev'!$AB$1:$DN$1,"&gt;="&amp;AJ$1,'UX + Dev'!$AB$1:$DN$1,"&lt;="&amp;EOMONTH(AJ$1,0),'UX + Dev'!$AB107:$DN107,"&lt;&gt;"))</f>
      </c>
      <c r="AK107">
        <f>IF($B107="",0,COUNTIFS('UX + Dev'!$AB$1:$DN$1,"&gt;="&amp;AK$1,'UX + Dev'!$AB$1:$DN$1,"&lt;="&amp;EOMONTH(AK$1,0),'UX + Dev'!$AB107:$DN107,"&lt;&gt;"))</f>
      </c>
      <c r="AL107">
        <f>IF($B107="",0,COUNTIFS('UX + Dev'!$AB$1:$DN$1,"&gt;="&amp;AL$1,'UX + Dev'!$AB$1:$DN$1,"&lt;="&amp;EOMONTH(AL$1,0),'UX + Dev'!$AB107:$DN107,"&lt;&gt;"))</f>
      </c>
      <c r="AM107">
        <f>IF($B107="",0,COUNTIFS('UX + Dev'!$AB$1:$DN$1,"&gt;="&amp;AM$1,'UX + Dev'!$AB$1:$DN$1,"&lt;="&amp;EOMONTH(AM$1,0),'UX + Dev'!$AB107:$DN107,"&lt;&gt;"))</f>
      </c>
      <c r="AN107">
        <f>IF($B107="",0,COUNTIFS('UX + Dev'!$AB$1:$DN$1,"&gt;="&amp;AN$1,'UX + Dev'!$AB$1:$DN$1,"&lt;="&amp;EOMONTH(AN$1,0),'UX + Dev'!$AB107:$DN107,"&lt;&gt;"))</f>
      </c>
      <c r="AO107">
        <f>IF($B107="",0,COUNTIFS('UX + Dev'!$AB$1:$DN$1,"&gt;="&amp;AO$1,'UX + Dev'!$AB$1:$DN$1,"&lt;="&amp;EOMONTH(AO$1,0),'UX + Dev'!$AB107:$DN107,"&lt;&gt;"))</f>
      </c>
      <c r="AP107">
        <f>IF($B107="",0,COUNTIFS('UX + Dev'!$AB$1:$DN$1,"&gt;="&amp;AP$1,'UX + Dev'!$AB$1:$DN$1,"&lt;="&amp;EOMONTH(AP$1,0),'UX + Dev'!$AB107:$DN107,"&lt;&gt;"))</f>
      </c>
      <c r="AQ107">
        <f>IF($B107="",0,COUNTIFS('UX + Dev'!$AB$1:$DN$1,"&gt;="&amp;AQ$1,'UX + Dev'!$AB$1:$DN$1,"&lt;="&amp;EOMONTH(AQ$1,0),'UX + Dev'!$AB107:$DN107,"&lt;&gt;"))</f>
      </c>
      <c r="AR107">
        <f>IF($B107="",0,COUNTIFS('UX + Dev'!$AB$1:$DN$1,"&gt;="&amp;AR$1,'UX + Dev'!$AB$1:$DN$1,"&lt;="&amp;EOMONTH(AR$1,0),'UX + Dev'!$AB107:$DN107,"&lt;&gt;"))</f>
      </c>
      <c r="AS107">
        <f>IF($B107="",0,COUNTIFS('UX + Dev'!$AB$1:$DN$1,"&gt;="&amp;AS$1,'UX + Dev'!$AB$1:$DN$1,"&lt;="&amp;EOMONTH(AS$1,0),'UX + Dev'!$AB107:$DN107,"&lt;&gt;"))</f>
      </c>
      <c r="AT107">
        <f>IF($B107="",0,COUNTIFS('UX + Dev'!$AB$1:$DN$1,"&gt;="&amp;AT$1,'UX + Dev'!$AB$1:$DN$1,"&lt;="&amp;EOMONTH(AT$1,0),'UX + Dev'!$AB107:$DN107,"&lt;&gt;"))</f>
      </c>
      <c r="AU107">
        <f>IF($B107="",0,COUNTIFS('UX + Dev'!$AB$1:$DN$1,"&gt;="&amp;AU$1,'UX + Dev'!$AB$1:$DN$1,"&lt;="&amp;EOMONTH(AU$1,0),'UX + Dev'!$AB107:$DN107,"&lt;&gt;"))</f>
      </c>
      <c r="AV107">
        <f>IF($B107="",0,COUNTIFS('UX + Dev'!$AB$1:$DN$1,"&gt;="&amp;AV$1,'UX + Dev'!$AB$1:$DN$1,"&lt;="&amp;EOMONTH(AV$1,0),'UX + Dev'!$AB107:$DN107,"&lt;&gt;"))</f>
      </c>
      <c r="AW107">
        <f>IF($B107="",0,COUNTIFS('UX + Dev'!$AB$1:$DN$1,"&gt;="&amp;AW$1,'UX + Dev'!$AB$1:$DN$1,"&lt;="&amp;EOMONTH(AW$1,0),'UX + Dev'!$AB107:$DN107,"&lt;&gt;"))</f>
      </c>
      <c r="AX107">
        <f>IF($B107="",0,COUNTIFS('UX + Dev'!$AB$1:$DN$1,"&gt;="&amp;AX$1,'UX + Dev'!$AB$1:$DN$1,"&lt;="&amp;EOMONTH(AX$1,0),'UX + Dev'!$AB107:$DN107,"&lt;&gt;"))</f>
      </c>
      <c r="BB107" s="308">
        <f>IF($B107="","",IF(COUNTA('UX + Dev'!U107)&gt;0,DATE(YEAR('UX + Dev'!U107),MONTH('UX + Dev'!U107),1),IF(COUNTA('UX + Dev'!V107)&gt;0,DATE(YEAR('UX + Dev'!V107),MONTH('UX + Dev'!V107),1),"")))</f>
      </c>
      <c r="BC107" s="308">
        <f>IF($B107="","",IF(COUNTA('UX + Dev'!V107)&gt;0,EOMONTH('UX + Dev'!V107,0),IF(COUNTA('UX + Dev'!U107)&gt;0,EOMONTH('UX + Dev'!U107,0),"")))</f>
      </c>
    </row>
    <row r="108">
      <c r="A108" s="305" t="n">
        <v>108</v>
      </c>
      <c r="B108" s="305">
        <f>IF(TRIM('UX + Dev'!E108)="","",TRIM('UX + Dev'!E108))</f>
      </c>
      <c r="C108" s="305">
        <f>IF($B108="","",'UX + Dev'!B108)</f>
      </c>
      <c r="D108" s="305">
        <f>IF($B108="","",IF(TRIM('UX + Dev'!C108)="","(No theme assigned)",TRIM('UX + Dev'!C108)))</f>
      </c>
      <c r="E108" s="305">
        <f>IF($B108="","",TRIM('UX + Dev'!F108))</f>
      </c>
      <c r="F108" s="305">
        <f>IF($B108="","",'UX + Dev'!G108)</f>
      </c>
      <c r="G108" s="306">
        <f t="array" ref="G108">IF($B108="","",IF($T108=0,"",IFERROR(MIN(IF('UX + Dev'!$AB108:$DN108&lt;&gt;"",'UX + Dev'!$AB$1:$DN$1)),"")))</f>
      </c>
      <c r="H108" s="306">
        <f t="array" ref="H108">IF($B108="","",IF($T108=0,"",IFERROR(MAX(IF('UX + Dev'!$AB108:$DN108&lt;&gt;"",'UX + Dev'!$AB$1:$DN$1)),"")))</f>
      </c>
      <c r="I108" s="307">
        <f>IF($R108&lt;&gt;"",$R108,IF($S108&lt;&gt;"",$S108,""))</f>
      </c>
      <c r="J108" s="307">
        <f>IF($S108&lt;&gt;"",EOMONTH($S108,0),IF($R108&lt;&gt;"",EOMONTH($R108,0),""))</f>
      </c>
      <c r="K108" s="305">
        <f>IF($B108="","",IF(COUNTA('UX + Dev'!AA108)=0,"",TRIM('UX + Dev'!AA108)))</f>
      </c>
      <c r="L108" s="305">
        <f>IF($B108="","",IFERROR(MATCH($D108,Control!$E$4:$E$30,0),99))</f>
      </c>
      <c r="M108" s="305">
        <f>IF($B108="","",IFERROR(MATCH($F108,Control!$B$4:$B$30,0),99))</f>
      </c>
      <c r="N108" s="305">
        <f>IF($V108&lt;&gt;1,"",IF('Roadmap (Auto)'!$D$3="Status, then Theme",$M108*1000000+$L108*10000+ROW(),IF('Roadmap (Auto)'!$D$3="Dev start (earliest)",IF($I108="",99999999,$I108)*10000+ROW(),IF('Roadmap (Auto)'!$D$3="UX start (earliest)",IF($G108="",99999999,$G108)*10000+ROW(),IF('Roadmap (Auto)'!$D$3="Deliverable A-Z",$W108*10000+ROW(),$L108*1000000+$M108*10000+ROW())))))</f>
      </c>
      <c r="O108" s="305">
        <f>IF($N108="","",COUNTIF($N$2:$N$151,"&lt;"&amp;$N108)+1)</f>
      </c>
      <c r="P108" s="305">
        <f>IF($B108="","",IF(COUNTA('UX + Dev'!X108)=0,"",'UX + Dev'!X108))</f>
      </c>
      <c r="Q108" s="305">
        <f>IF($B108="","",IF(COUNTA('UX + Dev'!Y108)=0,"",'UX + Dev'!Y108))</f>
      </c>
      <c r="R108" s="307">
        <f>IF($P108="","",IF(ISNUMBER($P108),DATE(YEAR($P108),MONTH($P108),1),IFERROR(DATE(IFERROR(VALUE(RIGHT(TRIM($P108),4)),YEAR(TODAY())),(SEARCH(LEFT(TRIM($P108),3),"JanFebMarAprMayJunJulAugSepOctNovDec")+2)/3,1),"")))</f>
      </c>
      <c r="S108" s="307">
        <f>IF($Q108="","",IF(ISNUMBER($Q108),DATE(YEAR($Q108),MONTH($Q108),1),IFERROR(DATE(IFERROR(VALUE(RIGHT(TRIM($Q108),4)),YEAR(TODAY())),(SEARCH(LEFT(TRIM($Q108),3),"JanFebMarAprMayJunJulAugSepOctNovDec")+2)/3,1),"")))</f>
      </c>
      <c r="T108" s="305">
        <f>IF($B108="","",COUNTA('UX + Dev'!$AB108:$DN108))</f>
      </c>
      <c r="U108" s="305">
        <f>IF($B108="","",IFERROR(MATCH($D108,Control!$E$4:$E$30,0)+3,0))</f>
      </c>
      <c r="V108" s="305">
        <f>IF($B108="","",IF(AND(OR('Roadmap (Auto)'!$A$3="",'Roadmap (Auto)'!$A$3="(All)",ISNUMBER(SEARCH('Roadmap (Auto)'!$A$3,$C108&amp;""))),OR('Roadmap (Auto)'!$B$3="",'Roadmap (Auto)'!$B$3="(All)",$D108='Roadmap (Auto)'!$B$3,$X108='Roadmap (Auto)'!$B$3),OR('Roadmap (Auto)'!$C$3="",'Roadmap (Auto)'!$C$3="(All)",$F108='Roadmap (Auto)'!$C$3)),1,0))</f>
      </c>
      <c r="W108" s="305">
        <f>IF($B108="","",COUNTIF($Y$2:$Y$151,"&lt;"&amp;$Y108)+1)</f>
      </c>
      <c r="X108" s="305">
        <f>IF($B108="","",IF(TRIM('UX + Dev'!D108)="","",TRIM('UX + Dev'!D108)))</f>
      </c>
      <c r="Y108" s="305">
        <f>IF($B108="","",SUBSTITUTE(SUBSTITUTE(SUBSTITUTE(SUBSTITUTE(SUBSTITUTE(SUBSTITUTE(SUBSTITUTE(SUBSTITUTE(SUBSTITUTE(SUBSTITUTE(SUBSTITUTE(SUBSTITUTE(SUBSTITUTE(SUBSTITUTE(SUBSTITUTE(SUBSTITUTE(SUBSTITUTE(SUBSTITUTE(SUBSTITUTE(SUBSTITUTE(SUBSTITUTE(SUBSTITUTE(SUBSTITUTE(SUBSTITUTE(SUBSTITUTE(UPPER($B108)," ",""),"-",""),":",""),"/",""),"&amp;",""),"|",""),"'",""),"’",""),"&lt;",""),"&gt;",""),",",""),"$",""),".",""),"(",""),")",""),"*",""),"?",""),"~",""),"_",""),"+",""),"#",""),";",""),"!",""),"%",""),"@",""))</f>
      </c>
      <c r="AA108">
        <f>IF($B108="",0,COUNTIFS('UX + Dev'!$AB$1:$DN$1,"&gt;="&amp;AA$1,'UX + Dev'!$AB$1:$DN$1,"&lt;="&amp;EOMONTH(AA$1,0),'UX + Dev'!$AB108:$DN108,"&lt;&gt;"))</f>
      </c>
      <c r="AB108">
        <f>IF($B108="",0,COUNTIFS('UX + Dev'!$AB$1:$DN$1,"&gt;="&amp;AB$1,'UX + Dev'!$AB$1:$DN$1,"&lt;="&amp;EOMONTH(AB$1,0),'UX + Dev'!$AB108:$DN108,"&lt;&gt;"))</f>
      </c>
      <c r="AC108">
        <f>IF($B108="",0,COUNTIFS('UX + Dev'!$AB$1:$DN$1,"&gt;="&amp;AC$1,'UX + Dev'!$AB$1:$DN$1,"&lt;="&amp;EOMONTH(AC$1,0),'UX + Dev'!$AB108:$DN108,"&lt;&gt;"))</f>
      </c>
      <c r="AD108">
        <f>IF($B108="",0,COUNTIFS('UX + Dev'!$AB$1:$DN$1,"&gt;="&amp;AD$1,'UX + Dev'!$AB$1:$DN$1,"&lt;="&amp;EOMONTH(AD$1,0),'UX + Dev'!$AB108:$DN108,"&lt;&gt;"))</f>
      </c>
      <c r="AE108">
        <f>IF($B108="",0,COUNTIFS('UX + Dev'!$AB$1:$DN$1,"&gt;="&amp;AE$1,'UX + Dev'!$AB$1:$DN$1,"&lt;="&amp;EOMONTH(AE$1,0),'UX + Dev'!$AB108:$DN108,"&lt;&gt;"))</f>
      </c>
      <c r="AF108">
        <f>IF($B108="",0,COUNTIFS('UX + Dev'!$AB$1:$DN$1,"&gt;="&amp;AF$1,'UX + Dev'!$AB$1:$DN$1,"&lt;="&amp;EOMONTH(AF$1,0),'UX + Dev'!$AB108:$DN108,"&lt;&gt;"))</f>
      </c>
      <c r="AG108">
        <f>IF($B108="",0,COUNTIFS('UX + Dev'!$AB$1:$DN$1,"&gt;="&amp;AG$1,'UX + Dev'!$AB$1:$DN$1,"&lt;="&amp;EOMONTH(AG$1,0),'UX + Dev'!$AB108:$DN108,"&lt;&gt;"))</f>
      </c>
      <c r="AH108">
        <f>IF($B108="",0,COUNTIFS('UX + Dev'!$AB$1:$DN$1,"&gt;="&amp;AH$1,'UX + Dev'!$AB$1:$DN$1,"&lt;="&amp;EOMONTH(AH$1,0),'UX + Dev'!$AB108:$DN108,"&lt;&gt;"))</f>
      </c>
      <c r="AI108">
        <f>IF($B108="",0,COUNTIFS('UX + Dev'!$AB$1:$DN$1,"&gt;="&amp;AI$1,'UX + Dev'!$AB$1:$DN$1,"&lt;="&amp;EOMONTH(AI$1,0),'UX + Dev'!$AB108:$DN108,"&lt;&gt;"))</f>
      </c>
      <c r="AJ108">
        <f>IF($B108="",0,COUNTIFS('UX + Dev'!$AB$1:$DN$1,"&gt;="&amp;AJ$1,'UX + Dev'!$AB$1:$DN$1,"&lt;="&amp;EOMONTH(AJ$1,0),'UX + Dev'!$AB108:$DN108,"&lt;&gt;"))</f>
      </c>
      <c r="AK108">
        <f>IF($B108="",0,COUNTIFS('UX + Dev'!$AB$1:$DN$1,"&gt;="&amp;AK$1,'UX + Dev'!$AB$1:$DN$1,"&lt;="&amp;EOMONTH(AK$1,0),'UX + Dev'!$AB108:$DN108,"&lt;&gt;"))</f>
      </c>
      <c r="AL108">
        <f>IF($B108="",0,COUNTIFS('UX + Dev'!$AB$1:$DN$1,"&gt;="&amp;AL$1,'UX + Dev'!$AB$1:$DN$1,"&lt;="&amp;EOMONTH(AL$1,0),'UX + Dev'!$AB108:$DN108,"&lt;&gt;"))</f>
      </c>
      <c r="AM108">
        <f>IF($B108="",0,COUNTIFS('UX + Dev'!$AB$1:$DN$1,"&gt;="&amp;AM$1,'UX + Dev'!$AB$1:$DN$1,"&lt;="&amp;EOMONTH(AM$1,0),'UX + Dev'!$AB108:$DN108,"&lt;&gt;"))</f>
      </c>
      <c r="AN108">
        <f>IF($B108="",0,COUNTIFS('UX + Dev'!$AB$1:$DN$1,"&gt;="&amp;AN$1,'UX + Dev'!$AB$1:$DN$1,"&lt;="&amp;EOMONTH(AN$1,0),'UX + Dev'!$AB108:$DN108,"&lt;&gt;"))</f>
      </c>
      <c r="AO108">
        <f>IF($B108="",0,COUNTIFS('UX + Dev'!$AB$1:$DN$1,"&gt;="&amp;AO$1,'UX + Dev'!$AB$1:$DN$1,"&lt;="&amp;EOMONTH(AO$1,0),'UX + Dev'!$AB108:$DN108,"&lt;&gt;"))</f>
      </c>
      <c r="AP108">
        <f>IF($B108="",0,COUNTIFS('UX + Dev'!$AB$1:$DN$1,"&gt;="&amp;AP$1,'UX + Dev'!$AB$1:$DN$1,"&lt;="&amp;EOMONTH(AP$1,0),'UX + Dev'!$AB108:$DN108,"&lt;&gt;"))</f>
      </c>
      <c r="AQ108">
        <f>IF($B108="",0,COUNTIFS('UX + Dev'!$AB$1:$DN$1,"&gt;="&amp;AQ$1,'UX + Dev'!$AB$1:$DN$1,"&lt;="&amp;EOMONTH(AQ$1,0),'UX + Dev'!$AB108:$DN108,"&lt;&gt;"))</f>
      </c>
      <c r="AR108">
        <f>IF($B108="",0,COUNTIFS('UX + Dev'!$AB$1:$DN$1,"&gt;="&amp;AR$1,'UX + Dev'!$AB$1:$DN$1,"&lt;="&amp;EOMONTH(AR$1,0),'UX + Dev'!$AB108:$DN108,"&lt;&gt;"))</f>
      </c>
      <c r="AS108">
        <f>IF($B108="",0,COUNTIFS('UX + Dev'!$AB$1:$DN$1,"&gt;="&amp;AS$1,'UX + Dev'!$AB$1:$DN$1,"&lt;="&amp;EOMONTH(AS$1,0),'UX + Dev'!$AB108:$DN108,"&lt;&gt;"))</f>
      </c>
      <c r="AT108">
        <f>IF($B108="",0,COUNTIFS('UX + Dev'!$AB$1:$DN$1,"&gt;="&amp;AT$1,'UX + Dev'!$AB$1:$DN$1,"&lt;="&amp;EOMONTH(AT$1,0),'UX + Dev'!$AB108:$DN108,"&lt;&gt;"))</f>
      </c>
      <c r="AU108">
        <f>IF($B108="",0,COUNTIFS('UX + Dev'!$AB$1:$DN$1,"&gt;="&amp;AU$1,'UX + Dev'!$AB$1:$DN$1,"&lt;="&amp;EOMONTH(AU$1,0),'UX + Dev'!$AB108:$DN108,"&lt;&gt;"))</f>
      </c>
      <c r="AV108">
        <f>IF($B108="",0,COUNTIFS('UX + Dev'!$AB$1:$DN$1,"&gt;="&amp;AV$1,'UX + Dev'!$AB$1:$DN$1,"&lt;="&amp;EOMONTH(AV$1,0),'UX + Dev'!$AB108:$DN108,"&lt;&gt;"))</f>
      </c>
      <c r="AW108">
        <f>IF($B108="",0,COUNTIFS('UX + Dev'!$AB$1:$DN$1,"&gt;="&amp;AW$1,'UX + Dev'!$AB$1:$DN$1,"&lt;="&amp;EOMONTH(AW$1,0),'UX + Dev'!$AB108:$DN108,"&lt;&gt;"))</f>
      </c>
      <c r="AX108">
        <f>IF($B108="",0,COUNTIFS('UX + Dev'!$AB$1:$DN$1,"&gt;="&amp;AX$1,'UX + Dev'!$AB$1:$DN$1,"&lt;="&amp;EOMONTH(AX$1,0),'UX + Dev'!$AB108:$DN108,"&lt;&gt;"))</f>
      </c>
      <c r="BB108" s="308">
        <f>IF($B108="","",IF(COUNTA('UX + Dev'!U108)&gt;0,DATE(YEAR('UX + Dev'!U108),MONTH('UX + Dev'!U108),1),IF(COUNTA('UX + Dev'!V108)&gt;0,DATE(YEAR('UX + Dev'!V108),MONTH('UX + Dev'!V108),1),"")))</f>
      </c>
      <c r="BC108" s="308">
        <f>IF($B108="","",IF(COUNTA('UX + Dev'!V108)&gt;0,EOMONTH('UX + Dev'!V108,0),IF(COUNTA('UX + Dev'!U108)&gt;0,EOMONTH('UX + Dev'!U108,0),"")))</f>
      </c>
    </row>
    <row r="109">
      <c r="A109" s="305" t="n">
        <v>109</v>
      </c>
      <c r="B109" s="305">
        <f>IF(TRIM('UX + Dev'!E109)="","",TRIM('UX + Dev'!E109))</f>
      </c>
      <c r="C109" s="305">
        <f>IF($B109="","",'UX + Dev'!B109)</f>
      </c>
      <c r="D109" s="305">
        <f>IF($B109="","",IF(TRIM('UX + Dev'!C109)="","(No theme assigned)",TRIM('UX + Dev'!C109)))</f>
      </c>
      <c r="E109" s="305">
        <f>IF($B109="","",TRIM('UX + Dev'!F109))</f>
      </c>
      <c r="F109" s="305">
        <f>IF($B109="","",'UX + Dev'!G109)</f>
      </c>
      <c r="G109" s="306">
        <f t="array" ref="G109">IF($B109="","",IF($T109=0,"",IFERROR(MIN(IF('UX + Dev'!$AB109:$DN109&lt;&gt;"",'UX + Dev'!$AB$1:$DN$1)),"")))</f>
      </c>
      <c r="H109" s="306">
        <f t="array" ref="H109">IF($B109="","",IF($T109=0,"",IFERROR(MAX(IF('UX + Dev'!$AB109:$DN109&lt;&gt;"",'UX + Dev'!$AB$1:$DN$1)),"")))</f>
      </c>
      <c r="I109" s="307">
        <f>IF($R109&lt;&gt;"",$R109,IF($S109&lt;&gt;"",$S109,""))</f>
      </c>
      <c r="J109" s="307">
        <f>IF($S109&lt;&gt;"",EOMONTH($S109,0),IF($R109&lt;&gt;"",EOMONTH($R109,0),""))</f>
      </c>
      <c r="K109" s="305">
        <f>IF($B109="","",IF(COUNTA('UX + Dev'!AA109)=0,"",TRIM('UX + Dev'!AA109)))</f>
      </c>
      <c r="L109" s="305">
        <f>IF($B109="","",IFERROR(MATCH($D109,Control!$E$4:$E$30,0),99))</f>
      </c>
      <c r="M109" s="305">
        <f>IF($B109="","",IFERROR(MATCH($F109,Control!$B$4:$B$30,0),99))</f>
      </c>
      <c r="N109" s="305">
        <f>IF($V109&lt;&gt;1,"",IF('Roadmap (Auto)'!$D$3="Status, then Theme",$M109*1000000+$L109*10000+ROW(),IF('Roadmap (Auto)'!$D$3="Dev start (earliest)",IF($I109="",99999999,$I109)*10000+ROW(),IF('Roadmap (Auto)'!$D$3="UX start (earliest)",IF($G109="",99999999,$G109)*10000+ROW(),IF('Roadmap (Auto)'!$D$3="Deliverable A-Z",$W109*10000+ROW(),$L109*1000000+$M109*10000+ROW())))))</f>
      </c>
      <c r="O109" s="305">
        <f>IF($N109="","",COUNTIF($N$2:$N$151,"&lt;"&amp;$N109)+1)</f>
      </c>
      <c r="P109" s="305">
        <f>IF($B109="","",IF(COUNTA('UX + Dev'!X109)=0,"",'UX + Dev'!X109))</f>
      </c>
      <c r="Q109" s="305">
        <f>IF($B109="","",IF(COUNTA('UX + Dev'!Y109)=0,"",'UX + Dev'!Y109))</f>
      </c>
      <c r="R109" s="307">
        <f>IF($P109="","",IF(ISNUMBER($P109),DATE(YEAR($P109),MONTH($P109),1),IFERROR(DATE(IFERROR(VALUE(RIGHT(TRIM($P109),4)),YEAR(TODAY())),(SEARCH(LEFT(TRIM($P109),3),"JanFebMarAprMayJunJulAugSepOctNovDec")+2)/3,1),"")))</f>
      </c>
      <c r="S109" s="307">
        <f>IF($Q109="","",IF(ISNUMBER($Q109),DATE(YEAR($Q109),MONTH($Q109),1),IFERROR(DATE(IFERROR(VALUE(RIGHT(TRIM($Q109),4)),YEAR(TODAY())),(SEARCH(LEFT(TRIM($Q109),3),"JanFebMarAprMayJunJulAugSepOctNovDec")+2)/3,1),"")))</f>
      </c>
      <c r="T109" s="305">
        <f>IF($B109="","",COUNTA('UX + Dev'!$AB109:$DN109))</f>
      </c>
      <c r="U109" s="305">
        <f>IF($B109="","",IFERROR(MATCH($D109,Control!$E$4:$E$30,0)+3,0))</f>
      </c>
      <c r="V109" s="305">
        <f>IF($B109="","",IF(AND(OR('Roadmap (Auto)'!$A$3="",'Roadmap (Auto)'!$A$3="(All)",ISNUMBER(SEARCH('Roadmap (Auto)'!$A$3,$C109&amp;""))),OR('Roadmap (Auto)'!$B$3="",'Roadmap (Auto)'!$B$3="(All)",$D109='Roadmap (Auto)'!$B$3,$X109='Roadmap (Auto)'!$B$3),OR('Roadmap (Auto)'!$C$3="",'Roadmap (Auto)'!$C$3="(All)",$F109='Roadmap (Auto)'!$C$3)),1,0))</f>
      </c>
      <c r="W109" s="305">
        <f>IF($B109="","",COUNTIF($Y$2:$Y$151,"&lt;"&amp;$Y109)+1)</f>
      </c>
      <c r="X109" s="305">
        <f>IF($B109="","",IF(TRIM('UX + Dev'!D109)="","",TRIM('UX + Dev'!D109)))</f>
      </c>
      <c r="Y109" s="305">
        <f>IF($B109="","",SUBSTITUTE(SUBSTITUTE(SUBSTITUTE(SUBSTITUTE(SUBSTITUTE(SUBSTITUTE(SUBSTITUTE(SUBSTITUTE(SUBSTITUTE(SUBSTITUTE(SUBSTITUTE(SUBSTITUTE(SUBSTITUTE(SUBSTITUTE(SUBSTITUTE(SUBSTITUTE(SUBSTITUTE(SUBSTITUTE(SUBSTITUTE(SUBSTITUTE(SUBSTITUTE(SUBSTITUTE(SUBSTITUTE(SUBSTITUTE(SUBSTITUTE(UPPER($B109)," ",""),"-",""),":",""),"/",""),"&amp;",""),"|",""),"'",""),"’",""),"&lt;",""),"&gt;",""),",",""),"$",""),".",""),"(",""),")",""),"*",""),"?",""),"~",""),"_",""),"+",""),"#",""),";",""),"!",""),"%",""),"@",""))</f>
      </c>
      <c r="AA109">
        <f>IF($B109="",0,COUNTIFS('UX + Dev'!$AB$1:$DN$1,"&gt;="&amp;AA$1,'UX + Dev'!$AB$1:$DN$1,"&lt;="&amp;EOMONTH(AA$1,0),'UX + Dev'!$AB109:$DN109,"&lt;&gt;"))</f>
      </c>
      <c r="AB109">
        <f>IF($B109="",0,COUNTIFS('UX + Dev'!$AB$1:$DN$1,"&gt;="&amp;AB$1,'UX + Dev'!$AB$1:$DN$1,"&lt;="&amp;EOMONTH(AB$1,0),'UX + Dev'!$AB109:$DN109,"&lt;&gt;"))</f>
      </c>
      <c r="AC109">
        <f>IF($B109="",0,COUNTIFS('UX + Dev'!$AB$1:$DN$1,"&gt;="&amp;AC$1,'UX + Dev'!$AB$1:$DN$1,"&lt;="&amp;EOMONTH(AC$1,0),'UX + Dev'!$AB109:$DN109,"&lt;&gt;"))</f>
      </c>
      <c r="AD109">
        <f>IF($B109="",0,COUNTIFS('UX + Dev'!$AB$1:$DN$1,"&gt;="&amp;AD$1,'UX + Dev'!$AB$1:$DN$1,"&lt;="&amp;EOMONTH(AD$1,0),'UX + Dev'!$AB109:$DN109,"&lt;&gt;"))</f>
      </c>
      <c r="AE109">
        <f>IF($B109="",0,COUNTIFS('UX + Dev'!$AB$1:$DN$1,"&gt;="&amp;AE$1,'UX + Dev'!$AB$1:$DN$1,"&lt;="&amp;EOMONTH(AE$1,0),'UX + Dev'!$AB109:$DN109,"&lt;&gt;"))</f>
      </c>
      <c r="AF109">
        <f>IF($B109="",0,COUNTIFS('UX + Dev'!$AB$1:$DN$1,"&gt;="&amp;AF$1,'UX + Dev'!$AB$1:$DN$1,"&lt;="&amp;EOMONTH(AF$1,0),'UX + Dev'!$AB109:$DN109,"&lt;&gt;"))</f>
      </c>
      <c r="AG109">
        <f>IF($B109="",0,COUNTIFS('UX + Dev'!$AB$1:$DN$1,"&gt;="&amp;AG$1,'UX + Dev'!$AB$1:$DN$1,"&lt;="&amp;EOMONTH(AG$1,0),'UX + Dev'!$AB109:$DN109,"&lt;&gt;"))</f>
      </c>
      <c r="AH109">
        <f>IF($B109="",0,COUNTIFS('UX + Dev'!$AB$1:$DN$1,"&gt;="&amp;AH$1,'UX + Dev'!$AB$1:$DN$1,"&lt;="&amp;EOMONTH(AH$1,0),'UX + Dev'!$AB109:$DN109,"&lt;&gt;"))</f>
      </c>
      <c r="AI109">
        <f>IF($B109="",0,COUNTIFS('UX + Dev'!$AB$1:$DN$1,"&gt;="&amp;AI$1,'UX + Dev'!$AB$1:$DN$1,"&lt;="&amp;EOMONTH(AI$1,0),'UX + Dev'!$AB109:$DN109,"&lt;&gt;"))</f>
      </c>
      <c r="AJ109">
        <f>IF($B109="",0,COUNTIFS('UX + Dev'!$AB$1:$DN$1,"&gt;="&amp;AJ$1,'UX + Dev'!$AB$1:$DN$1,"&lt;="&amp;EOMONTH(AJ$1,0),'UX + Dev'!$AB109:$DN109,"&lt;&gt;"))</f>
      </c>
      <c r="AK109">
        <f>IF($B109="",0,COUNTIFS('UX + Dev'!$AB$1:$DN$1,"&gt;="&amp;AK$1,'UX + Dev'!$AB$1:$DN$1,"&lt;="&amp;EOMONTH(AK$1,0),'UX + Dev'!$AB109:$DN109,"&lt;&gt;"))</f>
      </c>
      <c r="AL109">
        <f>IF($B109="",0,COUNTIFS('UX + Dev'!$AB$1:$DN$1,"&gt;="&amp;AL$1,'UX + Dev'!$AB$1:$DN$1,"&lt;="&amp;EOMONTH(AL$1,0),'UX + Dev'!$AB109:$DN109,"&lt;&gt;"))</f>
      </c>
      <c r="AM109">
        <f>IF($B109="",0,COUNTIFS('UX + Dev'!$AB$1:$DN$1,"&gt;="&amp;AM$1,'UX + Dev'!$AB$1:$DN$1,"&lt;="&amp;EOMONTH(AM$1,0),'UX + Dev'!$AB109:$DN109,"&lt;&gt;"))</f>
      </c>
      <c r="AN109">
        <f>IF($B109="",0,COUNTIFS('UX + Dev'!$AB$1:$DN$1,"&gt;="&amp;AN$1,'UX + Dev'!$AB$1:$DN$1,"&lt;="&amp;EOMONTH(AN$1,0),'UX + Dev'!$AB109:$DN109,"&lt;&gt;"))</f>
      </c>
      <c r="AO109">
        <f>IF($B109="",0,COUNTIFS('UX + Dev'!$AB$1:$DN$1,"&gt;="&amp;AO$1,'UX + Dev'!$AB$1:$DN$1,"&lt;="&amp;EOMONTH(AO$1,0),'UX + Dev'!$AB109:$DN109,"&lt;&gt;"))</f>
      </c>
      <c r="AP109">
        <f>IF($B109="",0,COUNTIFS('UX + Dev'!$AB$1:$DN$1,"&gt;="&amp;AP$1,'UX + Dev'!$AB$1:$DN$1,"&lt;="&amp;EOMONTH(AP$1,0),'UX + Dev'!$AB109:$DN109,"&lt;&gt;"))</f>
      </c>
      <c r="AQ109">
        <f>IF($B109="",0,COUNTIFS('UX + Dev'!$AB$1:$DN$1,"&gt;="&amp;AQ$1,'UX + Dev'!$AB$1:$DN$1,"&lt;="&amp;EOMONTH(AQ$1,0),'UX + Dev'!$AB109:$DN109,"&lt;&gt;"))</f>
      </c>
      <c r="AR109">
        <f>IF($B109="",0,COUNTIFS('UX + Dev'!$AB$1:$DN$1,"&gt;="&amp;AR$1,'UX + Dev'!$AB$1:$DN$1,"&lt;="&amp;EOMONTH(AR$1,0),'UX + Dev'!$AB109:$DN109,"&lt;&gt;"))</f>
      </c>
      <c r="AS109">
        <f>IF($B109="",0,COUNTIFS('UX + Dev'!$AB$1:$DN$1,"&gt;="&amp;AS$1,'UX + Dev'!$AB$1:$DN$1,"&lt;="&amp;EOMONTH(AS$1,0),'UX + Dev'!$AB109:$DN109,"&lt;&gt;"))</f>
      </c>
      <c r="AT109">
        <f>IF($B109="",0,COUNTIFS('UX + Dev'!$AB$1:$DN$1,"&gt;="&amp;AT$1,'UX + Dev'!$AB$1:$DN$1,"&lt;="&amp;EOMONTH(AT$1,0),'UX + Dev'!$AB109:$DN109,"&lt;&gt;"))</f>
      </c>
      <c r="AU109">
        <f>IF($B109="",0,COUNTIFS('UX + Dev'!$AB$1:$DN$1,"&gt;="&amp;AU$1,'UX + Dev'!$AB$1:$DN$1,"&lt;="&amp;EOMONTH(AU$1,0),'UX + Dev'!$AB109:$DN109,"&lt;&gt;"))</f>
      </c>
      <c r="AV109">
        <f>IF($B109="",0,COUNTIFS('UX + Dev'!$AB$1:$DN$1,"&gt;="&amp;AV$1,'UX + Dev'!$AB$1:$DN$1,"&lt;="&amp;EOMONTH(AV$1,0),'UX + Dev'!$AB109:$DN109,"&lt;&gt;"))</f>
      </c>
      <c r="AW109">
        <f>IF($B109="",0,COUNTIFS('UX + Dev'!$AB$1:$DN$1,"&gt;="&amp;AW$1,'UX + Dev'!$AB$1:$DN$1,"&lt;="&amp;EOMONTH(AW$1,0),'UX + Dev'!$AB109:$DN109,"&lt;&gt;"))</f>
      </c>
      <c r="AX109">
        <f>IF($B109="",0,COUNTIFS('UX + Dev'!$AB$1:$DN$1,"&gt;="&amp;AX$1,'UX + Dev'!$AB$1:$DN$1,"&lt;="&amp;EOMONTH(AX$1,0),'UX + Dev'!$AB109:$DN109,"&lt;&gt;"))</f>
      </c>
      <c r="BB109" s="308">
        <f>IF($B109="","",IF(COUNTA('UX + Dev'!U109)&gt;0,DATE(YEAR('UX + Dev'!U109),MONTH('UX + Dev'!U109),1),IF(COUNTA('UX + Dev'!V109)&gt;0,DATE(YEAR('UX + Dev'!V109),MONTH('UX + Dev'!V109),1),"")))</f>
      </c>
      <c r="BC109" s="308">
        <f>IF($B109="","",IF(COUNTA('UX + Dev'!V109)&gt;0,EOMONTH('UX + Dev'!V109,0),IF(COUNTA('UX + Dev'!U109)&gt;0,EOMONTH('UX + Dev'!U109,0),"")))</f>
      </c>
    </row>
    <row r="110">
      <c r="A110" s="305" t="n">
        <v>110</v>
      </c>
      <c r="B110" s="305">
        <f>IF(TRIM('UX + Dev'!E110)="","",TRIM('UX + Dev'!E110))</f>
      </c>
      <c r="C110" s="305">
        <f>IF($B110="","",'UX + Dev'!B110)</f>
      </c>
      <c r="D110" s="305">
        <f>IF($B110="","",IF(TRIM('UX + Dev'!C110)="","(No theme assigned)",TRIM('UX + Dev'!C110)))</f>
      </c>
      <c r="E110" s="305">
        <f>IF($B110="","",TRIM('UX + Dev'!F110))</f>
      </c>
      <c r="F110" s="305">
        <f>IF($B110="","",'UX + Dev'!G110)</f>
      </c>
      <c r="G110" s="306">
        <f t="array" ref="G110">IF($B110="","",IF($T110=0,"",IFERROR(MIN(IF('UX + Dev'!$AB110:$DN110&lt;&gt;"",'UX + Dev'!$AB$1:$DN$1)),"")))</f>
      </c>
      <c r="H110" s="306">
        <f t="array" ref="H110">IF($B110="","",IF($T110=0,"",IFERROR(MAX(IF('UX + Dev'!$AB110:$DN110&lt;&gt;"",'UX + Dev'!$AB$1:$DN$1)),"")))</f>
      </c>
      <c r="I110" s="307">
        <f>IF($R110&lt;&gt;"",$R110,IF($S110&lt;&gt;"",$S110,""))</f>
      </c>
      <c r="J110" s="307">
        <f>IF($S110&lt;&gt;"",EOMONTH($S110,0),IF($R110&lt;&gt;"",EOMONTH($R110,0),""))</f>
      </c>
      <c r="K110" s="305">
        <f>IF($B110="","",IF(COUNTA('UX + Dev'!AA110)=0,"",TRIM('UX + Dev'!AA110)))</f>
      </c>
      <c r="L110" s="305">
        <f>IF($B110="","",IFERROR(MATCH($D110,Control!$E$4:$E$30,0),99))</f>
      </c>
      <c r="M110" s="305">
        <f>IF($B110="","",IFERROR(MATCH($F110,Control!$B$4:$B$30,0),99))</f>
      </c>
      <c r="N110" s="305">
        <f>IF($V110&lt;&gt;1,"",IF('Roadmap (Auto)'!$D$3="Status, then Theme",$M110*1000000+$L110*10000+ROW(),IF('Roadmap (Auto)'!$D$3="Dev start (earliest)",IF($I110="",99999999,$I110)*10000+ROW(),IF('Roadmap (Auto)'!$D$3="UX start (earliest)",IF($G110="",99999999,$G110)*10000+ROW(),IF('Roadmap (Auto)'!$D$3="Deliverable A-Z",$W110*10000+ROW(),$L110*1000000+$M110*10000+ROW())))))</f>
      </c>
      <c r="O110" s="305">
        <f>IF($N110="","",COUNTIF($N$2:$N$151,"&lt;"&amp;$N110)+1)</f>
      </c>
      <c r="P110" s="305">
        <f>IF($B110="","",IF(COUNTA('UX + Dev'!X110)=0,"",'UX + Dev'!X110))</f>
      </c>
      <c r="Q110" s="305">
        <f>IF($B110="","",IF(COUNTA('UX + Dev'!Y110)=0,"",'UX + Dev'!Y110))</f>
      </c>
      <c r="R110" s="307">
        <f>IF($P110="","",IF(ISNUMBER($P110),DATE(YEAR($P110),MONTH($P110),1),IFERROR(DATE(IFERROR(VALUE(RIGHT(TRIM($P110),4)),YEAR(TODAY())),(SEARCH(LEFT(TRIM($P110),3),"JanFebMarAprMayJunJulAugSepOctNovDec")+2)/3,1),"")))</f>
      </c>
      <c r="S110" s="307">
        <f>IF($Q110="","",IF(ISNUMBER($Q110),DATE(YEAR($Q110),MONTH($Q110),1),IFERROR(DATE(IFERROR(VALUE(RIGHT(TRIM($Q110),4)),YEAR(TODAY())),(SEARCH(LEFT(TRIM($Q110),3),"JanFebMarAprMayJunJulAugSepOctNovDec")+2)/3,1),"")))</f>
      </c>
      <c r="T110" s="305">
        <f>IF($B110="","",COUNTA('UX + Dev'!$AB110:$DN110))</f>
      </c>
      <c r="U110" s="305">
        <f>IF($B110="","",IFERROR(MATCH($D110,Control!$E$4:$E$30,0)+3,0))</f>
      </c>
      <c r="V110" s="305">
        <f>IF($B110="","",IF(AND(OR('Roadmap (Auto)'!$A$3="",'Roadmap (Auto)'!$A$3="(All)",ISNUMBER(SEARCH('Roadmap (Auto)'!$A$3,$C110&amp;""))),OR('Roadmap (Auto)'!$B$3="",'Roadmap (Auto)'!$B$3="(All)",$D110='Roadmap (Auto)'!$B$3,$X110='Roadmap (Auto)'!$B$3),OR('Roadmap (Auto)'!$C$3="",'Roadmap (Auto)'!$C$3="(All)",$F110='Roadmap (Auto)'!$C$3)),1,0))</f>
      </c>
      <c r="W110" s="305">
        <f>IF($B110="","",COUNTIF($Y$2:$Y$151,"&lt;"&amp;$Y110)+1)</f>
      </c>
      <c r="X110" s="305">
        <f>IF($B110="","",IF(TRIM('UX + Dev'!D110)="","",TRIM('UX + Dev'!D110)))</f>
      </c>
      <c r="Y110" s="305">
        <f>IF($B110="","",SUBSTITUTE(SUBSTITUTE(SUBSTITUTE(SUBSTITUTE(SUBSTITUTE(SUBSTITUTE(SUBSTITUTE(SUBSTITUTE(SUBSTITUTE(SUBSTITUTE(SUBSTITUTE(SUBSTITUTE(SUBSTITUTE(SUBSTITUTE(SUBSTITUTE(SUBSTITUTE(SUBSTITUTE(SUBSTITUTE(SUBSTITUTE(SUBSTITUTE(SUBSTITUTE(SUBSTITUTE(SUBSTITUTE(SUBSTITUTE(SUBSTITUTE(UPPER($B110)," ",""),"-",""),":",""),"/",""),"&amp;",""),"|",""),"'",""),"’",""),"&lt;",""),"&gt;",""),",",""),"$",""),".",""),"(",""),")",""),"*",""),"?",""),"~",""),"_",""),"+",""),"#",""),";",""),"!",""),"%",""),"@",""))</f>
      </c>
      <c r="AA110">
        <f>IF($B110="",0,COUNTIFS('UX + Dev'!$AB$1:$DN$1,"&gt;="&amp;AA$1,'UX + Dev'!$AB$1:$DN$1,"&lt;="&amp;EOMONTH(AA$1,0),'UX + Dev'!$AB110:$DN110,"&lt;&gt;"))</f>
      </c>
      <c r="AB110">
        <f>IF($B110="",0,COUNTIFS('UX + Dev'!$AB$1:$DN$1,"&gt;="&amp;AB$1,'UX + Dev'!$AB$1:$DN$1,"&lt;="&amp;EOMONTH(AB$1,0),'UX + Dev'!$AB110:$DN110,"&lt;&gt;"))</f>
      </c>
      <c r="AC110">
        <f>IF($B110="",0,COUNTIFS('UX + Dev'!$AB$1:$DN$1,"&gt;="&amp;AC$1,'UX + Dev'!$AB$1:$DN$1,"&lt;="&amp;EOMONTH(AC$1,0),'UX + Dev'!$AB110:$DN110,"&lt;&gt;"))</f>
      </c>
      <c r="AD110">
        <f>IF($B110="",0,COUNTIFS('UX + Dev'!$AB$1:$DN$1,"&gt;="&amp;AD$1,'UX + Dev'!$AB$1:$DN$1,"&lt;="&amp;EOMONTH(AD$1,0),'UX + Dev'!$AB110:$DN110,"&lt;&gt;"))</f>
      </c>
      <c r="AE110">
        <f>IF($B110="",0,COUNTIFS('UX + Dev'!$AB$1:$DN$1,"&gt;="&amp;AE$1,'UX + Dev'!$AB$1:$DN$1,"&lt;="&amp;EOMONTH(AE$1,0),'UX + Dev'!$AB110:$DN110,"&lt;&gt;"))</f>
      </c>
      <c r="AF110">
        <f>IF($B110="",0,COUNTIFS('UX + Dev'!$AB$1:$DN$1,"&gt;="&amp;AF$1,'UX + Dev'!$AB$1:$DN$1,"&lt;="&amp;EOMONTH(AF$1,0),'UX + Dev'!$AB110:$DN110,"&lt;&gt;"))</f>
      </c>
      <c r="AG110">
        <f>IF($B110="",0,COUNTIFS('UX + Dev'!$AB$1:$DN$1,"&gt;="&amp;AG$1,'UX + Dev'!$AB$1:$DN$1,"&lt;="&amp;EOMONTH(AG$1,0),'UX + Dev'!$AB110:$DN110,"&lt;&gt;"))</f>
      </c>
      <c r="AH110">
        <f>IF($B110="",0,COUNTIFS('UX + Dev'!$AB$1:$DN$1,"&gt;="&amp;AH$1,'UX + Dev'!$AB$1:$DN$1,"&lt;="&amp;EOMONTH(AH$1,0),'UX + Dev'!$AB110:$DN110,"&lt;&gt;"))</f>
      </c>
      <c r="AI110">
        <f>IF($B110="",0,COUNTIFS('UX + Dev'!$AB$1:$DN$1,"&gt;="&amp;AI$1,'UX + Dev'!$AB$1:$DN$1,"&lt;="&amp;EOMONTH(AI$1,0),'UX + Dev'!$AB110:$DN110,"&lt;&gt;"))</f>
      </c>
      <c r="AJ110">
        <f>IF($B110="",0,COUNTIFS('UX + Dev'!$AB$1:$DN$1,"&gt;="&amp;AJ$1,'UX + Dev'!$AB$1:$DN$1,"&lt;="&amp;EOMONTH(AJ$1,0),'UX + Dev'!$AB110:$DN110,"&lt;&gt;"))</f>
      </c>
      <c r="AK110">
        <f>IF($B110="",0,COUNTIFS('UX + Dev'!$AB$1:$DN$1,"&gt;="&amp;AK$1,'UX + Dev'!$AB$1:$DN$1,"&lt;="&amp;EOMONTH(AK$1,0),'UX + Dev'!$AB110:$DN110,"&lt;&gt;"))</f>
      </c>
      <c r="AL110">
        <f>IF($B110="",0,COUNTIFS('UX + Dev'!$AB$1:$DN$1,"&gt;="&amp;AL$1,'UX + Dev'!$AB$1:$DN$1,"&lt;="&amp;EOMONTH(AL$1,0),'UX + Dev'!$AB110:$DN110,"&lt;&gt;"))</f>
      </c>
      <c r="AM110">
        <f>IF($B110="",0,COUNTIFS('UX + Dev'!$AB$1:$DN$1,"&gt;="&amp;AM$1,'UX + Dev'!$AB$1:$DN$1,"&lt;="&amp;EOMONTH(AM$1,0),'UX + Dev'!$AB110:$DN110,"&lt;&gt;"))</f>
      </c>
      <c r="AN110">
        <f>IF($B110="",0,COUNTIFS('UX + Dev'!$AB$1:$DN$1,"&gt;="&amp;AN$1,'UX + Dev'!$AB$1:$DN$1,"&lt;="&amp;EOMONTH(AN$1,0),'UX + Dev'!$AB110:$DN110,"&lt;&gt;"))</f>
      </c>
      <c r="AO110">
        <f>IF($B110="",0,COUNTIFS('UX + Dev'!$AB$1:$DN$1,"&gt;="&amp;AO$1,'UX + Dev'!$AB$1:$DN$1,"&lt;="&amp;EOMONTH(AO$1,0),'UX + Dev'!$AB110:$DN110,"&lt;&gt;"))</f>
      </c>
      <c r="AP110">
        <f>IF($B110="",0,COUNTIFS('UX + Dev'!$AB$1:$DN$1,"&gt;="&amp;AP$1,'UX + Dev'!$AB$1:$DN$1,"&lt;="&amp;EOMONTH(AP$1,0),'UX + Dev'!$AB110:$DN110,"&lt;&gt;"))</f>
      </c>
      <c r="AQ110">
        <f>IF($B110="",0,COUNTIFS('UX + Dev'!$AB$1:$DN$1,"&gt;="&amp;AQ$1,'UX + Dev'!$AB$1:$DN$1,"&lt;="&amp;EOMONTH(AQ$1,0),'UX + Dev'!$AB110:$DN110,"&lt;&gt;"))</f>
      </c>
      <c r="AR110">
        <f>IF($B110="",0,COUNTIFS('UX + Dev'!$AB$1:$DN$1,"&gt;="&amp;AR$1,'UX + Dev'!$AB$1:$DN$1,"&lt;="&amp;EOMONTH(AR$1,0),'UX + Dev'!$AB110:$DN110,"&lt;&gt;"))</f>
      </c>
      <c r="AS110">
        <f>IF($B110="",0,COUNTIFS('UX + Dev'!$AB$1:$DN$1,"&gt;="&amp;AS$1,'UX + Dev'!$AB$1:$DN$1,"&lt;="&amp;EOMONTH(AS$1,0),'UX + Dev'!$AB110:$DN110,"&lt;&gt;"))</f>
      </c>
      <c r="AT110">
        <f>IF($B110="",0,COUNTIFS('UX + Dev'!$AB$1:$DN$1,"&gt;="&amp;AT$1,'UX + Dev'!$AB$1:$DN$1,"&lt;="&amp;EOMONTH(AT$1,0),'UX + Dev'!$AB110:$DN110,"&lt;&gt;"))</f>
      </c>
      <c r="AU110">
        <f>IF($B110="",0,COUNTIFS('UX + Dev'!$AB$1:$DN$1,"&gt;="&amp;AU$1,'UX + Dev'!$AB$1:$DN$1,"&lt;="&amp;EOMONTH(AU$1,0),'UX + Dev'!$AB110:$DN110,"&lt;&gt;"))</f>
      </c>
      <c r="AV110">
        <f>IF($B110="",0,COUNTIFS('UX + Dev'!$AB$1:$DN$1,"&gt;="&amp;AV$1,'UX + Dev'!$AB$1:$DN$1,"&lt;="&amp;EOMONTH(AV$1,0),'UX + Dev'!$AB110:$DN110,"&lt;&gt;"))</f>
      </c>
      <c r="AW110">
        <f>IF($B110="",0,COUNTIFS('UX + Dev'!$AB$1:$DN$1,"&gt;="&amp;AW$1,'UX + Dev'!$AB$1:$DN$1,"&lt;="&amp;EOMONTH(AW$1,0),'UX + Dev'!$AB110:$DN110,"&lt;&gt;"))</f>
      </c>
      <c r="AX110">
        <f>IF($B110="",0,COUNTIFS('UX + Dev'!$AB$1:$DN$1,"&gt;="&amp;AX$1,'UX + Dev'!$AB$1:$DN$1,"&lt;="&amp;EOMONTH(AX$1,0),'UX + Dev'!$AB110:$DN110,"&lt;&gt;"))</f>
      </c>
      <c r="BB110" s="308">
        <f>IF($B110="","",IF(COUNTA('UX + Dev'!U110)&gt;0,DATE(YEAR('UX + Dev'!U110),MONTH('UX + Dev'!U110),1),IF(COUNTA('UX + Dev'!V110)&gt;0,DATE(YEAR('UX + Dev'!V110),MONTH('UX + Dev'!V110),1),"")))</f>
      </c>
      <c r="BC110" s="308">
        <f>IF($B110="","",IF(COUNTA('UX + Dev'!V110)&gt;0,EOMONTH('UX + Dev'!V110,0),IF(COUNTA('UX + Dev'!U110)&gt;0,EOMONTH('UX + Dev'!U110,0),"")))</f>
      </c>
    </row>
    <row r="111">
      <c r="A111" s="305" t="n">
        <v>111</v>
      </c>
      <c r="B111" s="305">
        <f>IF(TRIM('UX + Dev'!E111)="","",TRIM('UX + Dev'!E111))</f>
      </c>
      <c r="C111" s="305">
        <f>IF($B111="","",'UX + Dev'!B111)</f>
      </c>
      <c r="D111" s="305">
        <f>IF($B111="","",IF(TRIM('UX + Dev'!C111)="","(No theme assigned)",TRIM('UX + Dev'!C111)))</f>
      </c>
      <c r="E111" s="305">
        <f>IF($B111="","",TRIM('UX + Dev'!F111))</f>
      </c>
      <c r="F111" s="305">
        <f>IF($B111="","",'UX + Dev'!G111)</f>
      </c>
      <c r="G111" s="306">
        <f t="array" ref="G111">IF($B111="","",IF($T111=0,"",IFERROR(MIN(IF('UX + Dev'!$AB111:$DN111&lt;&gt;"",'UX + Dev'!$AB$1:$DN$1)),"")))</f>
      </c>
      <c r="H111" s="306">
        <f t="array" ref="H111">IF($B111="","",IF($T111=0,"",IFERROR(MAX(IF('UX + Dev'!$AB111:$DN111&lt;&gt;"",'UX + Dev'!$AB$1:$DN$1)),"")))</f>
      </c>
      <c r="I111" s="307">
        <f>IF($R111&lt;&gt;"",$R111,IF($S111&lt;&gt;"",$S111,""))</f>
      </c>
      <c r="J111" s="307">
        <f>IF($S111&lt;&gt;"",EOMONTH($S111,0),IF($R111&lt;&gt;"",EOMONTH($R111,0),""))</f>
      </c>
      <c r="K111" s="305">
        <f>IF($B111="","",IF(COUNTA('UX + Dev'!AA111)=0,"",TRIM('UX + Dev'!AA111)))</f>
      </c>
      <c r="L111" s="305">
        <f>IF($B111="","",IFERROR(MATCH($D111,Control!$E$4:$E$30,0),99))</f>
      </c>
      <c r="M111" s="305">
        <f>IF($B111="","",IFERROR(MATCH($F111,Control!$B$4:$B$30,0),99))</f>
      </c>
      <c r="N111" s="305">
        <f>IF($V111&lt;&gt;1,"",IF('Roadmap (Auto)'!$D$3="Status, then Theme",$M111*1000000+$L111*10000+ROW(),IF('Roadmap (Auto)'!$D$3="Dev start (earliest)",IF($I111="",99999999,$I111)*10000+ROW(),IF('Roadmap (Auto)'!$D$3="UX start (earliest)",IF($G111="",99999999,$G111)*10000+ROW(),IF('Roadmap (Auto)'!$D$3="Deliverable A-Z",$W111*10000+ROW(),$L111*1000000+$M111*10000+ROW())))))</f>
      </c>
      <c r="O111" s="305">
        <f>IF($N111="","",COUNTIF($N$2:$N$151,"&lt;"&amp;$N111)+1)</f>
      </c>
      <c r="P111" s="305">
        <f>IF($B111="","",IF(COUNTA('UX + Dev'!X111)=0,"",'UX + Dev'!X111))</f>
      </c>
      <c r="Q111" s="305">
        <f>IF($B111="","",IF(COUNTA('UX + Dev'!Y111)=0,"",'UX + Dev'!Y111))</f>
      </c>
      <c r="R111" s="307">
        <f>IF($P111="","",IF(ISNUMBER($P111),DATE(YEAR($P111),MONTH($P111),1),IFERROR(DATE(IFERROR(VALUE(RIGHT(TRIM($P111),4)),YEAR(TODAY())),(SEARCH(LEFT(TRIM($P111),3),"JanFebMarAprMayJunJulAugSepOctNovDec")+2)/3,1),"")))</f>
      </c>
      <c r="S111" s="307">
        <f>IF($Q111="","",IF(ISNUMBER($Q111),DATE(YEAR($Q111),MONTH($Q111),1),IFERROR(DATE(IFERROR(VALUE(RIGHT(TRIM($Q111),4)),YEAR(TODAY())),(SEARCH(LEFT(TRIM($Q111),3),"JanFebMarAprMayJunJulAugSepOctNovDec")+2)/3,1),"")))</f>
      </c>
      <c r="T111" s="305">
        <f>IF($B111="","",COUNTA('UX + Dev'!$AB111:$DN111))</f>
      </c>
      <c r="U111" s="305">
        <f>IF($B111="","",IFERROR(MATCH($D111,Control!$E$4:$E$30,0)+3,0))</f>
      </c>
      <c r="V111" s="305">
        <f>IF($B111="","",IF(AND(OR('Roadmap (Auto)'!$A$3="",'Roadmap (Auto)'!$A$3="(All)",ISNUMBER(SEARCH('Roadmap (Auto)'!$A$3,$C111&amp;""))),OR('Roadmap (Auto)'!$B$3="",'Roadmap (Auto)'!$B$3="(All)",$D111='Roadmap (Auto)'!$B$3,$X111='Roadmap (Auto)'!$B$3),OR('Roadmap (Auto)'!$C$3="",'Roadmap (Auto)'!$C$3="(All)",$F111='Roadmap (Auto)'!$C$3)),1,0))</f>
      </c>
      <c r="W111" s="305">
        <f>IF($B111="","",COUNTIF($Y$2:$Y$151,"&lt;"&amp;$Y111)+1)</f>
      </c>
      <c r="X111" s="305">
        <f>IF($B111="","",IF(TRIM('UX + Dev'!D111)="","",TRIM('UX + Dev'!D111)))</f>
      </c>
      <c r="Y111" s="305">
        <f>IF($B111="","",SUBSTITUTE(SUBSTITUTE(SUBSTITUTE(SUBSTITUTE(SUBSTITUTE(SUBSTITUTE(SUBSTITUTE(SUBSTITUTE(SUBSTITUTE(SUBSTITUTE(SUBSTITUTE(SUBSTITUTE(SUBSTITUTE(SUBSTITUTE(SUBSTITUTE(SUBSTITUTE(SUBSTITUTE(SUBSTITUTE(SUBSTITUTE(SUBSTITUTE(SUBSTITUTE(SUBSTITUTE(SUBSTITUTE(SUBSTITUTE(SUBSTITUTE(UPPER($B111)," ",""),"-",""),":",""),"/",""),"&amp;",""),"|",""),"'",""),"’",""),"&lt;",""),"&gt;",""),",",""),"$",""),".",""),"(",""),")",""),"*",""),"?",""),"~",""),"_",""),"+",""),"#",""),";",""),"!",""),"%",""),"@",""))</f>
      </c>
      <c r="AA111">
        <f>IF($B111="",0,COUNTIFS('UX + Dev'!$AB$1:$DN$1,"&gt;="&amp;AA$1,'UX + Dev'!$AB$1:$DN$1,"&lt;="&amp;EOMONTH(AA$1,0),'UX + Dev'!$AB111:$DN111,"&lt;&gt;"))</f>
      </c>
      <c r="AB111">
        <f>IF($B111="",0,COUNTIFS('UX + Dev'!$AB$1:$DN$1,"&gt;="&amp;AB$1,'UX + Dev'!$AB$1:$DN$1,"&lt;="&amp;EOMONTH(AB$1,0),'UX + Dev'!$AB111:$DN111,"&lt;&gt;"))</f>
      </c>
      <c r="AC111">
        <f>IF($B111="",0,COUNTIFS('UX + Dev'!$AB$1:$DN$1,"&gt;="&amp;AC$1,'UX + Dev'!$AB$1:$DN$1,"&lt;="&amp;EOMONTH(AC$1,0),'UX + Dev'!$AB111:$DN111,"&lt;&gt;"))</f>
      </c>
      <c r="AD111">
        <f>IF($B111="",0,COUNTIFS('UX + Dev'!$AB$1:$DN$1,"&gt;="&amp;AD$1,'UX + Dev'!$AB$1:$DN$1,"&lt;="&amp;EOMONTH(AD$1,0),'UX + Dev'!$AB111:$DN111,"&lt;&gt;"))</f>
      </c>
      <c r="AE111">
        <f>IF($B111="",0,COUNTIFS('UX + Dev'!$AB$1:$DN$1,"&gt;="&amp;AE$1,'UX + Dev'!$AB$1:$DN$1,"&lt;="&amp;EOMONTH(AE$1,0),'UX + Dev'!$AB111:$DN111,"&lt;&gt;"))</f>
      </c>
      <c r="AF111">
        <f>IF($B111="",0,COUNTIFS('UX + Dev'!$AB$1:$DN$1,"&gt;="&amp;AF$1,'UX + Dev'!$AB$1:$DN$1,"&lt;="&amp;EOMONTH(AF$1,0),'UX + Dev'!$AB111:$DN111,"&lt;&gt;"))</f>
      </c>
      <c r="AG111">
        <f>IF($B111="",0,COUNTIFS('UX + Dev'!$AB$1:$DN$1,"&gt;="&amp;AG$1,'UX + Dev'!$AB$1:$DN$1,"&lt;="&amp;EOMONTH(AG$1,0),'UX + Dev'!$AB111:$DN111,"&lt;&gt;"))</f>
      </c>
      <c r="AH111">
        <f>IF($B111="",0,COUNTIFS('UX + Dev'!$AB$1:$DN$1,"&gt;="&amp;AH$1,'UX + Dev'!$AB$1:$DN$1,"&lt;="&amp;EOMONTH(AH$1,0),'UX + Dev'!$AB111:$DN111,"&lt;&gt;"))</f>
      </c>
      <c r="AI111">
        <f>IF($B111="",0,COUNTIFS('UX + Dev'!$AB$1:$DN$1,"&gt;="&amp;AI$1,'UX + Dev'!$AB$1:$DN$1,"&lt;="&amp;EOMONTH(AI$1,0),'UX + Dev'!$AB111:$DN111,"&lt;&gt;"))</f>
      </c>
      <c r="AJ111">
        <f>IF($B111="",0,COUNTIFS('UX + Dev'!$AB$1:$DN$1,"&gt;="&amp;AJ$1,'UX + Dev'!$AB$1:$DN$1,"&lt;="&amp;EOMONTH(AJ$1,0),'UX + Dev'!$AB111:$DN111,"&lt;&gt;"))</f>
      </c>
      <c r="AK111">
        <f>IF($B111="",0,COUNTIFS('UX + Dev'!$AB$1:$DN$1,"&gt;="&amp;AK$1,'UX + Dev'!$AB$1:$DN$1,"&lt;="&amp;EOMONTH(AK$1,0),'UX + Dev'!$AB111:$DN111,"&lt;&gt;"))</f>
      </c>
      <c r="AL111">
        <f>IF($B111="",0,COUNTIFS('UX + Dev'!$AB$1:$DN$1,"&gt;="&amp;AL$1,'UX + Dev'!$AB$1:$DN$1,"&lt;="&amp;EOMONTH(AL$1,0),'UX + Dev'!$AB111:$DN111,"&lt;&gt;"))</f>
      </c>
      <c r="AM111">
        <f>IF($B111="",0,COUNTIFS('UX + Dev'!$AB$1:$DN$1,"&gt;="&amp;AM$1,'UX + Dev'!$AB$1:$DN$1,"&lt;="&amp;EOMONTH(AM$1,0),'UX + Dev'!$AB111:$DN111,"&lt;&gt;"))</f>
      </c>
      <c r="AN111">
        <f>IF($B111="",0,COUNTIFS('UX + Dev'!$AB$1:$DN$1,"&gt;="&amp;AN$1,'UX + Dev'!$AB$1:$DN$1,"&lt;="&amp;EOMONTH(AN$1,0),'UX + Dev'!$AB111:$DN111,"&lt;&gt;"))</f>
      </c>
      <c r="AO111">
        <f>IF($B111="",0,COUNTIFS('UX + Dev'!$AB$1:$DN$1,"&gt;="&amp;AO$1,'UX + Dev'!$AB$1:$DN$1,"&lt;="&amp;EOMONTH(AO$1,0),'UX + Dev'!$AB111:$DN111,"&lt;&gt;"))</f>
      </c>
      <c r="AP111">
        <f>IF($B111="",0,COUNTIFS('UX + Dev'!$AB$1:$DN$1,"&gt;="&amp;AP$1,'UX + Dev'!$AB$1:$DN$1,"&lt;="&amp;EOMONTH(AP$1,0),'UX + Dev'!$AB111:$DN111,"&lt;&gt;"))</f>
      </c>
      <c r="AQ111">
        <f>IF($B111="",0,COUNTIFS('UX + Dev'!$AB$1:$DN$1,"&gt;="&amp;AQ$1,'UX + Dev'!$AB$1:$DN$1,"&lt;="&amp;EOMONTH(AQ$1,0),'UX + Dev'!$AB111:$DN111,"&lt;&gt;"))</f>
      </c>
      <c r="AR111">
        <f>IF($B111="",0,COUNTIFS('UX + Dev'!$AB$1:$DN$1,"&gt;="&amp;AR$1,'UX + Dev'!$AB$1:$DN$1,"&lt;="&amp;EOMONTH(AR$1,0),'UX + Dev'!$AB111:$DN111,"&lt;&gt;"))</f>
      </c>
      <c r="AS111">
        <f>IF($B111="",0,COUNTIFS('UX + Dev'!$AB$1:$DN$1,"&gt;="&amp;AS$1,'UX + Dev'!$AB$1:$DN$1,"&lt;="&amp;EOMONTH(AS$1,0),'UX + Dev'!$AB111:$DN111,"&lt;&gt;"))</f>
      </c>
      <c r="AT111">
        <f>IF($B111="",0,COUNTIFS('UX + Dev'!$AB$1:$DN$1,"&gt;="&amp;AT$1,'UX + Dev'!$AB$1:$DN$1,"&lt;="&amp;EOMONTH(AT$1,0),'UX + Dev'!$AB111:$DN111,"&lt;&gt;"))</f>
      </c>
      <c r="AU111">
        <f>IF($B111="",0,COUNTIFS('UX + Dev'!$AB$1:$DN$1,"&gt;="&amp;AU$1,'UX + Dev'!$AB$1:$DN$1,"&lt;="&amp;EOMONTH(AU$1,0),'UX + Dev'!$AB111:$DN111,"&lt;&gt;"))</f>
      </c>
      <c r="AV111">
        <f>IF($B111="",0,COUNTIFS('UX + Dev'!$AB$1:$DN$1,"&gt;="&amp;AV$1,'UX + Dev'!$AB$1:$DN$1,"&lt;="&amp;EOMONTH(AV$1,0),'UX + Dev'!$AB111:$DN111,"&lt;&gt;"))</f>
      </c>
      <c r="AW111">
        <f>IF($B111="",0,COUNTIFS('UX + Dev'!$AB$1:$DN$1,"&gt;="&amp;AW$1,'UX + Dev'!$AB$1:$DN$1,"&lt;="&amp;EOMONTH(AW$1,0),'UX + Dev'!$AB111:$DN111,"&lt;&gt;"))</f>
      </c>
      <c r="AX111">
        <f>IF($B111="",0,COUNTIFS('UX + Dev'!$AB$1:$DN$1,"&gt;="&amp;AX$1,'UX + Dev'!$AB$1:$DN$1,"&lt;="&amp;EOMONTH(AX$1,0),'UX + Dev'!$AB111:$DN111,"&lt;&gt;"))</f>
      </c>
      <c r="BB111" s="308">
        <f>IF($B111="","",IF(COUNTA('UX + Dev'!U111)&gt;0,DATE(YEAR('UX + Dev'!U111),MONTH('UX + Dev'!U111),1),IF(COUNTA('UX + Dev'!V111)&gt;0,DATE(YEAR('UX + Dev'!V111),MONTH('UX + Dev'!V111),1),"")))</f>
      </c>
      <c r="BC111" s="308">
        <f>IF($B111="","",IF(COUNTA('UX + Dev'!V111)&gt;0,EOMONTH('UX + Dev'!V111,0),IF(COUNTA('UX + Dev'!U111)&gt;0,EOMONTH('UX + Dev'!U111,0),"")))</f>
      </c>
    </row>
    <row r="112">
      <c r="A112" s="305" t="n">
        <v>112</v>
      </c>
      <c r="B112" s="305">
        <f>IF(TRIM('UX + Dev'!E112)="","",TRIM('UX + Dev'!E112))</f>
      </c>
      <c r="C112" s="305">
        <f>IF($B112="","",'UX + Dev'!B112)</f>
      </c>
      <c r="D112" s="305">
        <f>IF($B112="","",IF(TRIM('UX + Dev'!C112)="","(No theme assigned)",TRIM('UX + Dev'!C112)))</f>
      </c>
      <c r="E112" s="305">
        <f>IF($B112="","",TRIM('UX + Dev'!F112))</f>
      </c>
      <c r="F112" s="305">
        <f>IF($B112="","",'UX + Dev'!G112)</f>
      </c>
      <c r="G112" s="306">
        <f t="array" ref="G112">IF($B112="","",IF($T112=0,"",IFERROR(MIN(IF('UX + Dev'!$AB112:$DN112&lt;&gt;"",'UX + Dev'!$AB$1:$DN$1)),"")))</f>
      </c>
      <c r="H112" s="306">
        <f t="array" ref="H112">IF($B112="","",IF($T112=0,"",IFERROR(MAX(IF('UX + Dev'!$AB112:$DN112&lt;&gt;"",'UX + Dev'!$AB$1:$DN$1)),"")))</f>
      </c>
      <c r="I112" s="307">
        <f>IF($R112&lt;&gt;"",$R112,IF($S112&lt;&gt;"",$S112,""))</f>
      </c>
      <c r="J112" s="307">
        <f>IF($S112&lt;&gt;"",EOMONTH($S112,0),IF($R112&lt;&gt;"",EOMONTH($R112,0),""))</f>
      </c>
      <c r="K112" s="305">
        <f>IF($B112="","",IF(COUNTA('UX + Dev'!AA112)=0,"",TRIM('UX + Dev'!AA112)))</f>
      </c>
      <c r="L112" s="305">
        <f>IF($B112="","",IFERROR(MATCH($D112,Control!$E$4:$E$30,0),99))</f>
      </c>
      <c r="M112" s="305">
        <f>IF($B112="","",IFERROR(MATCH($F112,Control!$B$4:$B$30,0),99))</f>
      </c>
      <c r="N112" s="305">
        <f>IF($V112&lt;&gt;1,"",IF('Roadmap (Auto)'!$D$3="Status, then Theme",$M112*1000000+$L112*10000+ROW(),IF('Roadmap (Auto)'!$D$3="Dev start (earliest)",IF($I112="",99999999,$I112)*10000+ROW(),IF('Roadmap (Auto)'!$D$3="UX start (earliest)",IF($G112="",99999999,$G112)*10000+ROW(),IF('Roadmap (Auto)'!$D$3="Deliverable A-Z",$W112*10000+ROW(),$L112*1000000+$M112*10000+ROW())))))</f>
      </c>
      <c r="O112" s="305">
        <f>IF($N112="","",COUNTIF($N$2:$N$151,"&lt;"&amp;$N112)+1)</f>
      </c>
      <c r="P112" s="305">
        <f>IF($B112="","",IF(COUNTA('UX + Dev'!X112)=0,"",'UX + Dev'!X112))</f>
      </c>
      <c r="Q112" s="305">
        <f>IF($B112="","",IF(COUNTA('UX + Dev'!Y112)=0,"",'UX + Dev'!Y112))</f>
      </c>
      <c r="R112" s="307">
        <f>IF($P112="","",IF(ISNUMBER($P112),DATE(YEAR($P112),MONTH($P112),1),IFERROR(DATE(IFERROR(VALUE(RIGHT(TRIM($P112),4)),YEAR(TODAY())),(SEARCH(LEFT(TRIM($P112),3),"JanFebMarAprMayJunJulAugSepOctNovDec")+2)/3,1),"")))</f>
      </c>
      <c r="S112" s="307">
        <f>IF($Q112="","",IF(ISNUMBER($Q112),DATE(YEAR($Q112),MONTH($Q112),1),IFERROR(DATE(IFERROR(VALUE(RIGHT(TRIM($Q112),4)),YEAR(TODAY())),(SEARCH(LEFT(TRIM($Q112),3),"JanFebMarAprMayJunJulAugSepOctNovDec")+2)/3,1),"")))</f>
      </c>
      <c r="T112" s="305">
        <f>IF($B112="","",COUNTA('UX + Dev'!$AB112:$DN112))</f>
      </c>
      <c r="U112" s="305">
        <f>IF($B112="","",IFERROR(MATCH($D112,Control!$E$4:$E$30,0)+3,0))</f>
      </c>
      <c r="V112" s="305">
        <f>IF($B112="","",IF(AND(OR('Roadmap (Auto)'!$A$3="",'Roadmap (Auto)'!$A$3="(All)",ISNUMBER(SEARCH('Roadmap (Auto)'!$A$3,$C112&amp;""))),OR('Roadmap (Auto)'!$B$3="",'Roadmap (Auto)'!$B$3="(All)",$D112='Roadmap (Auto)'!$B$3,$X112='Roadmap (Auto)'!$B$3),OR('Roadmap (Auto)'!$C$3="",'Roadmap (Auto)'!$C$3="(All)",$F112='Roadmap (Auto)'!$C$3)),1,0))</f>
      </c>
      <c r="W112" s="305">
        <f>IF($B112="","",COUNTIF($Y$2:$Y$151,"&lt;"&amp;$Y112)+1)</f>
      </c>
      <c r="X112" s="305">
        <f>IF($B112="","",IF(TRIM('UX + Dev'!D112)="","",TRIM('UX + Dev'!D112)))</f>
      </c>
      <c r="Y112" s="305">
        <f>IF($B112="","",SUBSTITUTE(SUBSTITUTE(SUBSTITUTE(SUBSTITUTE(SUBSTITUTE(SUBSTITUTE(SUBSTITUTE(SUBSTITUTE(SUBSTITUTE(SUBSTITUTE(SUBSTITUTE(SUBSTITUTE(SUBSTITUTE(SUBSTITUTE(SUBSTITUTE(SUBSTITUTE(SUBSTITUTE(SUBSTITUTE(SUBSTITUTE(SUBSTITUTE(SUBSTITUTE(SUBSTITUTE(SUBSTITUTE(SUBSTITUTE(SUBSTITUTE(UPPER($B112)," ",""),"-",""),":",""),"/",""),"&amp;",""),"|",""),"'",""),"’",""),"&lt;",""),"&gt;",""),",",""),"$",""),".",""),"(",""),")",""),"*",""),"?",""),"~",""),"_",""),"+",""),"#",""),";",""),"!",""),"%",""),"@",""))</f>
      </c>
      <c r="AA112">
        <f>IF($B112="",0,COUNTIFS('UX + Dev'!$AB$1:$DN$1,"&gt;="&amp;AA$1,'UX + Dev'!$AB$1:$DN$1,"&lt;="&amp;EOMONTH(AA$1,0),'UX + Dev'!$AB112:$DN112,"&lt;&gt;"))</f>
      </c>
      <c r="AB112">
        <f>IF($B112="",0,COUNTIFS('UX + Dev'!$AB$1:$DN$1,"&gt;="&amp;AB$1,'UX + Dev'!$AB$1:$DN$1,"&lt;="&amp;EOMONTH(AB$1,0),'UX + Dev'!$AB112:$DN112,"&lt;&gt;"))</f>
      </c>
      <c r="AC112">
        <f>IF($B112="",0,COUNTIFS('UX + Dev'!$AB$1:$DN$1,"&gt;="&amp;AC$1,'UX + Dev'!$AB$1:$DN$1,"&lt;="&amp;EOMONTH(AC$1,0),'UX + Dev'!$AB112:$DN112,"&lt;&gt;"))</f>
      </c>
      <c r="AD112">
        <f>IF($B112="",0,COUNTIFS('UX + Dev'!$AB$1:$DN$1,"&gt;="&amp;AD$1,'UX + Dev'!$AB$1:$DN$1,"&lt;="&amp;EOMONTH(AD$1,0),'UX + Dev'!$AB112:$DN112,"&lt;&gt;"))</f>
      </c>
      <c r="AE112">
        <f>IF($B112="",0,COUNTIFS('UX + Dev'!$AB$1:$DN$1,"&gt;="&amp;AE$1,'UX + Dev'!$AB$1:$DN$1,"&lt;="&amp;EOMONTH(AE$1,0),'UX + Dev'!$AB112:$DN112,"&lt;&gt;"))</f>
      </c>
      <c r="AF112">
        <f>IF($B112="",0,COUNTIFS('UX + Dev'!$AB$1:$DN$1,"&gt;="&amp;AF$1,'UX + Dev'!$AB$1:$DN$1,"&lt;="&amp;EOMONTH(AF$1,0),'UX + Dev'!$AB112:$DN112,"&lt;&gt;"))</f>
      </c>
      <c r="AG112">
        <f>IF($B112="",0,COUNTIFS('UX + Dev'!$AB$1:$DN$1,"&gt;="&amp;AG$1,'UX + Dev'!$AB$1:$DN$1,"&lt;="&amp;EOMONTH(AG$1,0),'UX + Dev'!$AB112:$DN112,"&lt;&gt;"))</f>
      </c>
      <c r="AH112">
        <f>IF($B112="",0,COUNTIFS('UX + Dev'!$AB$1:$DN$1,"&gt;="&amp;AH$1,'UX + Dev'!$AB$1:$DN$1,"&lt;="&amp;EOMONTH(AH$1,0),'UX + Dev'!$AB112:$DN112,"&lt;&gt;"))</f>
      </c>
      <c r="AI112">
        <f>IF($B112="",0,COUNTIFS('UX + Dev'!$AB$1:$DN$1,"&gt;="&amp;AI$1,'UX + Dev'!$AB$1:$DN$1,"&lt;="&amp;EOMONTH(AI$1,0),'UX + Dev'!$AB112:$DN112,"&lt;&gt;"))</f>
      </c>
      <c r="AJ112">
        <f>IF($B112="",0,COUNTIFS('UX + Dev'!$AB$1:$DN$1,"&gt;="&amp;AJ$1,'UX + Dev'!$AB$1:$DN$1,"&lt;="&amp;EOMONTH(AJ$1,0),'UX + Dev'!$AB112:$DN112,"&lt;&gt;"))</f>
      </c>
      <c r="AK112">
        <f>IF($B112="",0,COUNTIFS('UX + Dev'!$AB$1:$DN$1,"&gt;="&amp;AK$1,'UX + Dev'!$AB$1:$DN$1,"&lt;="&amp;EOMONTH(AK$1,0),'UX + Dev'!$AB112:$DN112,"&lt;&gt;"))</f>
      </c>
      <c r="AL112">
        <f>IF($B112="",0,COUNTIFS('UX + Dev'!$AB$1:$DN$1,"&gt;="&amp;AL$1,'UX + Dev'!$AB$1:$DN$1,"&lt;="&amp;EOMONTH(AL$1,0),'UX + Dev'!$AB112:$DN112,"&lt;&gt;"))</f>
      </c>
      <c r="AM112">
        <f>IF($B112="",0,COUNTIFS('UX + Dev'!$AB$1:$DN$1,"&gt;="&amp;AM$1,'UX + Dev'!$AB$1:$DN$1,"&lt;="&amp;EOMONTH(AM$1,0),'UX + Dev'!$AB112:$DN112,"&lt;&gt;"))</f>
      </c>
      <c r="AN112">
        <f>IF($B112="",0,COUNTIFS('UX + Dev'!$AB$1:$DN$1,"&gt;="&amp;AN$1,'UX + Dev'!$AB$1:$DN$1,"&lt;="&amp;EOMONTH(AN$1,0),'UX + Dev'!$AB112:$DN112,"&lt;&gt;"))</f>
      </c>
      <c r="AO112">
        <f>IF($B112="",0,COUNTIFS('UX + Dev'!$AB$1:$DN$1,"&gt;="&amp;AO$1,'UX + Dev'!$AB$1:$DN$1,"&lt;="&amp;EOMONTH(AO$1,0),'UX + Dev'!$AB112:$DN112,"&lt;&gt;"))</f>
      </c>
      <c r="AP112">
        <f>IF($B112="",0,COUNTIFS('UX + Dev'!$AB$1:$DN$1,"&gt;="&amp;AP$1,'UX + Dev'!$AB$1:$DN$1,"&lt;="&amp;EOMONTH(AP$1,0),'UX + Dev'!$AB112:$DN112,"&lt;&gt;"))</f>
      </c>
      <c r="AQ112">
        <f>IF($B112="",0,COUNTIFS('UX + Dev'!$AB$1:$DN$1,"&gt;="&amp;AQ$1,'UX + Dev'!$AB$1:$DN$1,"&lt;="&amp;EOMONTH(AQ$1,0),'UX + Dev'!$AB112:$DN112,"&lt;&gt;"))</f>
      </c>
      <c r="AR112">
        <f>IF($B112="",0,COUNTIFS('UX + Dev'!$AB$1:$DN$1,"&gt;="&amp;AR$1,'UX + Dev'!$AB$1:$DN$1,"&lt;="&amp;EOMONTH(AR$1,0),'UX + Dev'!$AB112:$DN112,"&lt;&gt;"))</f>
      </c>
      <c r="AS112">
        <f>IF($B112="",0,COUNTIFS('UX + Dev'!$AB$1:$DN$1,"&gt;="&amp;AS$1,'UX + Dev'!$AB$1:$DN$1,"&lt;="&amp;EOMONTH(AS$1,0),'UX + Dev'!$AB112:$DN112,"&lt;&gt;"))</f>
      </c>
      <c r="AT112">
        <f>IF($B112="",0,COUNTIFS('UX + Dev'!$AB$1:$DN$1,"&gt;="&amp;AT$1,'UX + Dev'!$AB$1:$DN$1,"&lt;="&amp;EOMONTH(AT$1,0),'UX + Dev'!$AB112:$DN112,"&lt;&gt;"))</f>
      </c>
      <c r="AU112">
        <f>IF($B112="",0,COUNTIFS('UX + Dev'!$AB$1:$DN$1,"&gt;="&amp;AU$1,'UX + Dev'!$AB$1:$DN$1,"&lt;="&amp;EOMONTH(AU$1,0),'UX + Dev'!$AB112:$DN112,"&lt;&gt;"))</f>
      </c>
      <c r="AV112">
        <f>IF($B112="",0,COUNTIFS('UX + Dev'!$AB$1:$DN$1,"&gt;="&amp;AV$1,'UX + Dev'!$AB$1:$DN$1,"&lt;="&amp;EOMONTH(AV$1,0),'UX + Dev'!$AB112:$DN112,"&lt;&gt;"))</f>
      </c>
      <c r="AW112">
        <f>IF($B112="",0,COUNTIFS('UX + Dev'!$AB$1:$DN$1,"&gt;="&amp;AW$1,'UX + Dev'!$AB$1:$DN$1,"&lt;="&amp;EOMONTH(AW$1,0),'UX + Dev'!$AB112:$DN112,"&lt;&gt;"))</f>
      </c>
      <c r="AX112">
        <f>IF($B112="",0,COUNTIFS('UX + Dev'!$AB$1:$DN$1,"&gt;="&amp;AX$1,'UX + Dev'!$AB$1:$DN$1,"&lt;="&amp;EOMONTH(AX$1,0),'UX + Dev'!$AB112:$DN112,"&lt;&gt;"))</f>
      </c>
      <c r="BB112" s="308">
        <f>IF($B112="","",IF(COUNTA('UX + Dev'!U112)&gt;0,DATE(YEAR('UX + Dev'!U112),MONTH('UX + Dev'!U112),1),IF(COUNTA('UX + Dev'!V112)&gt;0,DATE(YEAR('UX + Dev'!V112),MONTH('UX + Dev'!V112),1),"")))</f>
      </c>
      <c r="BC112" s="308">
        <f>IF($B112="","",IF(COUNTA('UX + Dev'!V112)&gt;0,EOMONTH('UX + Dev'!V112,0),IF(COUNTA('UX + Dev'!U112)&gt;0,EOMONTH('UX + Dev'!U112,0),"")))</f>
      </c>
    </row>
    <row r="113">
      <c r="A113" s="305" t="n">
        <v>113</v>
      </c>
      <c r="B113" s="305">
        <f>IF(TRIM('UX + Dev'!E113)="","",TRIM('UX + Dev'!E113))</f>
      </c>
      <c r="C113" s="305">
        <f>IF($B113="","",'UX + Dev'!B113)</f>
      </c>
      <c r="D113" s="305">
        <f>IF($B113="","",IF(TRIM('UX + Dev'!C113)="","(No theme assigned)",TRIM('UX + Dev'!C113)))</f>
      </c>
      <c r="E113" s="305">
        <f>IF($B113="","",TRIM('UX + Dev'!F113))</f>
      </c>
      <c r="F113" s="305">
        <f>IF($B113="","",'UX + Dev'!G113)</f>
      </c>
      <c r="G113" s="306">
        <f t="array" ref="G113">IF($B113="","",IF($T113=0,"",IFERROR(MIN(IF('UX + Dev'!$AB113:$DN113&lt;&gt;"",'UX + Dev'!$AB$1:$DN$1)),"")))</f>
      </c>
      <c r="H113" s="306">
        <f t="array" ref="H113">IF($B113="","",IF($T113=0,"",IFERROR(MAX(IF('UX + Dev'!$AB113:$DN113&lt;&gt;"",'UX + Dev'!$AB$1:$DN$1)),"")))</f>
      </c>
      <c r="I113" s="307">
        <f>IF($R113&lt;&gt;"",$R113,IF($S113&lt;&gt;"",$S113,""))</f>
      </c>
      <c r="J113" s="307">
        <f>IF($S113&lt;&gt;"",EOMONTH($S113,0),IF($R113&lt;&gt;"",EOMONTH($R113,0),""))</f>
      </c>
      <c r="K113" s="305">
        <f>IF($B113="","",IF(COUNTA('UX + Dev'!AA113)=0,"",TRIM('UX + Dev'!AA113)))</f>
      </c>
      <c r="L113" s="305">
        <f>IF($B113="","",IFERROR(MATCH($D113,Control!$E$4:$E$30,0),99))</f>
      </c>
      <c r="M113" s="305">
        <f>IF($B113="","",IFERROR(MATCH($F113,Control!$B$4:$B$30,0),99))</f>
      </c>
      <c r="N113" s="305">
        <f>IF($V113&lt;&gt;1,"",IF('Roadmap (Auto)'!$D$3="Status, then Theme",$M113*1000000+$L113*10000+ROW(),IF('Roadmap (Auto)'!$D$3="Dev start (earliest)",IF($I113="",99999999,$I113)*10000+ROW(),IF('Roadmap (Auto)'!$D$3="UX start (earliest)",IF($G113="",99999999,$G113)*10000+ROW(),IF('Roadmap (Auto)'!$D$3="Deliverable A-Z",$W113*10000+ROW(),$L113*1000000+$M113*10000+ROW())))))</f>
      </c>
      <c r="O113" s="305">
        <f>IF($N113="","",COUNTIF($N$2:$N$151,"&lt;"&amp;$N113)+1)</f>
      </c>
      <c r="P113" s="305">
        <f>IF($B113="","",IF(COUNTA('UX + Dev'!X113)=0,"",'UX + Dev'!X113))</f>
      </c>
      <c r="Q113" s="305">
        <f>IF($B113="","",IF(COUNTA('UX + Dev'!Y113)=0,"",'UX + Dev'!Y113))</f>
      </c>
      <c r="R113" s="307">
        <f>IF($P113="","",IF(ISNUMBER($P113),DATE(YEAR($P113),MONTH($P113),1),IFERROR(DATE(IFERROR(VALUE(RIGHT(TRIM($P113),4)),YEAR(TODAY())),(SEARCH(LEFT(TRIM($P113),3),"JanFebMarAprMayJunJulAugSepOctNovDec")+2)/3,1),"")))</f>
      </c>
      <c r="S113" s="307">
        <f>IF($Q113="","",IF(ISNUMBER($Q113),DATE(YEAR($Q113),MONTH($Q113),1),IFERROR(DATE(IFERROR(VALUE(RIGHT(TRIM($Q113),4)),YEAR(TODAY())),(SEARCH(LEFT(TRIM($Q113),3),"JanFebMarAprMayJunJulAugSepOctNovDec")+2)/3,1),"")))</f>
      </c>
      <c r="T113" s="305">
        <f>IF($B113="","",COUNTA('UX + Dev'!$AB113:$DN113))</f>
      </c>
      <c r="U113" s="305">
        <f>IF($B113="","",IFERROR(MATCH($D113,Control!$E$4:$E$30,0)+3,0))</f>
      </c>
      <c r="V113" s="305">
        <f>IF($B113="","",IF(AND(OR('Roadmap (Auto)'!$A$3="",'Roadmap (Auto)'!$A$3="(All)",ISNUMBER(SEARCH('Roadmap (Auto)'!$A$3,$C113&amp;""))),OR('Roadmap (Auto)'!$B$3="",'Roadmap (Auto)'!$B$3="(All)",$D113='Roadmap (Auto)'!$B$3,$X113='Roadmap (Auto)'!$B$3),OR('Roadmap (Auto)'!$C$3="",'Roadmap (Auto)'!$C$3="(All)",$F113='Roadmap (Auto)'!$C$3)),1,0))</f>
      </c>
      <c r="W113" s="305">
        <f>IF($B113="","",COUNTIF($Y$2:$Y$151,"&lt;"&amp;$Y113)+1)</f>
      </c>
      <c r="X113" s="305">
        <f>IF($B113="","",IF(TRIM('UX + Dev'!D113)="","",TRIM('UX + Dev'!D113)))</f>
      </c>
      <c r="Y113" s="305">
        <f>IF($B113="","",SUBSTITUTE(SUBSTITUTE(SUBSTITUTE(SUBSTITUTE(SUBSTITUTE(SUBSTITUTE(SUBSTITUTE(SUBSTITUTE(SUBSTITUTE(SUBSTITUTE(SUBSTITUTE(SUBSTITUTE(SUBSTITUTE(SUBSTITUTE(SUBSTITUTE(SUBSTITUTE(SUBSTITUTE(SUBSTITUTE(SUBSTITUTE(SUBSTITUTE(SUBSTITUTE(SUBSTITUTE(SUBSTITUTE(SUBSTITUTE(SUBSTITUTE(UPPER($B113)," ",""),"-",""),":",""),"/",""),"&amp;",""),"|",""),"'",""),"’",""),"&lt;",""),"&gt;",""),",",""),"$",""),".",""),"(",""),")",""),"*",""),"?",""),"~",""),"_",""),"+",""),"#",""),";",""),"!",""),"%",""),"@",""))</f>
      </c>
      <c r="AA113">
        <f>IF($B113="",0,COUNTIFS('UX + Dev'!$AB$1:$DN$1,"&gt;="&amp;AA$1,'UX + Dev'!$AB$1:$DN$1,"&lt;="&amp;EOMONTH(AA$1,0),'UX + Dev'!$AB113:$DN113,"&lt;&gt;"))</f>
      </c>
      <c r="AB113">
        <f>IF($B113="",0,COUNTIFS('UX + Dev'!$AB$1:$DN$1,"&gt;="&amp;AB$1,'UX + Dev'!$AB$1:$DN$1,"&lt;="&amp;EOMONTH(AB$1,0),'UX + Dev'!$AB113:$DN113,"&lt;&gt;"))</f>
      </c>
      <c r="AC113">
        <f>IF($B113="",0,COUNTIFS('UX + Dev'!$AB$1:$DN$1,"&gt;="&amp;AC$1,'UX + Dev'!$AB$1:$DN$1,"&lt;="&amp;EOMONTH(AC$1,0),'UX + Dev'!$AB113:$DN113,"&lt;&gt;"))</f>
      </c>
      <c r="AD113">
        <f>IF($B113="",0,COUNTIFS('UX + Dev'!$AB$1:$DN$1,"&gt;="&amp;AD$1,'UX + Dev'!$AB$1:$DN$1,"&lt;="&amp;EOMONTH(AD$1,0),'UX + Dev'!$AB113:$DN113,"&lt;&gt;"))</f>
      </c>
      <c r="AE113">
        <f>IF($B113="",0,COUNTIFS('UX + Dev'!$AB$1:$DN$1,"&gt;="&amp;AE$1,'UX + Dev'!$AB$1:$DN$1,"&lt;="&amp;EOMONTH(AE$1,0),'UX + Dev'!$AB113:$DN113,"&lt;&gt;"))</f>
      </c>
      <c r="AF113">
        <f>IF($B113="",0,COUNTIFS('UX + Dev'!$AB$1:$DN$1,"&gt;="&amp;AF$1,'UX + Dev'!$AB$1:$DN$1,"&lt;="&amp;EOMONTH(AF$1,0),'UX + Dev'!$AB113:$DN113,"&lt;&gt;"))</f>
      </c>
      <c r="AG113">
        <f>IF($B113="",0,COUNTIFS('UX + Dev'!$AB$1:$DN$1,"&gt;="&amp;AG$1,'UX + Dev'!$AB$1:$DN$1,"&lt;="&amp;EOMONTH(AG$1,0),'UX + Dev'!$AB113:$DN113,"&lt;&gt;"))</f>
      </c>
      <c r="AH113">
        <f>IF($B113="",0,COUNTIFS('UX + Dev'!$AB$1:$DN$1,"&gt;="&amp;AH$1,'UX + Dev'!$AB$1:$DN$1,"&lt;="&amp;EOMONTH(AH$1,0),'UX + Dev'!$AB113:$DN113,"&lt;&gt;"))</f>
      </c>
      <c r="AI113">
        <f>IF($B113="",0,COUNTIFS('UX + Dev'!$AB$1:$DN$1,"&gt;="&amp;AI$1,'UX + Dev'!$AB$1:$DN$1,"&lt;="&amp;EOMONTH(AI$1,0),'UX + Dev'!$AB113:$DN113,"&lt;&gt;"))</f>
      </c>
      <c r="AJ113">
        <f>IF($B113="",0,COUNTIFS('UX + Dev'!$AB$1:$DN$1,"&gt;="&amp;AJ$1,'UX + Dev'!$AB$1:$DN$1,"&lt;="&amp;EOMONTH(AJ$1,0),'UX + Dev'!$AB113:$DN113,"&lt;&gt;"))</f>
      </c>
      <c r="AK113">
        <f>IF($B113="",0,COUNTIFS('UX + Dev'!$AB$1:$DN$1,"&gt;="&amp;AK$1,'UX + Dev'!$AB$1:$DN$1,"&lt;="&amp;EOMONTH(AK$1,0),'UX + Dev'!$AB113:$DN113,"&lt;&gt;"))</f>
      </c>
      <c r="AL113">
        <f>IF($B113="",0,COUNTIFS('UX + Dev'!$AB$1:$DN$1,"&gt;="&amp;AL$1,'UX + Dev'!$AB$1:$DN$1,"&lt;="&amp;EOMONTH(AL$1,0),'UX + Dev'!$AB113:$DN113,"&lt;&gt;"))</f>
      </c>
      <c r="AM113">
        <f>IF($B113="",0,COUNTIFS('UX + Dev'!$AB$1:$DN$1,"&gt;="&amp;AM$1,'UX + Dev'!$AB$1:$DN$1,"&lt;="&amp;EOMONTH(AM$1,0),'UX + Dev'!$AB113:$DN113,"&lt;&gt;"))</f>
      </c>
      <c r="AN113">
        <f>IF($B113="",0,COUNTIFS('UX + Dev'!$AB$1:$DN$1,"&gt;="&amp;AN$1,'UX + Dev'!$AB$1:$DN$1,"&lt;="&amp;EOMONTH(AN$1,0),'UX + Dev'!$AB113:$DN113,"&lt;&gt;"))</f>
      </c>
      <c r="AO113">
        <f>IF($B113="",0,COUNTIFS('UX + Dev'!$AB$1:$DN$1,"&gt;="&amp;AO$1,'UX + Dev'!$AB$1:$DN$1,"&lt;="&amp;EOMONTH(AO$1,0),'UX + Dev'!$AB113:$DN113,"&lt;&gt;"))</f>
      </c>
      <c r="AP113">
        <f>IF($B113="",0,COUNTIFS('UX + Dev'!$AB$1:$DN$1,"&gt;="&amp;AP$1,'UX + Dev'!$AB$1:$DN$1,"&lt;="&amp;EOMONTH(AP$1,0),'UX + Dev'!$AB113:$DN113,"&lt;&gt;"))</f>
      </c>
      <c r="AQ113">
        <f>IF($B113="",0,COUNTIFS('UX + Dev'!$AB$1:$DN$1,"&gt;="&amp;AQ$1,'UX + Dev'!$AB$1:$DN$1,"&lt;="&amp;EOMONTH(AQ$1,0),'UX + Dev'!$AB113:$DN113,"&lt;&gt;"))</f>
      </c>
      <c r="AR113">
        <f>IF($B113="",0,COUNTIFS('UX + Dev'!$AB$1:$DN$1,"&gt;="&amp;AR$1,'UX + Dev'!$AB$1:$DN$1,"&lt;="&amp;EOMONTH(AR$1,0),'UX + Dev'!$AB113:$DN113,"&lt;&gt;"))</f>
      </c>
      <c r="AS113">
        <f>IF($B113="",0,COUNTIFS('UX + Dev'!$AB$1:$DN$1,"&gt;="&amp;AS$1,'UX + Dev'!$AB$1:$DN$1,"&lt;="&amp;EOMONTH(AS$1,0),'UX + Dev'!$AB113:$DN113,"&lt;&gt;"))</f>
      </c>
      <c r="AT113">
        <f>IF($B113="",0,COUNTIFS('UX + Dev'!$AB$1:$DN$1,"&gt;="&amp;AT$1,'UX + Dev'!$AB$1:$DN$1,"&lt;="&amp;EOMONTH(AT$1,0),'UX + Dev'!$AB113:$DN113,"&lt;&gt;"))</f>
      </c>
      <c r="AU113">
        <f>IF($B113="",0,COUNTIFS('UX + Dev'!$AB$1:$DN$1,"&gt;="&amp;AU$1,'UX + Dev'!$AB$1:$DN$1,"&lt;="&amp;EOMONTH(AU$1,0),'UX + Dev'!$AB113:$DN113,"&lt;&gt;"))</f>
      </c>
      <c r="AV113">
        <f>IF($B113="",0,COUNTIFS('UX + Dev'!$AB$1:$DN$1,"&gt;="&amp;AV$1,'UX + Dev'!$AB$1:$DN$1,"&lt;="&amp;EOMONTH(AV$1,0),'UX + Dev'!$AB113:$DN113,"&lt;&gt;"))</f>
      </c>
      <c r="AW113">
        <f>IF($B113="",0,COUNTIFS('UX + Dev'!$AB$1:$DN$1,"&gt;="&amp;AW$1,'UX + Dev'!$AB$1:$DN$1,"&lt;="&amp;EOMONTH(AW$1,0),'UX + Dev'!$AB113:$DN113,"&lt;&gt;"))</f>
      </c>
      <c r="AX113">
        <f>IF($B113="",0,COUNTIFS('UX + Dev'!$AB$1:$DN$1,"&gt;="&amp;AX$1,'UX + Dev'!$AB$1:$DN$1,"&lt;="&amp;EOMONTH(AX$1,0),'UX + Dev'!$AB113:$DN113,"&lt;&gt;"))</f>
      </c>
      <c r="BB113" s="308">
        <f>IF($B113="","",IF(COUNTA('UX + Dev'!U113)&gt;0,DATE(YEAR('UX + Dev'!U113),MONTH('UX + Dev'!U113),1),IF(COUNTA('UX + Dev'!V113)&gt;0,DATE(YEAR('UX + Dev'!V113),MONTH('UX + Dev'!V113),1),"")))</f>
      </c>
      <c r="BC113" s="308">
        <f>IF($B113="","",IF(COUNTA('UX + Dev'!V113)&gt;0,EOMONTH('UX + Dev'!V113,0),IF(COUNTA('UX + Dev'!U113)&gt;0,EOMONTH('UX + Dev'!U113,0),"")))</f>
      </c>
    </row>
    <row r="114">
      <c r="A114" s="305" t="n">
        <v>114</v>
      </c>
      <c r="B114" s="305">
        <f>IF(TRIM('UX + Dev'!E114)="","",TRIM('UX + Dev'!E114))</f>
      </c>
      <c r="C114" s="305">
        <f>IF($B114="","",'UX + Dev'!B114)</f>
      </c>
      <c r="D114" s="305">
        <f>IF($B114="","",IF(TRIM('UX + Dev'!C114)="","(No theme assigned)",TRIM('UX + Dev'!C114)))</f>
      </c>
      <c r="E114" s="305">
        <f>IF($B114="","",TRIM('UX + Dev'!F114))</f>
      </c>
      <c r="F114" s="305">
        <f>IF($B114="","",'UX + Dev'!G114)</f>
      </c>
      <c r="G114" s="306">
        <f t="array" ref="G114">IF($B114="","",IF($T114=0,"",IFERROR(MIN(IF('UX + Dev'!$AB114:$DN114&lt;&gt;"",'UX + Dev'!$AB$1:$DN$1)),"")))</f>
      </c>
      <c r="H114" s="306">
        <f t="array" ref="H114">IF($B114="","",IF($T114=0,"",IFERROR(MAX(IF('UX + Dev'!$AB114:$DN114&lt;&gt;"",'UX + Dev'!$AB$1:$DN$1)),"")))</f>
      </c>
      <c r="I114" s="307">
        <f>IF($R114&lt;&gt;"",$R114,IF($S114&lt;&gt;"",$S114,""))</f>
      </c>
      <c r="J114" s="307">
        <f>IF($S114&lt;&gt;"",EOMONTH($S114,0),IF($R114&lt;&gt;"",EOMONTH($R114,0),""))</f>
      </c>
      <c r="K114" s="305">
        <f>IF($B114="","",IF(COUNTA('UX + Dev'!AA114)=0,"",TRIM('UX + Dev'!AA114)))</f>
      </c>
      <c r="L114" s="305">
        <f>IF($B114="","",IFERROR(MATCH($D114,Control!$E$4:$E$30,0),99))</f>
      </c>
      <c r="M114" s="305">
        <f>IF($B114="","",IFERROR(MATCH($F114,Control!$B$4:$B$30,0),99))</f>
      </c>
      <c r="N114" s="305">
        <f>IF($V114&lt;&gt;1,"",IF('Roadmap (Auto)'!$D$3="Status, then Theme",$M114*1000000+$L114*10000+ROW(),IF('Roadmap (Auto)'!$D$3="Dev start (earliest)",IF($I114="",99999999,$I114)*10000+ROW(),IF('Roadmap (Auto)'!$D$3="UX start (earliest)",IF($G114="",99999999,$G114)*10000+ROW(),IF('Roadmap (Auto)'!$D$3="Deliverable A-Z",$W114*10000+ROW(),$L114*1000000+$M114*10000+ROW())))))</f>
      </c>
      <c r="O114" s="305">
        <f>IF($N114="","",COUNTIF($N$2:$N$151,"&lt;"&amp;$N114)+1)</f>
      </c>
      <c r="P114" s="305">
        <f>IF($B114="","",IF(COUNTA('UX + Dev'!X114)=0,"",'UX + Dev'!X114))</f>
      </c>
      <c r="Q114" s="305">
        <f>IF($B114="","",IF(COUNTA('UX + Dev'!Y114)=0,"",'UX + Dev'!Y114))</f>
      </c>
      <c r="R114" s="307">
        <f>IF($P114="","",IF(ISNUMBER($P114),DATE(YEAR($P114),MONTH($P114),1),IFERROR(DATE(IFERROR(VALUE(RIGHT(TRIM($P114),4)),YEAR(TODAY())),(SEARCH(LEFT(TRIM($P114),3),"JanFebMarAprMayJunJulAugSepOctNovDec")+2)/3,1),"")))</f>
      </c>
      <c r="S114" s="307">
        <f>IF($Q114="","",IF(ISNUMBER($Q114),DATE(YEAR($Q114),MONTH($Q114),1),IFERROR(DATE(IFERROR(VALUE(RIGHT(TRIM($Q114),4)),YEAR(TODAY())),(SEARCH(LEFT(TRIM($Q114),3),"JanFebMarAprMayJunJulAugSepOctNovDec")+2)/3,1),"")))</f>
      </c>
      <c r="T114" s="305">
        <f>IF($B114="","",COUNTA('UX + Dev'!$AB114:$DN114))</f>
      </c>
      <c r="U114" s="305">
        <f>IF($B114="","",IFERROR(MATCH($D114,Control!$E$4:$E$30,0)+3,0))</f>
      </c>
      <c r="V114" s="305">
        <f>IF($B114="","",IF(AND(OR('Roadmap (Auto)'!$A$3="",'Roadmap (Auto)'!$A$3="(All)",ISNUMBER(SEARCH('Roadmap (Auto)'!$A$3,$C114&amp;""))),OR('Roadmap (Auto)'!$B$3="",'Roadmap (Auto)'!$B$3="(All)",$D114='Roadmap (Auto)'!$B$3,$X114='Roadmap (Auto)'!$B$3),OR('Roadmap (Auto)'!$C$3="",'Roadmap (Auto)'!$C$3="(All)",$F114='Roadmap (Auto)'!$C$3)),1,0))</f>
      </c>
      <c r="W114" s="305">
        <f>IF($B114="","",COUNTIF($Y$2:$Y$151,"&lt;"&amp;$Y114)+1)</f>
      </c>
      <c r="X114" s="305">
        <f>IF($B114="","",IF(TRIM('UX + Dev'!D114)="","",TRIM('UX + Dev'!D114)))</f>
      </c>
      <c r="Y114" s="305">
        <f>IF($B114="","",SUBSTITUTE(SUBSTITUTE(SUBSTITUTE(SUBSTITUTE(SUBSTITUTE(SUBSTITUTE(SUBSTITUTE(SUBSTITUTE(SUBSTITUTE(SUBSTITUTE(SUBSTITUTE(SUBSTITUTE(SUBSTITUTE(SUBSTITUTE(SUBSTITUTE(SUBSTITUTE(SUBSTITUTE(SUBSTITUTE(SUBSTITUTE(SUBSTITUTE(SUBSTITUTE(SUBSTITUTE(SUBSTITUTE(SUBSTITUTE(SUBSTITUTE(UPPER($B114)," ",""),"-",""),":",""),"/",""),"&amp;",""),"|",""),"'",""),"’",""),"&lt;",""),"&gt;",""),",",""),"$",""),".",""),"(",""),")",""),"*",""),"?",""),"~",""),"_",""),"+",""),"#",""),";",""),"!",""),"%",""),"@",""))</f>
      </c>
      <c r="AA114">
        <f>IF($B114="",0,COUNTIFS('UX + Dev'!$AB$1:$DN$1,"&gt;="&amp;AA$1,'UX + Dev'!$AB$1:$DN$1,"&lt;="&amp;EOMONTH(AA$1,0),'UX + Dev'!$AB114:$DN114,"&lt;&gt;"))</f>
      </c>
      <c r="AB114">
        <f>IF($B114="",0,COUNTIFS('UX + Dev'!$AB$1:$DN$1,"&gt;="&amp;AB$1,'UX + Dev'!$AB$1:$DN$1,"&lt;="&amp;EOMONTH(AB$1,0),'UX + Dev'!$AB114:$DN114,"&lt;&gt;"))</f>
      </c>
      <c r="AC114">
        <f>IF($B114="",0,COUNTIFS('UX + Dev'!$AB$1:$DN$1,"&gt;="&amp;AC$1,'UX + Dev'!$AB$1:$DN$1,"&lt;="&amp;EOMONTH(AC$1,0),'UX + Dev'!$AB114:$DN114,"&lt;&gt;"))</f>
      </c>
      <c r="AD114">
        <f>IF($B114="",0,COUNTIFS('UX + Dev'!$AB$1:$DN$1,"&gt;="&amp;AD$1,'UX + Dev'!$AB$1:$DN$1,"&lt;="&amp;EOMONTH(AD$1,0),'UX + Dev'!$AB114:$DN114,"&lt;&gt;"))</f>
      </c>
      <c r="AE114">
        <f>IF($B114="",0,COUNTIFS('UX + Dev'!$AB$1:$DN$1,"&gt;="&amp;AE$1,'UX + Dev'!$AB$1:$DN$1,"&lt;="&amp;EOMONTH(AE$1,0),'UX + Dev'!$AB114:$DN114,"&lt;&gt;"))</f>
      </c>
      <c r="AF114">
        <f>IF($B114="",0,COUNTIFS('UX + Dev'!$AB$1:$DN$1,"&gt;="&amp;AF$1,'UX + Dev'!$AB$1:$DN$1,"&lt;="&amp;EOMONTH(AF$1,0),'UX + Dev'!$AB114:$DN114,"&lt;&gt;"))</f>
      </c>
      <c r="AG114">
        <f>IF($B114="",0,COUNTIFS('UX + Dev'!$AB$1:$DN$1,"&gt;="&amp;AG$1,'UX + Dev'!$AB$1:$DN$1,"&lt;="&amp;EOMONTH(AG$1,0),'UX + Dev'!$AB114:$DN114,"&lt;&gt;"))</f>
      </c>
      <c r="AH114">
        <f>IF($B114="",0,COUNTIFS('UX + Dev'!$AB$1:$DN$1,"&gt;="&amp;AH$1,'UX + Dev'!$AB$1:$DN$1,"&lt;="&amp;EOMONTH(AH$1,0),'UX + Dev'!$AB114:$DN114,"&lt;&gt;"))</f>
      </c>
      <c r="AI114">
        <f>IF($B114="",0,COUNTIFS('UX + Dev'!$AB$1:$DN$1,"&gt;="&amp;AI$1,'UX + Dev'!$AB$1:$DN$1,"&lt;="&amp;EOMONTH(AI$1,0),'UX + Dev'!$AB114:$DN114,"&lt;&gt;"))</f>
      </c>
      <c r="AJ114">
        <f>IF($B114="",0,COUNTIFS('UX + Dev'!$AB$1:$DN$1,"&gt;="&amp;AJ$1,'UX + Dev'!$AB$1:$DN$1,"&lt;="&amp;EOMONTH(AJ$1,0),'UX + Dev'!$AB114:$DN114,"&lt;&gt;"))</f>
      </c>
      <c r="AK114">
        <f>IF($B114="",0,COUNTIFS('UX + Dev'!$AB$1:$DN$1,"&gt;="&amp;AK$1,'UX + Dev'!$AB$1:$DN$1,"&lt;="&amp;EOMONTH(AK$1,0),'UX + Dev'!$AB114:$DN114,"&lt;&gt;"))</f>
      </c>
      <c r="AL114">
        <f>IF($B114="",0,COUNTIFS('UX + Dev'!$AB$1:$DN$1,"&gt;="&amp;AL$1,'UX + Dev'!$AB$1:$DN$1,"&lt;="&amp;EOMONTH(AL$1,0),'UX + Dev'!$AB114:$DN114,"&lt;&gt;"))</f>
      </c>
      <c r="AM114">
        <f>IF($B114="",0,COUNTIFS('UX + Dev'!$AB$1:$DN$1,"&gt;="&amp;AM$1,'UX + Dev'!$AB$1:$DN$1,"&lt;="&amp;EOMONTH(AM$1,0),'UX + Dev'!$AB114:$DN114,"&lt;&gt;"))</f>
      </c>
      <c r="AN114">
        <f>IF($B114="",0,COUNTIFS('UX + Dev'!$AB$1:$DN$1,"&gt;="&amp;AN$1,'UX + Dev'!$AB$1:$DN$1,"&lt;="&amp;EOMONTH(AN$1,0),'UX + Dev'!$AB114:$DN114,"&lt;&gt;"))</f>
      </c>
      <c r="AO114">
        <f>IF($B114="",0,COUNTIFS('UX + Dev'!$AB$1:$DN$1,"&gt;="&amp;AO$1,'UX + Dev'!$AB$1:$DN$1,"&lt;="&amp;EOMONTH(AO$1,0),'UX + Dev'!$AB114:$DN114,"&lt;&gt;"))</f>
      </c>
      <c r="AP114">
        <f>IF($B114="",0,COUNTIFS('UX + Dev'!$AB$1:$DN$1,"&gt;="&amp;AP$1,'UX + Dev'!$AB$1:$DN$1,"&lt;="&amp;EOMONTH(AP$1,0),'UX + Dev'!$AB114:$DN114,"&lt;&gt;"))</f>
      </c>
      <c r="AQ114">
        <f>IF($B114="",0,COUNTIFS('UX + Dev'!$AB$1:$DN$1,"&gt;="&amp;AQ$1,'UX + Dev'!$AB$1:$DN$1,"&lt;="&amp;EOMONTH(AQ$1,0),'UX + Dev'!$AB114:$DN114,"&lt;&gt;"))</f>
      </c>
      <c r="AR114">
        <f>IF($B114="",0,COUNTIFS('UX + Dev'!$AB$1:$DN$1,"&gt;="&amp;AR$1,'UX + Dev'!$AB$1:$DN$1,"&lt;="&amp;EOMONTH(AR$1,0),'UX + Dev'!$AB114:$DN114,"&lt;&gt;"))</f>
      </c>
      <c r="AS114">
        <f>IF($B114="",0,COUNTIFS('UX + Dev'!$AB$1:$DN$1,"&gt;="&amp;AS$1,'UX + Dev'!$AB$1:$DN$1,"&lt;="&amp;EOMONTH(AS$1,0),'UX + Dev'!$AB114:$DN114,"&lt;&gt;"))</f>
      </c>
      <c r="AT114">
        <f>IF($B114="",0,COUNTIFS('UX + Dev'!$AB$1:$DN$1,"&gt;="&amp;AT$1,'UX + Dev'!$AB$1:$DN$1,"&lt;="&amp;EOMONTH(AT$1,0),'UX + Dev'!$AB114:$DN114,"&lt;&gt;"))</f>
      </c>
      <c r="AU114">
        <f>IF($B114="",0,COUNTIFS('UX + Dev'!$AB$1:$DN$1,"&gt;="&amp;AU$1,'UX + Dev'!$AB$1:$DN$1,"&lt;="&amp;EOMONTH(AU$1,0),'UX + Dev'!$AB114:$DN114,"&lt;&gt;"))</f>
      </c>
      <c r="AV114">
        <f>IF($B114="",0,COUNTIFS('UX + Dev'!$AB$1:$DN$1,"&gt;="&amp;AV$1,'UX + Dev'!$AB$1:$DN$1,"&lt;="&amp;EOMONTH(AV$1,0),'UX + Dev'!$AB114:$DN114,"&lt;&gt;"))</f>
      </c>
      <c r="AW114">
        <f>IF($B114="",0,COUNTIFS('UX + Dev'!$AB$1:$DN$1,"&gt;="&amp;AW$1,'UX + Dev'!$AB$1:$DN$1,"&lt;="&amp;EOMONTH(AW$1,0),'UX + Dev'!$AB114:$DN114,"&lt;&gt;"))</f>
      </c>
      <c r="AX114">
        <f>IF($B114="",0,COUNTIFS('UX + Dev'!$AB$1:$DN$1,"&gt;="&amp;AX$1,'UX + Dev'!$AB$1:$DN$1,"&lt;="&amp;EOMONTH(AX$1,0),'UX + Dev'!$AB114:$DN114,"&lt;&gt;"))</f>
      </c>
      <c r="BB114" s="308">
        <f>IF($B114="","",IF(COUNTA('UX + Dev'!U114)&gt;0,DATE(YEAR('UX + Dev'!U114),MONTH('UX + Dev'!U114),1),IF(COUNTA('UX + Dev'!V114)&gt;0,DATE(YEAR('UX + Dev'!V114),MONTH('UX + Dev'!V114),1),"")))</f>
      </c>
      <c r="BC114" s="308">
        <f>IF($B114="","",IF(COUNTA('UX + Dev'!V114)&gt;0,EOMONTH('UX + Dev'!V114,0),IF(COUNTA('UX + Dev'!U114)&gt;0,EOMONTH('UX + Dev'!U114,0),"")))</f>
      </c>
    </row>
    <row r="115">
      <c r="A115" s="305" t="n">
        <v>115</v>
      </c>
      <c r="B115" s="305">
        <f>IF(TRIM('UX + Dev'!E115)="","",TRIM('UX + Dev'!E115))</f>
      </c>
      <c r="C115" s="305">
        <f>IF($B115="","",'UX + Dev'!B115)</f>
      </c>
      <c r="D115" s="305">
        <f>IF($B115="","",IF(TRIM('UX + Dev'!C115)="","(No theme assigned)",TRIM('UX + Dev'!C115)))</f>
      </c>
      <c r="E115" s="305">
        <f>IF($B115="","",TRIM('UX + Dev'!F115))</f>
      </c>
      <c r="F115" s="305">
        <f>IF($B115="","",'UX + Dev'!G115)</f>
      </c>
      <c r="G115" s="306">
        <f t="array" ref="G115">IF($B115="","",IF($T115=0,"",IFERROR(MIN(IF('UX + Dev'!$AB115:$DN115&lt;&gt;"",'UX + Dev'!$AB$1:$DN$1)),"")))</f>
      </c>
      <c r="H115" s="306">
        <f t="array" ref="H115">IF($B115="","",IF($T115=0,"",IFERROR(MAX(IF('UX + Dev'!$AB115:$DN115&lt;&gt;"",'UX + Dev'!$AB$1:$DN$1)),"")))</f>
      </c>
      <c r="I115" s="307">
        <f>IF($R115&lt;&gt;"",$R115,IF($S115&lt;&gt;"",$S115,""))</f>
      </c>
      <c r="J115" s="307">
        <f>IF($S115&lt;&gt;"",EOMONTH($S115,0),IF($R115&lt;&gt;"",EOMONTH($R115,0),""))</f>
      </c>
      <c r="K115" s="305">
        <f>IF($B115="","",IF(COUNTA('UX + Dev'!AA115)=0,"",TRIM('UX + Dev'!AA115)))</f>
      </c>
      <c r="L115" s="305">
        <f>IF($B115="","",IFERROR(MATCH($D115,Control!$E$4:$E$30,0),99))</f>
      </c>
      <c r="M115" s="305">
        <f>IF($B115="","",IFERROR(MATCH($F115,Control!$B$4:$B$30,0),99))</f>
      </c>
      <c r="N115" s="305">
        <f>IF($V115&lt;&gt;1,"",IF('Roadmap (Auto)'!$D$3="Status, then Theme",$M115*1000000+$L115*10000+ROW(),IF('Roadmap (Auto)'!$D$3="Dev start (earliest)",IF($I115="",99999999,$I115)*10000+ROW(),IF('Roadmap (Auto)'!$D$3="UX start (earliest)",IF($G115="",99999999,$G115)*10000+ROW(),IF('Roadmap (Auto)'!$D$3="Deliverable A-Z",$W115*10000+ROW(),$L115*1000000+$M115*10000+ROW())))))</f>
      </c>
      <c r="O115" s="305">
        <f>IF($N115="","",COUNTIF($N$2:$N$151,"&lt;"&amp;$N115)+1)</f>
      </c>
      <c r="P115" s="305">
        <f>IF($B115="","",IF(COUNTA('UX + Dev'!X115)=0,"",'UX + Dev'!X115))</f>
      </c>
      <c r="Q115" s="305">
        <f>IF($B115="","",IF(COUNTA('UX + Dev'!Y115)=0,"",'UX + Dev'!Y115))</f>
      </c>
      <c r="R115" s="307">
        <f>IF($P115="","",IF(ISNUMBER($P115),DATE(YEAR($P115),MONTH($P115),1),IFERROR(DATE(IFERROR(VALUE(RIGHT(TRIM($P115),4)),YEAR(TODAY())),(SEARCH(LEFT(TRIM($P115),3),"JanFebMarAprMayJunJulAugSepOctNovDec")+2)/3,1),"")))</f>
      </c>
      <c r="S115" s="307">
        <f>IF($Q115="","",IF(ISNUMBER($Q115),DATE(YEAR($Q115),MONTH($Q115),1),IFERROR(DATE(IFERROR(VALUE(RIGHT(TRIM($Q115),4)),YEAR(TODAY())),(SEARCH(LEFT(TRIM($Q115),3),"JanFebMarAprMayJunJulAugSepOctNovDec")+2)/3,1),"")))</f>
      </c>
      <c r="T115" s="305">
        <f>IF($B115="","",COUNTA('UX + Dev'!$AB115:$DN115))</f>
      </c>
      <c r="U115" s="305">
        <f>IF($B115="","",IFERROR(MATCH($D115,Control!$E$4:$E$30,0)+3,0))</f>
      </c>
      <c r="V115" s="305">
        <f>IF($B115="","",IF(AND(OR('Roadmap (Auto)'!$A$3="",'Roadmap (Auto)'!$A$3="(All)",ISNUMBER(SEARCH('Roadmap (Auto)'!$A$3,$C115&amp;""))),OR('Roadmap (Auto)'!$B$3="",'Roadmap (Auto)'!$B$3="(All)",$D115='Roadmap (Auto)'!$B$3,$X115='Roadmap (Auto)'!$B$3),OR('Roadmap (Auto)'!$C$3="",'Roadmap (Auto)'!$C$3="(All)",$F115='Roadmap (Auto)'!$C$3)),1,0))</f>
      </c>
      <c r="W115" s="305">
        <f>IF($B115="","",COUNTIF($Y$2:$Y$151,"&lt;"&amp;$Y115)+1)</f>
      </c>
      <c r="X115" s="305">
        <f>IF($B115="","",IF(TRIM('UX + Dev'!D115)="","",TRIM('UX + Dev'!D115)))</f>
      </c>
      <c r="Y115" s="305">
        <f>IF($B115="","",SUBSTITUTE(SUBSTITUTE(SUBSTITUTE(SUBSTITUTE(SUBSTITUTE(SUBSTITUTE(SUBSTITUTE(SUBSTITUTE(SUBSTITUTE(SUBSTITUTE(SUBSTITUTE(SUBSTITUTE(SUBSTITUTE(SUBSTITUTE(SUBSTITUTE(SUBSTITUTE(SUBSTITUTE(SUBSTITUTE(SUBSTITUTE(SUBSTITUTE(SUBSTITUTE(SUBSTITUTE(SUBSTITUTE(SUBSTITUTE(SUBSTITUTE(UPPER($B115)," ",""),"-",""),":",""),"/",""),"&amp;",""),"|",""),"'",""),"’",""),"&lt;",""),"&gt;",""),",",""),"$",""),".",""),"(",""),")",""),"*",""),"?",""),"~",""),"_",""),"+",""),"#",""),";",""),"!",""),"%",""),"@",""))</f>
      </c>
      <c r="AA115">
        <f>IF($B115="",0,COUNTIFS('UX + Dev'!$AB$1:$DN$1,"&gt;="&amp;AA$1,'UX + Dev'!$AB$1:$DN$1,"&lt;="&amp;EOMONTH(AA$1,0),'UX + Dev'!$AB115:$DN115,"&lt;&gt;"))</f>
      </c>
      <c r="AB115">
        <f>IF($B115="",0,COUNTIFS('UX + Dev'!$AB$1:$DN$1,"&gt;="&amp;AB$1,'UX + Dev'!$AB$1:$DN$1,"&lt;="&amp;EOMONTH(AB$1,0),'UX + Dev'!$AB115:$DN115,"&lt;&gt;"))</f>
      </c>
      <c r="AC115">
        <f>IF($B115="",0,COUNTIFS('UX + Dev'!$AB$1:$DN$1,"&gt;="&amp;AC$1,'UX + Dev'!$AB$1:$DN$1,"&lt;="&amp;EOMONTH(AC$1,0),'UX + Dev'!$AB115:$DN115,"&lt;&gt;"))</f>
      </c>
      <c r="AD115">
        <f>IF($B115="",0,COUNTIFS('UX + Dev'!$AB$1:$DN$1,"&gt;="&amp;AD$1,'UX + Dev'!$AB$1:$DN$1,"&lt;="&amp;EOMONTH(AD$1,0),'UX + Dev'!$AB115:$DN115,"&lt;&gt;"))</f>
      </c>
      <c r="AE115">
        <f>IF($B115="",0,COUNTIFS('UX + Dev'!$AB$1:$DN$1,"&gt;="&amp;AE$1,'UX + Dev'!$AB$1:$DN$1,"&lt;="&amp;EOMONTH(AE$1,0),'UX + Dev'!$AB115:$DN115,"&lt;&gt;"))</f>
      </c>
      <c r="AF115">
        <f>IF($B115="",0,COUNTIFS('UX + Dev'!$AB$1:$DN$1,"&gt;="&amp;AF$1,'UX + Dev'!$AB$1:$DN$1,"&lt;="&amp;EOMONTH(AF$1,0),'UX + Dev'!$AB115:$DN115,"&lt;&gt;"))</f>
      </c>
      <c r="AG115">
        <f>IF($B115="",0,COUNTIFS('UX + Dev'!$AB$1:$DN$1,"&gt;="&amp;AG$1,'UX + Dev'!$AB$1:$DN$1,"&lt;="&amp;EOMONTH(AG$1,0),'UX + Dev'!$AB115:$DN115,"&lt;&gt;"))</f>
      </c>
      <c r="AH115">
        <f>IF($B115="",0,COUNTIFS('UX + Dev'!$AB$1:$DN$1,"&gt;="&amp;AH$1,'UX + Dev'!$AB$1:$DN$1,"&lt;="&amp;EOMONTH(AH$1,0),'UX + Dev'!$AB115:$DN115,"&lt;&gt;"))</f>
      </c>
      <c r="AI115">
        <f>IF($B115="",0,COUNTIFS('UX + Dev'!$AB$1:$DN$1,"&gt;="&amp;AI$1,'UX + Dev'!$AB$1:$DN$1,"&lt;="&amp;EOMONTH(AI$1,0),'UX + Dev'!$AB115:$DN115,"&lt;&gt;"))</f>
      </c>
      <c r="AJ115">
        <f>IF($B115="",0,COUNTIFS('UX + Dev'!$AB$1:$DN$1,"&gt;="&amp;AJ$1,'UX + Dev'!$AB$1:$DN$1,"&lt;="&amp;EOMONTH(AJ$1,0),'UX + Dev'!$AB115:$DN115,"&lt;&gt;"))</f>
      </c>
      <c r="AK115">
        <f>IF($B115="",0,COUNTIFS('UX + Dev'!$AB$1:$DN$1,"&gt;="&amp;AK$1,'UX + Dev'!$AB$1:$DN$1,"&lt;="&amp;EOMONTH(AK$1,0),'UX + Dev'!$AB115:$DN115,"&lt;&gt;"))</f>
      </c>
      <c r="AL115">
        <f>IF($B115="",0,COUNTIFS('UX + Dev'!$AB$1:$DN$1,"&gt;="&amp;AL$1,'UX + Dev'!$AB$1:$DN$1,"&lt;="&amp;EOMONTH(AL$1,0),'UX + Dev'!$AB115:$DN115,"&lt;&gt;"))</f>
      </c>
      <c r="AM115">
        <f>IF($B115="",0,COUNTIFS('UX + Dev'!$AB$1:$DN$1,"&gt;="&amp;AM$1,'UX + Dev'!$AB$1:$DN$1,"&lt;="&amp;EOMONTH(AM$1,0),'UX + Dev'!$AB115:$DN115,"&lt;&gt;"))</f>
      </c>
      <c r="AN115">
        <f>IF($B115="",0,COUNTIFS('UX + Dev'!$AB$1:$DN$1,"&gt;="&amp;AN$1,'UX + Dev'!$AB$1:$DN$1,"&lt;="&amp;EOMONTH(AN$1,0),'UX + Dev'!$AB115:$DN115,"&lt;&gt;"))</f>
      </c>
      <c r="AO115">
        <f>IF($B115="",0,COUNTIFS('UX + Dev'!$AB$1:$DN$1,"&gt;="&amp;AO$1,'UX + Dev'!$AB$1:$DN$1,"&lt;="&amp;EOMONTH(AO$1,0),'UX + Dev'!$AB115:$DN115,"&lt;&gt;"))</f>
      </c>
      <c r="AP115">
        <f>IF($B115="",0,COUNTIFS('UX + Dev'!$AB$1:$DN$1,"&gt;="&amp;AP$1,'UX + Dev'!$AB$1:$DN$1,"&lt;="&amp;EOMONTH(AP$1,0),'UX + Dev'!$AB115:$DN115,"&lt;&gt;"))</f>
      </c>
      <c r="AQ115">
        <f>IF($B115="",0,COUNTIFS('UX + Dev'!$AB$1:$DN$1,"&gt;="&amp;AQ$1,'UX + Dev'!$AB$1:$DN$1,"&lt;="&amp;EOMONTH(AQ$1,0),'UX + Dev'!$AB115:$DN115,"&lt;&gt;"))</f>
      </c>
      <c r="AR115">
        <f>IF($B115="",0,COUNTIFS('UX + Dev'!$AB$1:$DN$1,"&gt;="&amp;AR$1,'UX + Dev'!$AB$1:$DN$1,"&lt;="&amp;EOMONTH(AR$1,0),'UX + Dev'!$AB115:$DN115,"&lt;&gt;"))</f>
      </c>
      <c r="AS115">
        <f>IF($B115="",0,COUNTIFS('UX + Dev'!$AB$1:$DN$1,"&gt;="&amp;AS$1,'UX + Dev'!$AB$1:$DN$1,"&lt;="&amp;EOMONTH(AS$1,0),'UX + Dev'!$AB115:$DN115,"&lt;&gt;"))</f>
      </c>
      <c r="AT115">
        <f>IF($B115="",0,COUNTIFS('UX + Dev'!$AB$1:$DN$1,"&gt;="&amp;AT$1,'UX + Dev'!$AB$1:$DN$1,"&lt;="&amp;EOMONTH(AT$1,0),'UX + Dev'!$AB115:$DN115,"&lt;&gt;"))</f>
      </c>
      <c r="AU115">
        <f>IF($B115="",0,COUNTIFS('UX + Dev'!$AB$1:$DN$1,"&gt;="&amp;AU$1,'UX + Dev'!$AB$1:$DN$1,"&lt;="&amp;EOMONTH(AU$1,0),'UX + Dev'!$AB115:$DN115,"&lt;&gt;"))</f>
      </c>
      <c r="AV115">
        <f>IF($B115="",0,COUNTIFS('UX + Dev'!$AB$1:$DN$1,"&gt;="&amp;AV$1,'UX + Dev'!$AB$1:$DN$1,"&lt;="&amp;EOMONTH(AV$1,0),'UX + Dev'!$AB115:$DN115,"&lt;&gt;"))</f>
      </c>
      <c r="AW115">
        <f>IF($B115="",0,COUNTIFS('UX + Dev'!$AB$1:$DN$1,"&gt;="&amp;AW$1,'UX + Dev'!$AB$1:$DN$1,"&lt;="&amp;EOMONTH(AW$1,0),'UX + Dev'!$AB115:$DN115,"&lt;&gt;"))</f>
      </c>
      <c r="AX115">
        <f>IF($B115="",0,COUNTIFS('UX + Dev'!$AB$1:$DN$1,"&gt;="&amp;AX$1,'UX + Dev'!$AB$1:$DN$1,"&lt;="&amp;EOMONTH(AX$1,0),'UX + Dev'!$AB115:$DN115,"&lt;&gt;"))</f>
      </c>
      <c r="BB115" s="308">
        <f>IF($B115="","",IF(COUNTA('UX + Dev'!U115)&gt;0,DATE(YEAR('UX + Dev'!U115),MONTH('UX + Dev'!U115),1),IF(COUNTA('UX + Dev'!V115)&gt;0,DATE(YEAR('UX + Dev'!V115),MONTH('UX + Dev'!V115),1),"")))</f>
      </c>
      <c r="BC115" s="308">
        <f>IF($B115="","",IF(COUNTA('UX + Dev'!V115)&gt;0,EOMONTH('UX + Dev'!V115,0),IF(COUNTA('UX + Dev'!U115)&gt;0,EOMONTH('UX + Dev'!U115,0),"")))</f>
      </c>
    </row>
    <row r="116">
      <c r="A116" s="305" t="n">
        <v>116</v>
      </c>
      <c r="B116" s="305">
        <f>IF(TRIM('UX + Dev'!E116)="","",TRIM('UX + Dev'!E116))</f>
      </c>
      <c r="C116" s="305">
        <f>IF($B116="","",'UX + Dev'!B116)</f>
      </c>
      <c r="D116" s="305">
        <f>IF($B116="","",IF(TRIM('UX + Dev'!C116)="","(No theme assigned)",TRIM('UX + Dev'!C116)))</f>
      </c>
      <c r="E116" s="305">
        <f>IF($B116="","",TRIM('UX + Dev'!F116))</f>
      </c>
      <c r="F116" s="305">
        <f>IF($B116="","",'UX + Dev'!G116)</f>
      </c>
      <c r="G116" s="306">
        <f t="array" ref="G116">IF($B116="","",IF($T116=0,"",IFERROR(MIN(IF('UX + Dev'!$AB116:$DN116&lt;&gt;"",'UX + Dev'!$AB$1:$DN$1)),"")))</f>
      </c>
      <c r="H116" s="306">
        <f t="array" ref="H116">IF($B116="","",IF($T116=0,"",IFERROR(MAX(IF('UX + Dev'!$AB116:$DN116&lt;&gt;"",'UX + Dev'!$AB$1:$DN$1)),"")))</f>
      </c>
      <c r="I116" s="307">
        <f>IF($R116&lt;&gt;"",$R116,IF($S116&lt;&gt;"",$S116,""))</f>
      </c>
      <c r="J116" s="307">
        <f>IF($S116&lt;&gt;"",EOMONTH($S116,0),IF($R116&lt;&gt;"",EOMONTH($R116,0),""))</f>
      </c>
      <c r="K116" s="305">
        <f>IF($B116="","",IF(COUNTA('UX + Dev'!AA116)=0,"",TRIM('UX + Dev'!AA116)))</f>
      </c>
      <c r="L116" s="305">
        <f>IF($B116="","",IFERROR(MATCH($D116,Control!$E$4:$E$30,0),99))</f>
      </c>
      <c r="M116" s="305">
        <f>IF($B116="","",IFERROR(MATCH($F116,Control!$B$4:$B$30,0),99))</f>
      </c>
      <c r="N116" s="305">
        <f>IF($V116&lt;&gt;1,"",IF('Roadmap (Auto)'!$D$3="Status, then Theme",$M116*1000000+$L116*10000+ROW(),IF('Roadmap (Auto)'!$D$3="Dev start (earliest)",IF($I116="",99999999,$I116)*10000+ROW(),IF('Roadmap (Auto)'!$D$3="UX start (earliest)",IF($G116="",99999999,$G116)*10000+ROW(),IF('Roadmap (Auto)'!$D$3="Deliverable A-Z",$W116*10000+ROW(),$L116*1000000+$M116*10000+ROW())))))</f>
      </c>
      <c r="O116" s="305">
        <f>IF($N116="","",COUNTIF($N$2:$N$151,"&lt;"&amp;$N116)+1)</f>
      </c>
      <c r="P116" s="305">
        <f>IF($B116="","",IF(COUNTA('UX + Dev'!X116)=0,"",'UX + Dev'!X116))</f>
      </c>
      <c r="Q116" s="305">
        <f>IF($B116="","",IF(COUNTA('UX + Dev'!Y116)=0,"",'UX + Dev'!Y116))</f>
      </c>
      <c r="R116" s="307">
        <f>IF($P116="","",IF(ISNUMBER($P116),DATE(YEAR($P116),MONTH($P116),1),IFERROR(DATE(IFERROR(VALUE(RIGHT(TRIM($P116),4)),YEAR(TODAY())),(SEARCH(LEFT(TRIM($P116),3),"JanFebMarAprMayJunJulAugSepOctNovDec")+2)/3,1),"")))</f>
      </c>
      <c r="S116" s="307">
        <f>IF($Q116="","",IF(ISNUMBER($Q116),DATE(YEAR($Q116),MONTH($Q116),1),IFERROR(DATE(IFERROR(VALUE(RIGHT(TRIM($Q116),4)),YEAR(TODAY())),(SEARCH(LEFT(TRIM($Q116),3),"JanFebMarAprMayJunJulAugSepOctNovDec")+2)/3,1),"")))</f>
      </c>
      <c r="T116" s="305">
        <f>IF($B116="","",COUNTA('UX + Dev'!$AB116:$DN116))</f>
      </c>
      <c r="U116" s="305">
        <f>IF($B116="","",IFERROR(MATCH($D116,Control!$E$4:$E$30,0)+3,0))</f>
      </c>
      <c r="V116" s="305">
        <f>IF($B116="","",IF(AND(OR('Roadmap (Auto)'!$A$3="",'Roadmap (Auto)'!$A$3="(All)",ISNUMBER(SEARCH('Roadmap (Auto)'!$A$3,$C116&amp;""))),OR('Roadmap (Auto)'!$B$3="",'Roadmap (Auto)'!$B$3="(All)",$D116='Roadmap (Auto)'!$B$3,$X116='Roadmap (Auto)'!$B$3),OR('Roadmap (Auto)'!$C$3="",'Roadmap (Auto)'!$C$3="(All)",$F116='Roadmap (Auto)'!$C$3)),1,0))</f>
      </c>
      <c r="W116" s="305">
        <f>IF($B116="","",COUNTIF($Y$2:$Y$151,"&lt;"&amp;$Y116)+1)</f>
      </c>
      <c r="X116" s="305">
        <f>IF($B116="","",IF(TRIM('UX + Dev'!D116)="","",TRIM('UX + Dev'!D116)))</f>
      </c>
      <c r="Y116" s="305">
        <f>IF($B116="","",SUBSTITUTE(SUBSTITUTE(SUBSTITUTE(SUBSTITUTE(SUBSTITUTE(SUBSTITUTE(SUBSTITUTE(SUBSTITUTE(SUBSTITUTE(SUBSTITUTE(SUBSTITUTE(SUBSTITUTE(SUBSTITUTE(SUBSTITUTE(SUBSTITUTE(SUBSTITUTE(SUBSTITUTE(SUBSTITUTE(SUBSTITUTE(SUBSTITUTE(SUBSTITUTE(SUBSTITUTE(SUBSTITUTE(SUBSTITUTE(SUBSTITUTE(UPPER($B116)," ",""),"-",""),":",""),"/",""),"&amp;",""),"|",""),"'",""),"’",""),"&lt;",""),"&gt;",""),",",""),"$",""),".",""),"(",""),")",""),"*",""),"?",""),"~",""),"_",""),"+",""),"#",""),";",""),"!",""),"%",""),"@",""))</f>
      </c>
      <c r="AA116">
        <f>IF($B116="",0,COUNTIFS('UX + Dev'!$AB$1:$DN$1,"&gt;="&amp;AA$1,'UX + Dev'!$AB$1:$DN$1,"&lt;="&amp;EOMONTH(AA$1,0),'UX + Dev'!$AB116:$DN116,"&lt;&gt;"))</f>
      </c>
      <c r="AB116">
        <f>IF($B116="",0,COUNTIFS('UX + Dev'!$AB$1:$DN$1,"&gt;="&amp;AB$1,'UX + Dev'!$AB$1:$DN$1,"&lt;="&amp;EOMONTH(AB$1,0),'UX + Dev'!$AB116:$DN116,"&lt;&gt;"))</f>
      </c>
      <c r="AC116">
        <f>IF($B116="",0,COUNTIFS('UX + Dev'!$AB$1:$DN$1,"&gt;="&amp;AC$1,'UX + Dev'!$AB$1:$DN$1,"&lt;="&amp;EOMONTH(AC$1,0),'UX + Dev'!$AB116:$DN116,"&lt;&gt;"))</f>
      </c>
      <c r="AD116">
        <f>IF($B116="",0,COUNTIFS('UX + Dev'!$AB$1:$DN$1,"&gt;="&amp;AD$1,'UX + Dev'!$AB$1:$DN$1,"&lt;="&amp;EOMONTH(AD$1,0),'UX + Dev'!$AB116:$DN116,"&lt;&gt;"))</f>
      </c>
      <c r="AE116">
        <f>IF($B116="",0,COUNTIFS('UX + Dev'!$AB$1:$DN$1,"&gt;="&amp;AE$1,'UX + Dev'!$AB$1:$DN$1,"&lt;="&amp;EOMONTH(AE$1,0),'UX + Dev'!$AB116:$DN116,"&lt;&gt;"))</f>
      </c>
      <c r="AF116">
        <f>IF($B116="",0,COUNTIFS('UX + Dev'!$AB$1:$DN$1,"&gt;="&amp;AF$1,'UX + Dev'!$AB$1:$DN$1,"&lt;="&amp;EOMONTH(AF$1,0),'UX + Dev'!$AB116:$DN116,"&lt;&gt;"))</f>
      </c>
      <c r="AG116">
        <f>IF($B116="",0,COUNTIFS('UX + Dev'!$AB$1:$DN$1,"&gt;="&amp;AG$1,'UX + Dev'!$AB$1:$DN$1,"&lt;="&amp;EOMONTH(AG$1,0),'UX + Dev'!$AB116:$DN116,"&lt;&gt;"))</f>
      </c>
      <c r="AH116">
        <f>IF($B116="",0,COUNTIFS('UX + Dev'!$AB$1:$DN$1,"&gt;="&amp;AH$1,'UX + Dev'!$AB$1:$DN$1,"&lt;="&amp;EOMONTH(AH$1,0),'UX + Dev'!$AB116:$DN116,"&lt;&gt;"))</f>
      </c>
      <c r="AI116">
        <f>IF($B116="",0,COUNTIFS('UX + Dev'!$AB$1:$DN$1,"&gt;="&amp;AI$1,'UX + Dev'!$AB$1:$DN$1,"&lt;="&amp;EOMONTH(AI$1,0),'UX + Dev'!$AB116:$DN116,"&lt;&gt;"))</f>
      </c>
      <c r="AJ116">
        <f>IF($B116="",0,COUNTIFS('UX + Dev'!$AB$1:$DN$1,"&gt;="&amp;AJ$1,'UX + Dev'!$AB$1:$DN$1,"&lt;="&amp;EOMONTH(AJ$1,0),'UX + Dev'!$AB116:$DN116,"&lt;&gt;"))</f>
      </c>
      <c r="AK116">
        <f>IF($B116="",0,COUNTIFS('UX + Dev'!$AB$1:$DN$1,"&gt;="&amp;AK$1,'UX + Dev'!$AB$1:$DN$1,"&lt;="&amp;EOMONTH(AK$1,0),'UX + Dev'!$AB116:$DN116,"&lt;&gt;"))</f>
      </c>
      <c r="AL116">
        <f>IF($B116="",0,COUNTIFS('UX + Dev'!$AB$1:$DN$1,"&gt;="&amp;AL$1,'UX + Dev'!$AB$1:$DN$1,"&lt;="&amp;EOMONTH(AL$1,0),'UX + Dev'!$AB116:$DN116,"&lt;&gt;"))</f>
      </c>
      <c r="AM116">
        <f>IF($B116="",0,COUNTIFS('UX + Dev'!$AB$1:$DN$1,"&gt;="&amp;AM$1,'UX + Dev'!$AB$1:$DN$1,"&lt;="&amp;EOMONTH(AM$1,0),'UX + Dev'!$AB116:$DN116,"&lt;&gt;"))</f>
      </c>
      <c r="AN116">
        <f>IF($B116="",0,COUNTIFS('UX + Dev'!$AB$1:$DN$1,"&gt;="&amp;AN$1,'UX + Dev'!$AB$1:$DN$1,"&lt;="&amp;EOMONTH(AN$1,0),'UX + Dev'!$AB116:$DN116,"&lt;&gt;"))</f>
      </c>
      <c r="AO116">
        <f>IF($B116="",0,COUNTIFS('UX + Dev'!$AB$1:$DN$1,"&gt;="&amp;AO$1,'UX + Dev'!$AB$1:$DN$1,"&lt;="&amp;EOMONTH(AO$1,0),'UX + Dev'!$AB116:$DN116,"&lt;&gt;"))</f>
      </c>
      <c r="AP116">
        <f>IF($B116="",0,COUNTIFS('UX + Dev'!$AB$1:$DN$1,"&gt;="&amp;AP$1,'UX + Dev'!$AB$1:$DN$1,"&lt;="&amp;EOMONTH(AP$1,0),'UX + Dev'!$AB116:$DN116,"&lt;&gt;"))</f>
      </c>
      <c r="AQ116">
        <f>IF($B116="",0,COUNTIFS('UX + Dev'!$AB$1:$DN$1,"&gt;="&amp;AQ$1,'UX + Dev'!$AB$1:$DN$1,"&lt;="&amp;EOMONTH(AQ$1,0),'UX + Dev'!$AB116:$DN116,"&lt;&gt;"))</f>
      </c>
      <c r="AR116">
        <f>IF($B116="",0,COUNTIFS('UX + Dev'!$AB$1:$DN$1,"&gt;="&amp;AR$1,'UX + Dev'!$AB$1:$DN$1,"&lt;="&amp;EOMONTH(AR$1,0),'UX + Dev'!$AB116:$DN116,"&lt;&gt;"))</f>
      </c>
      <c r="AS116">
        <f>IF($B116="",0,COUNTIFS('UX + Dev'!$AB$1:$DN$1,"&gt;="&amp;AS$1,'UX + Dev'!$AB$1:$DN$1,"&lt;="&amp;EOMONTH(AS$1,0),'UX + Dev'!$AB116:$DN116,"&lt;&gt;"))</f>
      </c>
      <c r="AT116">
        <f>IF($B116="",0,COUNTIFS('UX + Dev'!$AB$1:$DN$1,"&gt;="&amp;AT$1,'UX + Dev'!$AB$1:$DN$1,"&lt;="&amp;EOMONTH(AT$1,0),'UX + Dev'!$AB116:$DN116,"&lt;&gt;"))</f>
      </c>
      <c r="AU116">
        <f>IF($B116="",0,COUNTIFS('UX + Dev'!$AB$1:$DN$1,"&gt;="&amp;AU$1,'UX + Dev'!$AB$1:$DN$1,"&lt;="&amp;EOMONTH(AU$1,0),'UX + Dev'!$AB116:$DN116,"&lt;&gt;"))</f>
      </c>
      <c r="AV116">
        <f>IF($B116="",0,COUNTIFS('UX + Dev'!$AB$1:$DN$1,"&gt;="&amp;AV$1,'UX + Dev'!$AB$1:$DN$1,"&lt;="&amp;EOMONTH(AV$1,0),'UX + Dev'!$AB116:$DN116,"&lt;&gt;"))</f>
      </c>
      <c r="AW116">
        <f>IF($B116="",0,COUNTIFS('UX + Dev'!$AB$1:$DN$1,"&gt;="&amp;AW$1,'UX + Dev'!$AB$1:$DN$1,"&lt;="&amp;EOMONTH(AW$1,0),'UX + Dev'!$AB116:$DN116,"&lt;&gt;"))</f>
      </c>
      <c r="AX116">
        <f>IF($B116="",0,COUNTIFS('UX + Dev'!$AB$1:$DN$1,"&gt;="&amp;AX$1,'UX + Dev'!$AB$1:$DN$1,"&lt;="&amp;EOMONTH(AX$1,0),'UX + Dev'!$AB116:$DN116,"&lt;&gt;"))</f>
      </c>
      <c r="BB116" s="308">
        <f>IF($B116="","",IF(COUNTA('UX + Dev'!U116)&gt;0,DATE(YEAR('UX + Dev'!U116),MONTH('UX + Dev'!U116),1),IF(COUNTA('UX + Dev'!V116)&gt;0,DATE(YEAR('UX + Dev'!V116),MONTH('UX + Dev'!V116),1),"")))</f>
      </c>
      <c r="BC116" s="308">
        <f>IF($B116="","",IF(COUNTA('UX + Dev'!V116)&gt;0,EOMONTH('UX + Dev'!V116,0),IF(COUNTA('UX + Dev'!U116)&gt;0,EOMONTH('UX + Dev'!U116,0),"")))</f>
      </c>
    </row>
    <row r="117">
      <c r="A117" s="305" t="n">
        <v>117</v>
      </c>
      <c r="B117" s="305">
        <f>IF(TRIM('UX + Dev'!E117)="","",TRIM('UX + Dev'!E117))</f>
      </c>
      <c r="C117" s="305">
        <f>IF($B117="","",'UX + Dev'!B117)</f>
      </c>
      <c r="D117" s="305">
        <f>IF($B117="","",IF(TRIM('UX + Dev'!C117)="","(No theme assigned)",TRIM('UX + Dev'!C117)))</f>
      </c>
      <c r="E117" s="305">
        <f>IF($B117="","",TRIM('UX + Dev'!F117))</f>
      </c>
      <c r="F117" s="305">
        <f>IF($B117="","",'UX + Dev'!G117)</f>
      </c>
      <c r="G117" s="306">
        <f t="array" ref="G117">IF($B117="","",IF($T117=0,"",IFERROR(MIN(IF('UX + Dev'!$AB117:$DN117&lt;&gt;"",'UX + Dev'!$AB$1:$DN$1)),"")))</f>
      </c>
      <c r="H117" s="306">
        <f t="array" ref="H117">IF($B117="","",IF($T117=0,"",IFERROR(MAX(IF('UX + Dev'!$AB117:$DN117&lt;&gt;"",'UX + Dev'!$AB$1:$DN$1)),"")))</f>
      </c>
      <c r="I117" s="307">
        <f>IF($R117&lt;&gt;"",$R117,IF($S117&lt;&gt;"",$S117,""))</f>
      </c>
      <c r="J117" s="307">
        <f>IF($S117&lt;&gt;"",EOMONTH($S117,0),IF($R117&lt;&gt;"",EOMONTH($R117,0),""))</f>
      </c>
      <c r="K117" s="305">
        <f>IF($B117="","",IF(COUNTA('UX + Dev'!AA117)=0,"",TRIM('UX + Dev'!AA117)))</f>
      </c>
      <c r="L117" s="305">
        <f>IF($B117="","",IFERROR(MATCH($D117,Control!$E$4:$E$30,0),99))</f>
      </c>
      <c r="M117" s="305">
        <f>IF($B117="","",IFERROR(MATCH($F117,Control!$B$4:$B$30,0),99))</f>
      </c>
      <c r="N117" s="305">
        <f>IF($V117&lt;&gt;1,"",IF('Roadmap (Auto)'!$D$3="Status, then Theme",$M117*1000000+$L117*10000+ROW(),IF('Roadmap (Auto)'!$D$3="Dev start (earliest)",IF($I117="",99999999,$I117)*10000+ROW(),IF('Roadmap (Auto)'!$D$3="UX start (earliest)",IF($G117="",99999999,$G117)*10000+ROW(),IF('Roadmap (Auto)'!$D$3="Deliverable A-Z",$W117*10000+ROW(),$L117*1000000+$M117*10000+ROW())))))</f>
      </c>
      <c r="O117" s="305">
        <f>IF($N117="","",COUNTIF($N$2:$N$151,"&lt;"&amp;$N117)+1)</f>
      </c>
      <c r="P117" s="305">
        <f>IF($B117="","",IF(COUNTA('UX + Dev'!X117)=0,"",'UX + Dev'!X117))</f>
      </c>
      <c r="Q117" s="305">
        <f>IF($B117="","",IF(COUNTA('UX + Dev'!Y117)=0,"",'UX + Dev'!Y117))</f>
      </c>
      <c r="R117" s="307">
        <f>IF($P117="","",IF(ISNUMBER($P117),DATE(YEAR($P117),MONTH($P117),1),IFERROR(DATE(IFERROR(VALUE(RIGHT(TRIM($P117),4)),YEAR(TODAY())),(SEARCH(LEFT(TRIM($P117),3),"JanFebMarAprMayJunJulAugSepOctNovDec")+2)/3,1),"")))</f>
      </c>
      <c r="S117" s="307">
        <f>IF($Q117="","",IF(ISNUMBER($Q117),DATE(YEAR($Q117),MONTH($Q117),1),IFERROR(DATE(IFERROR(VALUE(RIGHT(TRIM($Q117),4)),YEAR(TODAY())),(SEARCH(LEFT(TRIM($Q117),3),"JanFebMarAprMayJunJulAugSepOctNovDec")+2)/3,1),"")))</f>
      </c>
      <c r="T117" s="305">
        <f>IF($B117="","",COUNTA('UX + Dev'!$AB117:$DN117))</f>
      </c>
      <c r="U117" s="305">
        <f>IF($B117="","",IFERROR(MATCH($D117,Control!$E$4:$E$30,0)+3,0))</f>
      </c>
      <c r="V117" s="305">
        <f>IF($B117="","",IF(AND(OR('Roadmap (Auto)'!$A$3="",'Roadmap (Auto)'!$A$3="(All)",ISNUMBER(SEARCH('Roadmap (Auto)'!$A$3,$C117&amp;""))),OR('Roadmap (Auto)'!$B$3="",'Roadmap (Auto)'!$B$3="(All)",$D117='Roadmap (Auto)'!$B$3,$X117='Roadmap (Auto)'!$B$3),OR('Roadmap (Auto)'!$C$3="",'Roadmap (Auto)'!$C$3="(All)",$F117='Roadmap (Auto)'!$C$3)),1,0))</f>
      </c>
      <c r="W117" s="305">
        <f>IF($B117="","",COUNTIF($Y$2:$Y$151,"&lt;"&amp;$Y117)+1)</f>
      </c>
      <c r="X117" s="305">
        <f>IF($B117="","",IF(TRIM('UX + Dev'!D117)="","",TRIM('UX + Dev'!D117)))</f>
      </c>
      <c r="Y117" s="305">
        <f>IF($B117="","",SUBSTITUTE(SUBSTITUTE(SUBSTITUTE(SUBSTITUTE(SUBSTITUTE(SUBSTITUTE(SUBSTITUTE(SUBSTITUTE(SUBSTITUTE(SUBSTITUTE(SUBSTITUTE(SUBSTITUTE(SUBSTITUTE(SUBSTITUTE(SUBSTITUTE(SUBSTITUTE(SUBSTITUTE(SUBSTITUTE(SUBSTITUTE(SUBSTITUTE(SUBSTITUTE(SUBSTITUTE(SUBSTITUTE(SUBSTITUTE(SUBSTITUTE(UPPER($B117)," ",""),"-",""),":",""),"/",""),"&amp;",""),"|",""),"'",""),"’",""),"&lt;",""),"&gt;",""),",",""),"$",""),".",""),"(",""),")",""),"*",""),"?",""),"~",""),"_",""),"+",""),"#",""),";",""),"!",""),"%",""),"@",""))</f>
      </c>
      <c r="AA117">
        <f>IF($B117="",0,COUNTIFS('UX + Dev'!$AB$1:$DN$1,"&gt;="&amp;AA$1,'UX + Dev'!$AB$1:$DN$1,"&lt;="&amp;EOMONTH(AA$1,0),'UX + Dev'!$AB117:$DN117,"&lt;&gt;"))</f>
      </c>
      <c r="AB117">
        <f>IF($B117="",0,COUNTIFS('UX + Dev'!$AB$1:$DN$1,"&gt;="&amp;AB$1,'UX + Dev'!$AB$1:$DN$1,"&lt;="&amp;EOMONTH(AB$1,0),'UX + Dev'!$AB117:$DN117,"&lt;&gt;"))</f>
      </c>
      <c r="AC117">
        <f>IF($B117="",0,COUNTIFS('UX + Dev'!$AB$1:$DN$1,"&gt;="&amp;AC$1,'UX + Dev'!$AB$1:$DN$1,"&lt;="&amp;EOMONTH(AC$1,0),'UX + Dev'!$AB117:$DN117,"&lt;&gt;"))</f>
      </c>
      <c r="AD117">
        <f>IF($B117="",0,COUNTIFS('UX + Dev'!$AB$1:$DN$1,"&gt;="&amp;AD$1,'UX + Dev'!$AB$1:$DN$1,"&lt;="&amp;EOMONTH(AD$1,0),'UX + Dev'!$AB117:$DN117,"&lt;&gt;"))</f>
      </c>
      <c r="AE117">
        <f>IF($B117="",0,COUNTIFS('UX + Dev'!$AB$1:$DN$1,"&gt;="&amp;AE$1,'UX + Dev'!$AB$1:$DN$1,"&lt;="&amp;EOMONTH(AE$1,0),'UX + Dev'!$AB117:$DN117,"&lt;&gt;"))</f>
      </c>
      <c r="AF117">
        <f>IF($B117="",0,COUNTIFS('UX + Dev'!$AB$1:$DN$1,"&gt;="&amp;AF$1,'UX + Dev'!$AB$1:$DN$1,"&lt;="&amp;EOMONTH(AF$1,0),'UX + Dev'!$AB117:$DN117,"&lt;&gt;"))</f>
      </c>
      <c r="AG117">
        <f>IF($B117="",0,COUNTIFS('UX + Dev'!$AB$1:$DN$1,"&gt;="&amp;AG$1,'UX + Dev'!$AB$1:$DN$1,"&lt;="&amp;EOMONTH(AG$1,0),'UX + Dev'!$AB117:$DN117,"&lt;&gt;"))</f>
      </c>
      <c r="AH117">
        <f>IF($B117="",0,COUNTIFS('UX + Dev'!$AB$1:$DN$1,"&gt;="&amp;AH$1,'UX + Dev'!$AB$1:$DN$1,"&lt;="&amp;EOMONTH(AH$1,0),'UX + Dev'!$AB117:$DN117,"&lt;&gt;"))</f>
      </c>
      <c r="AI117">
        <f>IF($B117="",0,COUNTIFS('UX + Dev'!$AB$1:$DN$1,"&gt;="&amp;AI$1,'UX + Dev'!$AB$1:$DN$1,"&lt;="&amp;EOMONTH(AI$1,0),'UX + Dev'!$AB117:$DN117,"&lt;&gt;"))</f>
      </c>
      <c r="AJ117">
        <f>IF($B117="",0,COUNTIFS('UX + Dev'!$AB$1:$DN$1,"&gt;="&amp;AJ$1,'UX + Dev'!$AB$1:$DN$1,"&lt;="&amp;EOMONTH(AJ$1,0),'UX + Dev'!$AB117:$DN117,"&lt;&gt;"))</f>
      </c>
      <c r="AK117">
        <f>IF($B117="",0,COUNTIFS('UX + Dev'!$AB$1:$DN$1,"&gt;="&amp;AK$1,'UX + Dev'!$AB$1:$DN$1,"&lt;="&amp;EOMONTH(AK$1,0),'UX + Dev'!$AB117:$DN117,"&lt;&gt;"))</f>
      </c>
      <c r="AL117">
        <f>IF($B117="",0,COUNTIFS('UX + Dev'!$AB$1:$DN$1,"&gt;="&amp;AL$1,'UX + Dev'!$AB$1:$DN$1,"&lt;="&amp;EOMONTH(AL$1,0),'UX + Dev'!$AB117:$DN117,"&lt;&gt;"))</f>
      </c>
      <c r="AM117">
        <f>IF($B117="",0,COUNTIFS('UX + Dev'!$AB$1:$DN$1,"&gt;="&amp;AM$1,'UX + Dev'!$AB$1:$DN$1,"&lt;="&amp;EOMONTH(AM$1,0),'UX + Dev'!$AB117:$DN117,"&lt;&gt;"))</f>
      </c>
      <c r="AN117">
        <f>IF($B117="",0,COUNTIFS('UX + Dev'!$AB$1:$DN$1,"&gt;="&amp;AN$1,'UX + Dev'!$AB$1:$DN$1,"&lt;="&amp;EOMONTH(AN$1,0),'UX + Dev'!$AB117:$DN117,"&lt;&gt;"))</f>
      </c>
      <c r="AO117">
        <f>IF($B117="",0,COUNTIFS('UX + Dev'!$AB$1:$DN$1,"&gt;="&amp;AO$1,'UX + Dev'!$AB$1:$DN$1,"&lt;="&amp;EOMONTH(AO$1,0),'UX + Dev'!$AB117:$DN117,"&lt;&gt;"))</f>
      </c>
      <c r="AP117">
        <f>IF($B117="",0,COUNTIFS('UX + Dev'!$AB$1:$DN$1,"&gt;="&amp;AP$1,'UX + Dev'!$AB$1:$DN$1,"&lt;="&amp;EOMONTH(AP$1,0),'UX + Dev'!$AB117:$DN117,"&lt;&gt;"))</f>
      </c>
      <c r="AQ117">
        <f>IF($B117="",0,COUNTIFS('UX + Dev'!$AB$1:$DN$1,"&gt;="&amp;AQ$1,'UX + Dev'!$AB$1:$DN$1,"&lt;="&amp;EOMONTH(AQ$1,0),'UX + Dev'!$AB117:$DN117,"&lt;&gt;"))</f>
      </c>
      <c r="AR117">
        <f>IF($B117="",0,COUNTIFS('UX + Dev'!$AB$1:$DN$1,"&gt;="&amp;AR$1,'UX + Dev'!$AB$1:$DN$1,"&lt;="&amp;EOMONTH(AR$1,0),'UX + Dev'!$AB117:$DN117,"&lt;&gt;"))</f>
      </c>
      <c r="AS117">
        <f>IF($B117="",0,COUNTIFS('UX + Dev'!$AB$1:$DN$1,"&gt;="&amp;AS$1,'UX + Dev'!$AB$1:$DN$1,"&lt;="&amp;EOMONTH(AS$1,0),'UX + Dev'!$AB117:$DN117,"&lt;&gt;"))</f>
      </c>
      <c r="AT117">
        <f>IF($B117="",0,COUNTIFS('UX + Dev'!$AB$1:$DN$1,"&gt;="&amp;AT$1,'UX + Dev'!$AB$1:$DN$1,"&lt;="&amp;EOMONTH(AT$1,0),'UX + Dev'!$AB117:$DN117,"&lt;&gt;"))</f>
      </c>
      <c r="AU117">
        <f>IF($B117="",0,COUNTIFS('UX + Dev'!$AB$1:$DN$1,"&gt;="&amp;AU$1,'UX + Dev'!$AB$1:$DN$1,"&lt;="&amp;EOMONTH(AU$1,0),'UX + Dev'!$AB117:$DN117,"&lt;&gt;"))</f>
      </c>
      <c r="AV117">
        <f>IF($B117="",0,COUNTIFS('UX + Dev'!$AB$1:$DN$1,"&gt;="&amp;AV$1,'UX + Dev'!$AB$1:$DN$1,"&lt;="&amp;EOMONTH(AV$1,0),'UX + Dev'!$AB117:$DN117,"&lt;&gt;"))</f>
      </c>
      <c r="AW117">
        <f>IF($B117="",0,COUNTIFS('UX + Dev'!$AB$1:$DN$1,"&gt;="&amp;AW$1,'UX + Dev'!$AB$1:$DN$1,"&lt;="&amp;EOMONTH(AW$1,0),'UX + Dev'!$AB117:$DN117,"&lt;&gt;"))</f>
      </c>
      <c r="AX117">
        <f>IF($B117="",0,COUNTIFS('UX + Dev'!$AB$1:$DN$1,"&gt;="&amp;AX$1,'UX + Dev'!$AB$1:$DN$1,"&lt;="&amp;EOMONTH(AX$1,0),'UX + Dev'!$AB117:$DN117,"&lt;&gt;"))</f>
      </c>
      <c r="BB117" s="308">
        <f>IF($B117="","",IF(COUNTA('UX + Dev'!U117)&gt;0,DATE(YEAR('UX + Dev'!U117),MONTH('UX + Dev'!U117),1),IF(COUNTA('UX + Dev'!V117)&gt;0,DATE(YEAR('UX + Dev'!V117),MONTH('UX + Dev'!V117),1),"")))</f>
      </c>
      <c r="BC117" s="308">
        <f>IF($B117="","",IF(COUNTA('UX + Dev'!V117)&gt;0,EOMONTH('UX + Dev'!V117,0),IF(COUNTA('UX + Dev'!U117)&gt;0,EOMONTH('UX + Dev'!U117,0),"")))</f>
      </c>
    </row>
    <row r="118">
      <c r="A118" s="305" t="n">
        <v>118</v>
      </c>
      <c r="B118" s="305">
        <f>IF(TRIM('UX + Dev'!E118)="","",TRIM('UX + Dev'!E118))</f>
      </c>
      <c r="C118" s="305">
        <f>IF($B118="","",'UX + Dev'!B118)</f>
      </c>
      <c r="D118" s="305">
        <f>IF($B118="","",IF(TRIM('UX + Dev'!C118)="","(No theme assigned)",TRIM('UX + Dev'!C118)))</f>
      </c>
      <c r="E118" s="305">
        <f>IF($B118="","",TRIM('UX + Dev'!F118))</f>
      </c>
      <c r="F118" s="305">
        <f>IF($B118="","",'UX + Dev'!G118)</f>
      </c>
      <c r="G118" s="306">
        <f t="array" ref="G118">IF($B118="","",IF($T118=0,"",IFERROR(MIN(IF('UX + Dev'!$AB118:$DN118&lt;&gt;"",'UX + Dev'!$AB$1:$DN$1)),"")))</f>
      </c>
      <c r="H118" s="306">
        <f t="array" ref="H118">IF($B118="","",IF($T118=0,"",IFERROR(MAX(IF('UX + Dev'!$AB118:$DN118&lt;&gt;"",'UX + Dev'!$AB$1:$DN$1)),"")))</f>
      </c>
      <c r="I118" s="307">
        <f>IF($R118&lt;&gt;"",$R118,IF($S118&lt;&gt;"",$S118,""))</f>
      </c>
      <c r="J118" s="307">
        <f>IF($S118&lt;&gt;"",EOMONTH($S118,0),IF($R118&lt;&gt;"",EOMONTH($R118,0),""))</f>
      </c>
      <c r="K118" s="305">
        <f>IF($B118="","",IF(COUNTA('UX + Dev'!AA118)=0,"",TRIM('UX + Dev'!AA118)))</f>
      </c>
      <c r="L118" s="305">
        <f>IF($B118="","",IFERROR(MATCH($D118,Control!$E$4:$E$30,0),99))</f>
      </c>
      <c r="M118" s="305">
        <f>IF($B118="","",IFERROR(MATCH($F118,Control!$B$4:$B$30,0),99))</f>
      </c>
      <c r="N118" s="305">
        <f>IF($V118&lt;&gt;1,"",IF('Roadmap (Auto)'!$D$3="Status, then Theme",$M118*1000000+$L118*10000+ROW(),IF('Roadmap (Auto)'!$D$3="Dev start (earliest)",IF($I118="",99999999,$I118)*10000+ROW(),IF('Roadmap (Auto)'!$D$3="UX start (earliest)",IF($G118="",99999999,$G118)*10000+ROW(),IF('Roadmap (Auto)'!$D$3="Deliverable A-Z",$W118*10000+ROW(),$L118*1000000+$M118*10000+ROW())))))</f>
      </c>
      <c r="O118" s="305">
        <f>IF($N118="","",COUNTIF($N$2:$N$151,"&lt;"&amp;$N118)+1)</f>
      </c>
      <c r="P118" s="305">
        <f>IF($B118="","",IF(COUNTA('UX + Dev'!X118)=0,"",'UX + Dev'!X118))</f>
      </c>
      <c r="Q118" s="305">
        <f>IF($B118="","",IF(COUNTA('UX + Dev'!Y118)=0,"",'UX + Dev'!Y118))</f>
      </c>
      <c r="R118" s="307">
        <f>IF($P118="","",IF(ISNUMBER($P118),DATE(YEAR($P118),MONTH($P118),1),IFERROR(DATE(IFERROR(VALUE(RIGHT(TRIM($P118),4)),YEAR(TODAY())),(SEARCH(LEFT(TRIM($P118),3),"JanFebMarAprMayJunJulAugSepOctNovDec")+2)/3,1),"")))</f>
      </c>
      <c r="S118" s="307">
        <f>IF($Q118="","",IF(ISNUMBER($Q118),DATE(YEAR($Q118),MONTH($Q118),1),IFERROR(DATE(IFERROR(VALUE(RIGHT(TRIM($Q118),4)),YEAR(TODAY())),(SEARCH(LEFT(TRIM($Q118),3),"JanFebMarAprMayJunJulAugSepOctNovDec")+2)/3,1),"")))</f>
      </c>
      <c r="T118" s="305">
        <f>IF($B118="","",COUNTA('UX + Dev'!$AB118:$DN118))</f>
      </c>
      <c r="U118" s="305">
        <f>IF($B118="","",IFERROR(MATCH($D118,Control!$E$4:$E$30,0)+3,0))</f>
      </c>
      <c r="V118" s="305">
        <f>IF($B118="","",IF(AND(OR('Roadmap (Auto)'!$A$3="",'Roadmap (Auto)'!$A$3="(All)",ISNUMBER(SEARCH('Roadmap (Auto)'!$A$3,$C118&amp;""))),OR('Roadmap (Auto)'!$B$3="",'Roadmap (Auto)'!$B$3="(All)",$D118='Roadmap (Auto)'!$B$3,$X118='Roadmap (Auto)'!$B$3),OR('Roadmap (Auto)'!$C$3="",'Roadmap (Auto)'!$C$3="(All)",$F118='Roadmap (Auto)'!$C$3)),1,0))</f>
      </c>
      <c r="W118" s="305">
        <f>IF($B118="","",COUNTIF($Y$2:$Y$151,"&lt;"&amp;$Y118)+1)</f>
      </c>
      <c r="X118" s="305">
        <f>IF($B118="","",IF(TRIM('UX + Dev'!D118)="","",TRIM('UX + Dev'!D118)))</f>
      </c>
      <c r="Y118" s="305">
        <f>IF($B118="","",SUBSTITUTE(SUBSTITUTE(SUBSTITUTE(SUBSTITUTE(SUBSTITUTE(SUBSTITUTE(SUBSTITUTE(SUBSTITUTE(SUBSTITUTE(SUBSTITUTE(SUBSTITUTE(SUBSTITUTE(SUBSTITUTE(SUBSTITUTE(SUBSTITUTE(SUBSTITUTE(SUBSTITUTE(SUBSTITUTE(SUBSTITUTE(SUBSTITUTE(SUBSTITUTE(SUBSTITUTE(SUBSTITUTE(SUBSTITUTE(SUBSTITUTE(UPPER($B118)," ",""),"-",""),":",""),"/",""),"&amp;",""),"|",""),"'",""),"’",""),"&lt;",""),"&gt;",""),",",""),"$",""),".",""),"(",""),")",""),"*",""),"?",""),"~",""),"_",""),"+",""),"#",""),";",""),"!",""),"%",""),"@",""))</f>
      </c>
      <c r="AA118">
        <f>IF($B118="",0,COUNTIFS('UX + Dev'!$AB$1:$DN$1,"&gt;="&amp;AA$1,'UX + Dev'!$AB$1:$DN$1,"&lt;="&amp;EOMONTH(AA$1,0),'UX + Dev'!$AB118:$DN118,"&lt;&gt;"))</f>
      </c>
      <c r="AB118">
        <f>IF($B118="",0,COUNTIFS('UX + Dev'!$AB$1:$DN$1,"&gt;="&amp;AB$1,'UX + Dev'!$AB$1:$DN$1,"&lt;="&amp;EOMONTH(AB$1,0),'UX + Dev'!$AB118:$DN118,"&lt;&gt;"))</f>
      </c>
      <c r="AC118">
        <f>IF($B118="",0,COUNTIFS('UX + Dev'!$AB$1:$DN$1,"&gt;="&amp;AC$1,'UX + Dev'!$AB$1:$DN$1,"&lt;="&amp;EOMONTH(AC$1,0),'UX + Dev'!$AB118:$DN118,"&lt;&gt;"))</f>
      </c>
      <c r="AD118">
        <f>IF($B118="",0,COUNTIFS('UX + Dev'!$AB$1:$DN$1,"&gt;="&amp;AD$1,'UX + Dev'!$AB$1:$DN$1,"&lt;="&amp;EOMONTH(AD$1,0),'UX + Dev'!$AB118:$DN118,"&lt;&gt;"))</f>
      </c>
      <c r="AE118">
        <f>IF($B118="",0,COUNTIFS('UX + Dev'!$AB$1:$DN$1,"&gt;="&amp;AE$1,'UX + Dev'!$AB$1:$DN$1,"&lt;="&amp;EOMONTH(AE$1,0),'UX + Dev'!$AB118:$DN118,"&lt;&gt;"))</f>
      </c>
      <c r="AF118">
        <f>IF($B118="",0,COUNTIFS('UX + Dev'!$AB$1:$DN$1,"&gt;="&amp;AF$1,'UX + Dev'!$AB$1:$DN$1,"&lt;="&amp;EOMONTH(AF$1,0),'UX + Dev'!$AB118:$DN118,"&lt;&gt;"))</f>
      </c>
      <c r="AG118">
        <f>IF($B118="",0,COUNTIFS('UX + Dev'!$AB$1:$DN$1,"&gt;="&amp;AG$1,'UX + Dev'!$AB$1:$DN$1,"&lt;="&amp;EOMONTH(AG$1,0),'UX + Dev'!$AB118:$DN118,"&lt;&gt;"))</f>
      </c>
      <c r="AH118">
        <f>IF($B118="",0,COUNTIFS('UX + Dev'!$AB$1:$DN$1,"&gt;="&amp;AH$1,'UX + Dev'!$AB$1:$DN$1,"&lt;="&amp;EOMONTH(AH$1,0),'UX + Dev'!$AB118:$DN118,"&lt;&gt;"))</f>
      </c>
      <c r="AI118">
        <f>IF($B118="",0,COUNTIFS('UX + Dev'!$AB$1:$DN$1,"&gt;="&amp;AI$1,'UX + Dev'!$AB$1:$DN$1,"&lt;="&amp;EOMONTH(AI$1,0),'UX + Dev'!$AB118:$DN118,"&lt;&gt;"))</f>
      </c>
      <c r="AJ118">
        <f>IF($B118="",0,COUNTIFS('UX + Dev'!$AB$1:$DN$1,"&gt;="&amp;AJ$1,'UX + Dev'!$AB$1:$DN$1,"&lt;="&amp;EOMONTH(AJ$1,0),'UX + Dev'!$AB118:$DN118,"&lt;&gt;"))</f>
      </c>
      <c r="AK118">
        <f>IF($B118="",0,COUNTIFS('UX + Dev'!$AB$1:$DN$1,"&gt;="&amp;AK$1,'UX + Dev'!$AB$1:$DN$1,"&lt;="&amp;EOMONTH(AK$1,0),'UX + Dev'!$AB118:$DN118,"&lt;&gt;"))</f>
      </c>
      <c r="AL118">
        <f>IF($B118="",0,COUNTIFS('UX + Dev'!$AB$1:$DN$1,"&gt;="&amp;AL$1,'UX + Dev'!$AB$1:$DN$1,"&lt;="&amp;EOMONTH(AL$1,0),'UX + Dev'!$AB118:$DN118,"&lt;&gt;"))</f>
      </c>
      <c r="AM118">
        <f>IF($B118="",0,COUNTIFS('UX + Dev'!$AB$1:$DN$1,"&gt;="&amp;AM$1,'UX + Dev'!$AB$1:$DN$1,"&lt;="&amp;EOMONTH(AM$1,0),'UX + Dev'!$AB118:$DN118,"&lt;&gt;"))</f>
      </c>
      <c r="AN118">
        <f>IF($B118="",0,COUNTIFS('UX + Dev'!$AB$1:$DN$1,"&gt;="&amp;AN$1,'UX + Dev'!$AB$1:$DN$1,"&lt;="&amp;EOMONTH(AN$1,0),'UX + Dev'!$AB118:$DN118,"&lt;&gt;"))</f>
      </c>
      <c r="AO118">
        <f>IF($B118="",0,COUNTIFS('UX + Dev'!$AB$1:$DN$1,"&gt;="&amp;AO$1,'UX + Dev'!$AB$1:$DN$1,"&lt;="&amp;EOMONTH(AO$1,0),'UX + Dev'!$AB118:$DN118,"&lt;&gt;"))</f>
      </c>
      <c r="AP118">
        <f>IF($B118="",0,COUNTIFS('UX + Dev'!$AB$1:$DN$1,"&gt;="&amp;AP$1,'UX + Dev'!$AB$1:$DN$1,"&lt;="&amp;EOMONTH(AP$1,0),'UX + Dev'!$AB118:$DN118,"&lt;&gt;"))</f>
      </c>
      <c r="AQ118">
        <f>IF($B118="",0,COUNTIFS('UX + Dev'!$AB$1:$DN$1,"&gt;="&amp;AQ$1,'UX + Dev'!$AB$1:$DN$1,"&lt;="&amp;EOMONTH(AQ$1,0),'UX + Dev'!$AB118:$DN118,"&lt;&gt;"))</f>
      </c>
      <c r="AR118">
        <f>IF($B118="",0,COUNTIFS('UX + Dev'!$AB$1:$DN$1,"&gt;="&amp;AR$1,'UX + Dev'!$AB$1:$DN$1,"&lt;="&amp;EOMONTH(AR$1,0),'UX + Dev'!$AB118:$DN118,"&lt;&gt;"))</f>
      </c>
      <c r="AS118">
        <f>IF($B118="",0,COUNTIFS('UX + Dev'!$AB$1:$DN$1,"&gt;="&amp;AS$1,'UX + Dev'!$AB$1:$DN$1,"&lt;="&amp;EOMONTH(AS$1,0),'UX + Dev'!$AB118:$DN118,"&lt;&gt;"))</f>
      </c>
      <c r="AT118">
        <f>IF($B118="",0,COUNTIFS('UX + Dev'!$AB$1:$DN$1,"&gt;="&amp;AT$1,'UX + Dev'!$AB$1:$DN$1,"&lt;="&amp;EOMONTH(AT$1,0),'UX + Dev'!$AB118:$DN118,"&lt;&gt;"))</f>
      </c>
      <c r="AU118">
        <f>IF($B118="",0,COUNTIFS('UX + Dev'!$AB$1:$DN$1,"&gt;="&amp;AU$1,'UX + Dev'!$AB$1:$DN$1,"&lt;="&amp;EOMONTH(AU$1,0),'UX + Dev'!$AB118:$DN118,"&lt;&gt;"))</f>
      </c>
      <c r="AV118">
        <f>IF($B118="",0,COUNTIFS('UX + Dev'!$AB$1:$DN$1,"&gt;="&amp;AV$1,'UX + Dev'!$AB$1:$DN$1,"&lt;="&amp;EOMONTH(AV$1,0),'UX + Dev'!$AB118:$DN118,"&lt;&gt;"))</f>
      </c>
      <c r="AW118">
        <f>IF($B118="",0,COUNTIFS('UX + Dev'!$AB$1:$DN$1,"&gt;="&amp;AW$1,'UX + Dev'!$AB$1:$DN$1,"&lt;="&amp;EOMONTH(AW$1,0),'UX + Dev'!$AB118:$DN118,"&lt;&gt;"))</f>
      </c>
      <c r="AX118">
        <f>IF($B118="",0,COUNTIFS('UX + Dev'!$AB$1:$DN$1,"&gt;="&amp;AX$1,'UX + Dev'!$AB$1:$DN$1,"&lt;="&amp;EOMONTH(AX$1,0),'UX + Dev'!$AB118:$DN118,"&lt;&gt;"))</f>
      </c>
      <c r="BB118" s="308">
        <f>IF($B118="","",IF(COUNTA('UX + Dev'!U118)&gt;0,DATE(YEAR('UX + Dev'!U118),MONTH('UX + Dev'!U118),1),IF(COUNTA('UX + Dev'!V118)&gt;0,DATE(YEAR('UX + Dev'!V118),MONTH('UX + Dev'!V118),1),"")))</f>
      </c>
      <c r="BC118" s="308">
        <f>IF($B118="","",IF(COUNTA('UX + Dev'!V118)&gt;0,EOMONTH('UX + Dev'!V118,0),IF(COUNTA('UX + Dev'!U118)&gt;0,EOMONTH('UX + Dev'!U118,0),"")))</f>
      </c>
    </row>
    <row r="119">
      <c r="A119" s="305" t="n">
        <v>119</v>
      </c>
      <c r="B119" s="305">
        <f>IF(TRIM('UX + Dev'!E119)="","",TRIM('UX + Dev'!E119))</f>
      </c>
      <c r="C119" s="305">
        <f>IF($B119="","",'UX + Dev'!B119)</f>
      </c>
      <c r="D119" s="305">
        <f>IF($B119="","",IF(TRIM('UX + Dev'!C119)="","(No theme assigned)",TRIM('UX + Dev'!C119)))</f>
      </c>
      <c r="E119" s="305">
        <f>IF($B119="","",TRIM('UX + Dev'!F119))</f>
      </c>
      <c r="F119" s="305">
        <f>IF($B119="","",'UX + Dev'!G119)</f>
      </c>
      <c r="G119" s="306">
        <f t="array" ref="G119">IF($B119="","",IF($T119=0,"",IFERROR(MIN(IF('UX + Dev'!$AB119:$DN119&lt;&gt;"",'UX + Dev'!$AB$1:$DN$1)),"")))</f>
      </c>
      <c r="H119" s="306">
        <f t="array" ref="H119">IF($B119="","",IF($T119=0,"",IFERROR(MAX(IF('UX + Dev'!$AB119:$DN119&lt;&gt;"",'UX + Dev'!$AB$1:$DN$1)),"")))</f>
      </c>
      <c r="I119" s="307">
        <f>IF($R119&lt;&gt;"",$R119,IF($S119&lt;&gt;"",$S119,""))</f>
      </c>
      <c r="J119" s="307">
        <f>IF($S119&lt;&gt;"",EOMONTH($S119,0),IF($R119&lt;&gt;"",EOMONTH($R119,0),""))</f>
      </c>
      <c r="K119" s="305">
        <f>IF($B119="","",IF(COUNTA('UX + Dev'!AA119)=0,"",TRIM('UX + Dev'!AA119)))</f>
      </c>
      <c r="L119" s="305">
        <f>IF($B119="","",IFERROR(MATCH($D119,Control!$E$4:$E$30,0),99))</f>
      </c>
      <c r="M119" s="305">
        <f>IF($B119="","",IFERROR(MATCH($F119,Control!$B$4:$B$30,0),99))</f>
      </c>
      <c r="N119" s="305">
        <f>IF($V119&lt;&gt;1,"",IF('Roadmap (Auto)'!$D$3="Status, then Theme",$M119*1000000+$L119*10000+ROW(),IF('Roadmap (Auto)'!$D$3="Dev start (earliest)",IF($I119="",99999999,$I119)*10000+ROW(),IF('Roadmap (Auto)'!$D$3="UX start (earliest)",IF($G119="",99999999,$G119)*10000+ROW(),IF('Roadmap (Auto)'!$D$3="Deliverable A-Z",$W119*10000+ROW(),$L119*1000000+$M119*10000+ROW())))))</f>
      </c>
      <c r="O119" s="305">
        <f>IF($N119="","",COUNTIF($N$2:$N$151,"&lt;"&amp;$N119)+1)</f>
      </c>
      <c r="P119" s="305">
        <f>IF($B119="","",IF(COUNTA('UX + Dev'!X119)=0,"",'UX + Dev'!X119))</f>
      </c>
      <c r="Q119" s="305">
        <f>IF($B119="","",IF(COUNTA('UX + Dev'!Y119)=0,"",'UX + Dev'!Y119))</f>
      </c>
      <c r="R119" s="307">
        <f>IF($P119="","",IF(ISNUMBER($P119),DATE(YEAR($P119),MONTH($P119),1),IFERROR(DATE(IFERROR(VALUE(RIGHT(TRIM($P119),4)),YEAR(TODAY())),(SEARCH(LEFT(TRIM($P119),3),"JanFebMarAprMayJunJulAugSepOctNovDec")+2)/3,1),"")))</f>
      </c>
      <c r="S119" s="307">
        <f>IF($Q119="","",IF(ISNUMBER($Q119),DATE(YEAR($Q119),MONTH($Q119),1),IFERROR(DATE(IFERROR(VALUE(RIGHT(TRIM($Q119),4)),YEAR(TODAY())),(SEARCH(LEFT(TRIM($Q119),3),"JanFebMarAprMayJunJulAugSepOctNovDec")+2)/3,1),"")))</f>
      </c>
      <c r="T119" s="305">
        <f>IF($B119="","",COUNTA('UX + Dev'!$AB119:$DN119))</f>
      </c>
      <c r="U119" s="305">
        <f>IF($B119="","",IFERROR(MATCH($D119,Control!$E$4:$E$30,0)+3,0))</f>
      </c>
      <c r="V119" s="305">
        <f>IF($B119="","",IF(AND(OR('Roadmap (Auto)'!$A$3="",'Roadmap (Auto)'!$A$3="(All)",ISNUMBER(SEARCH('Roadmap (Auto)'!$A$3,$C119&amp;""))),OR('Roadmap (Auto)'!$B$3="",'Roadmap (Auto)'!$B$3="(All)",$D119='Roadmap (Auto)'!$B$3,$X119='Roadmap (Auto)'!$B$3),OR('Roadmap (Auto)'!$C$3="",'Roadmap (Auto)'!$C$3="(All)",$F119='Roadmap (Auto)'!$C$3)),1,0))</f>
      </c>
      <c r="W119" s="305">
        <f>IF($B119="","",COUNTIF($Y$2:$Y$151,"&lt;"&amp;$Y119)+1)</f>
      </c>
      <c r="X119" s="305">
        <f>IF($B119="","",IF(TRIM('UX + Dev'!D119)="","",TRIM('UX + Dev'!D119)))</f>
      </c>
      <c r="Y119" s="305">
        <f>IF($B119="","",SUBSTITUTE(SUBSTITUTE(SUBSTITUTE(SUBSTITUTE(SUBSTITUTE(SUBSTITUTE(SUBSTITUTE(SUBSTITUTE(SUBSTITUTE(SUBSTITUTE(SUBSTITUTE(SUBSTITUTE(SUBSTITUTE(SUBSTITUTE(SUBSTITUTE(SUBSTITUTE(SUBSTITUTE(SUBSTITUTE(SUBSTITUTE(SUBSTITUTE(SUBSTITUTE(SUBSTITUTE(SUBSTITUTE(SUBSTITUTE(SUBSTITUTE(UPPER($B119)," ",""),"-",""),":",""),"/",""),"&amp;",""),"|",""),"'",""),"’",""),"&lt;",""),"&gt;",""),",",""),"$",""),".",""),"(",""),")",""),"*",""),"?",""),"~",""),"_",""),"+",""),"#",""),";",""),"!",""),"%",""),"@",""))</f>
      </c>
      <c r="AA119">
        <f>IF($B119="",0,COUNTIFS('UX + Dev'!$AB$1:$DN$1,"&gt;="&amp;AA$1,'UX + Dev'!$AB$1:$DN$1,"&lt;="&amp;EOMONTH(AA$1,0),'UX + Dev'!$AB119:$DN119,"&lt;&gt;"))</f>
      </c>
      <c r="AB119">
        <f>IF($B119="",0,COUNTIFS('UX + Dev'!$AB$1:$DN$1,"&gt;="&amp;AB$1,'UX + Dev'!$AB$1:$DN$1,"&lt;="&amp;EOMONTH(AB$1,0),'UX + Dev'!$AB119:$DN119,"&lt;&gt;"))</f>
      </c>
      <c r="AC119">
        <f>IF($B119="",0,COUNTIFS('UX + Dev'!$AB$1:$DN$1,"&gt;="&amp;AC$1,'UX + Dev'!$AB$1:$DN$1,"&lt;="&amp;EOMONTH(AC$1,0),'UX + Dev'!$AB119:$DN119,"&lt;&gt;"))</f>
      </c>
      <c r="AD119">
        <f>IF($B119="",0,COUNTIFS('UX + Dev'!$AB$1:$DN$1,"&gt;="&amp;AD$1,'UX + Dev'!$AB$1:$DN$1,"&lt;="&amp;EOMONTH(AD$1,0),'UX + Dev'!$AB119:$DN119,"&lt;&gt;"))</f>
      </c>
      <c r="AE119">
        <f>IF($B119="",0,COUNTIFS('UX + Dev'!$AB$1:$DN$1,"&gt;="&amp;AE$1,'UX + Dev'!$AB$1:$DN$1,"&lt;="&amp;EOMONTH(AE$1,0),'UX + Dev'!$AB119:$DN119,"&lt;&gt;"))</f>
      </c>
      <c r="AF119">
        <f>IF($B119="",0,COUNTIFS('UX + Dev'!$AB$1:$DN$1,"&gt;="&amp;AF$1,'UX + Dev'!$AB$1:$DN$1,"&lt;="&amp;EOMONTH(AF$1,0),'UX + Dev'!$AB119:$DN119,"&lt;&gt;"))</f>
      </c>
      <c r="AG119">
        <f>IF($B119="",0,COUNTIFS('UX + Dev'!$AB$1:$DN$1,"&gt;="&amp;AG$1,'UX + Dev'!$AB$1:$DN$1,"&lt;="&amp;EOMONTH(AG$1,0),'UX + Dev'!$AB119:$DN119,"&lt;&gt;"))</f>
      </c>
      <c r="AH119">
        <f>IF($B119="",0,COUNTIFS('UX + Dev'!$AB$1:$DN$1,"&gt;="&amp;AH$1,'UX + Dev'!$AB$1:$DN$1,"&lt;="&amp;EOMONTH(AH$1,0),'UX + Dev'!$AB119:$DN119,"&lt;&gt;"))</f>
      </c>
      <c r="AI119">
        <f>IF($B119="",0,COUNTIFS('UX + Dev'!$AB$1:$DN$1,"&gt;="&amp;AI$1,'UX + Dev'!$AB$1:$DN$1,"&lt;="&amp;EOMONTH(AI$1,0),'UX + Dev'!$AB119:$DN119,"&lt;&gt;"))</f>
      </c>
      <c r="AJ119">
        <f>IF($B119="",0,COUNTIFS('UX + Dev'!$AB$1:$DN$1,"&gt;="&amp;AJ$1,'UX + Dev'!$AB$1:$DN$1,"&lt;="&amp;EOMONTH(AJ$1,0),'UX + Dev'!$AB119:$DN119,"&lt;&gt;"))</f>
      </c>
      <c r="AK119">
        <f>IF($B119="",0,COUNTIFS('UX + Dev'!$AB$1:$DN$1,"&gt;="&amp;AK$1,'UX + Dev'!$AB$1:$DN$1,"&lt;="&amp;EOMONTH(AK$1,0),'UX + Dev'!$AB119:$DN119,"&lt;&gt;"))</f>
      </c>
      <c r="AL119">
        <f>IF($B119="",0,COUNTIFS('UX + Dev'!$AB$1:$DN$1,"&gt;="&amp;AL$1,'UX + Dev'!$AB$1:$DN$1,"&lt;="&amp;EOMONTH(AL$1,0),'UX + Dev'!$AB119:$DN119,"&lt;&gt;"))</f>
      </c>
      <c r="AM119">
        <f>IF($B119="",0,COUNTIFS('UX + Dev'!$AB$1:$DN$1,"&gt;="&amp;AM$1,'UX + Dev'!$AB$1:$DN$1,"&lt;="&amp;EOMONTH(AM$1,0),'UX + Dev'!$AB119:$DN119,"&lt;&gt;"))</f>
      </c>
      <c r="AN119">
        <f>IF($B119="",0,COUNTIFS('UX + Dev'!$AB$1:$DN$1,"&gt;="&amp;AN$1,'UX + Dev'!$AB$1:$DN$1,"&lt;="&amp;EOMONTH(AN$1,0),'UX + Dev'!$AB119:$DN119,"&lt;&gt;"))</f>
      </c>
      <c r="AO119">
        <f>IF($B119="",0,COUNTIFS('UX + Dev'!$AB$1:$DN$1,"&gt;="&amp;AO$1,'UX + Dev'!$AB$1:$DN$1,"&lt;="&amp;EOMONTH(AO$1,0),'UX + Dev'!$AB119:$DN119,"&lt;&gt;"))</f>
      </c>
      <c r="AP119">
        <f>IF($B119="",0,COUNTIFS('UX + Dev'!$AB$1:$DN$1,"&gt;="&amp;AP$1,'UX + Dev'!$AB$1:$DN$1,"&lt;="&amp;EOMONTH(AP$1,0),'UX + Dev'!$AB119:$DN119,"&lt;&gt;"))</f>
      </c>
      <c r="AQ119">
        <f>IF($B119="",0,COUNTIFS('UX + Dev'!$AB$1:$DN$1,"&gt;="&amp;AQ$1,'UX + Dev'!$AB$1:$DN$1,"&lt;="&amp;EOMONTH(AQ$1,0),'UX + Dev'!$AB119:$DN119,"&lt;&gt;"))</f>
      </c>
      <c r="AR119">
        <f>IF($B119="",0,COUNTIFS('UX + Dev'!$AB$1:$DN$1,"&gt;="&amp;AR$1,'UX + Dev'!$AB$1:$DN$1,"&lt;="&amp;EOMONTH(AR$1,0),'UX + Dev'!$AB119:$DN119,"&lt;&gt;"))</f>
      </c>
      <c r="AS119">
        <f>IF($B119="",0,COUNTIFS('UX + Dev'!$AB$1:$DN$1,"&gt;="&amp;AS$1,'UX + Dev'!$AB$1:$DN$1,"&lt;="&amp;EOMONTH(AS$1,0),'UX + Dev'!$AB119:$DN119,"&lt;&gt;"))</f>
      </c>
      <c r="AT119">
        <f>IF($B119="",0,COUNTIFS('UX + Dev'!$AB$1:$DN$1,"&gt;="&amp;AT$1,'UX + Dev'!$AB$1:$DN$1,"&lt;="&amp;EOMONTH(AT$1,0),'UX + Dev'!$AB119:$DN119,"&lt;&gt;"))</f>
      </c>
      <c r="AU119">
        <f>IF($B119="",0,COUNTIFS('UX + Dev'!$AB$1:$DN$1,"&gt;="&amp;AU$1,'UX + Dev'!$AB$1:$DN$1,"&lt;="&amp;EOMONTH(AU$1,0),'UX + Dev'!$AB119:$DN119,"&lt;&gt;"))</f>
      </c>
      <c r="AV119">
        <f>IF($B119="",0,COUNTIFS('UX + Dev'!$AB$1:$DN$1,"&gt;="&amp;AV$1,'UX + Dev'!$AB$1:$DN$1,"&lt;="&amp;EOMONTH(AV$1,0),'UX + Dev'!$AB119:$DN119,"&lt;&gt;"))</f>
      </c>
      <c r="AW119">
        <f>IF($B119="",0,COUNTIFS('UX + Dev'!$AB$1:$DN$1,"&gt;="&amp;AW$1,'UX + Dev'!$AB$1:$DN$1,"&lt;="&amp;EOMONTH(AW$1,0),'UX + Dev'!$AB119:$DN119,"&lt;&gt;"))</f>
      </c>
      <c r="AX119">
        <f>IF($B119="",0,COUNTIFS('UX + Dev'!$AB$1:$DN$1,"&gt;="&amp;AX$1,'UX + Dev'!$AB$1:$DN$1,"&lt;="&amp;EOMONTH(AX$1,0),'UX + Dev'!$AB119:$DN119,"&lt;&gt;"))</f>
      </c>
      <c r="BB119" s="308">
        <f>IF($B119="","",IF(COUNTA('UX + Dev'!U119)&gt;0,DATE(YEAR('UX + Dev'!U119),MONTH('UX + Dev'!U119),1),IF(COUNTA('UX + Dev'!V119)&gt;0,DATE(YEAR('UX + Dev'!V119),MONTH('UX + Dev'!V119),1),"")))</f>
      </c>
      <c r="BC119" s="308">
        <f>IF($B119="","",IF(COUNTA('UX + Dev'!V119)&gt;0,EOMONTH('UX + Dev'!V119,0),IF(COUNTA('UX + Dev'!U119)&gt;0,EOMONTH('UX + Dev'!U119,0),"")))</f>
      </c>
    </row>
    <row r="120">
      <c r="A120" s="305" t="n">
        <v>120</v>
      </c>
      <c r="B120" s="305">
        <f>IF(TRIM('UX + Dev'!E120)="","",TRIM('UX + Dev'!E120))</f>
      </c>
      <c r="C120" s="305">
        <f>IF($B120="","",'UX + Dev'!B120)</f>
      </c>
      <c r="D120" s="305">
        <f>IF($B120="","",IF(TRIM('UX + Dev'!C120)="","(No theme assigned)",TRIM('UX + Dev'!C120)))</f>
      </c>
      <c r="E120" s="305">
        <f>IF($B120="","",TRIM('UX + Dev'!F120))</f>
      </c>
      <c r="F120" s="305">
        <f>IF($B120="","",'UX + Dev'!G120)</f>
      </c>
      <c r="G120" s="306">
        <f t="array" ref="G120">IF($B120="","",IF($T120=0,"",IFERROR(MIN(IF('UX + Dev'!$AB120:$DN120&lt;&gt;"",'UX + Dev'!$AB$1:$DN$1)),"")))</f>
      </c>
      <c r="H120" s="306">
        <f t="array" ref="H120">IF($B120="","",IF($T120=0,"",IFERROR(MAX(IF('UX + Dev'!$AB120:$DN120&lt;&gt;"",'UX + Dev'!$AB$1:$DN$1)),"")))</f>
      </c>
      <c r="I120" s="307">
        <f>IF($R120&lt;&gt;"",$R120,IF($S120&lt;&gt;"",$S120,""))</f>
      </c>
      <c r="J120" s="307">
        <f>IF($S120&lt;&gt;"",EOMONTH($S120,0),IF($R120&lt;&gt;"",EOMONTH($R120,0),""))</f>
      </c>
      <c r="K120" s="305">
        <f>IF($B120="","",IF(COUNTA('UX + Dev'!AA120)=0,"",TRIM('UX + Dev'!AA120)))</f>
      </c>
      <c r="L120" s="305">
        <f>IF($B120="","",IFERROR(MATCH($D120,Control!$E$4:$E$30,0),99))</f>
      </c>
      <c r="M120" s="305">
        <f>IF($B120="","",IFERROR(MATCH($F120,Control!$B$4:$B$30,0),99))</f>
      </c>
      <c r="N120" s="305">
        <f>IF($V120&lt;&gt;1,"",IF('Roadmap (Auto)'!$D$3="Status, then Theme",$M120*1000000+$L120*10000+ROW(),IF('Roadmap (Auto)'!$D$3="Dev start (earliest)",IF($I120="",99999999,$I120)*10000+ROW(),IF('Roadmap (Auto)'!$D$3="UX start (earliest)",IF($G120="",99999999,$G120)*10000+ROW(),IF('Roadmap (Auto)'!$D$3="Deliverable A-Z",$W120*10000+ROW(),$L120*1000000+$M120*10000+ROW())))))</f>
      </c>
      <c r="O120" s="305">
        <f>IF($N120="","",COUNTIF($N$2:$N$151,"&lt;"&amp;$N120)+1)</f>
      </c>
      <c r="P120" s="305">
        <f>IF($B120="","",IF(COUNTA('UX + Dev'!X120)=0,"",'UX + Dev'!X120))</f>
      </c>
      <c r="Q120" s="305">
        <f>IF($B120="","",IF(COUNTA('UX + Dev'!Y120)=0,"",'UX + Dev'!Y120))</f>
      </c>
      <c r="R120" s="307">
        <f>IF($P120="","",IF(ISNUMBER($P120),DATE(YEAR($P120),MONTH($P120),1),IFERROR(DATE(IFERROR(VALUE(RIGHT(TRIM($P120),4)),YEAR(TODAY())),(SEARCH(LEFT(TRIM($P120),3),"JanFebMarAprMayJunJulAugSepOctNovDec")+2)/3,1),"")))</f>
      </c>
      <c r="S120" s="307">
        <f>IF($Q120="","",IF(ISNUMBER($Q120),DATE(YEAR($Q120),MONTH($Q120),1),IFERROR(DATE(IFERROR(VALUE(RIGHT(TRIM($Q120),4)),YEAR(TODAY())),(SEARCH(LEFT(TRIM($Q120),3),"JanFebMarAprMayJunJulAugSepOctNovDec")+2)/3,1),"")))</f>
      </c>
      <c r="T120" s="305">
        <f>IF($B120="","",COUNTA('UX + Dev'!$AB120:$DN120))</f>
      </c>
      <c r="U120" s="305">
        <f>IF($B120="","",IFERROR(MATCH($D120,Control!$E$4:$E$30,0)+3,0))</f>
      </c>
      <c r="V120" s="305">
        <f>IF($B120="","",IF(AND(OR('Roadmap (Auto)'!$A$3="",'Roadmap (Auto)'!$A$3="(All)",ISNUMBER(SEARCH('Roadmap (Auto)'!$A$3,$C120&amp;""))),OR('Roadmap (Auto)'!$B$3="",'Roadmap (Auto)'!$B$3="(All)",$D120='Roadmap (Auto)'!$B$3,$X120='Roadmap (Auto)'!$B$3),OR('Roadmap (Auto)'!$C$3="",'Roadmap (Auto)'!$C$3="(All)",$F120='Roadmap (Auto)'!$C$3)),1,0))</f>
      </c>
      <c r="W120" s="305">
        <f>IF($B120="","",COUNTIF($Y$2:$Y$151,"&lt;"&amp;$Y120)+1)</f>
      </c>
      <c r="X120" s="305">
        <f>IF($B120="","",IF(TRIM('UX + Dev'!D120)="","",TRIM('UX + Dev'!D120)))</f>
      </c>
      <c r="Y120" s="305">
        <f>IF($B120="","",SUBSTITUTE(SUBSTITUTE(SUBSTITUTE(SUBSTITUTE(SUBSTITUTE(SUBSTITUTE(SUBSTITUTE(SUBSTITUTE(SUBSTITUTE(SUBSTITUTE(SUBSTITUTE(SUBSTITUTE(SUBSTITUTE(SUBSTITUTE(SUBSTITUTE(SUBSTITUTE(SUBSTITUTE(SUBSTITUTE(SUBSTITUTE(SUBSTITUTE(SUBSTITUTE(SUBSTITUTE(SUBSTITUTE(SUBSTITUTE(SUBSTITUTE(UPPER($B120)," ",""),"-",""),":",""),"/",""),"&amp;",""),"|",""),"'",""),"’",""),"&lt;",""),"&gt;",""),",",""),"$",""),".",""),"(",""),")",""),"*",""),"?",""),"~",""),"_",""),"+",""),"#",""),";",""),"!",""),"%",""),"@",""))</f>
      </c>
      <c r="AA120">
        <f>IF($B120="",0,COUNTIFS('UX + Dev'!$AB$1:$DN$1,"&gt;="&amp;AA$1,'UX + Dev'!$AB$1:$DN$1,"&lt;="&amp;EOMONTH(AA$1,0),'UX + Dev'!$AB120:$DN120,"&lt;&gt;"))</f>
      </c>
      <c r="AB120">
        <f>IF($B120="",0,COUNTIFS('UX + Dev'!$AB$1:$DN$1,"&gt;="&amp;AB$1,'UX + Dev'!$AB$1:$DN$1,"&lt;="&amp;EOMONTH(AB$1,0),'UX + Dev'!$AB120:$DN120,"&lt;&gt;"))</f>
      </c>
      <c r="AC120">
        <f>IF($B120="",0,COUNTIFS('UX + Dev'!$AB$1:$DN$1,"&gt;="&amp;AC$1,'UX + Dev'!$AB$1:$DN$1,"&lt;="&amp;EOMONTH(AC$1,0),'UX + Dev'!$AB120:$DN120,"&lt;&gt;"))</f>
      </c>
      <c r="AD120">
        <f>IF($B120="",0,COUNTIFS('UX + Dev'!$AB$1:$DN$1,"&gt;="&amp;AD$1,'UX + Dev'!$AB$1:$DN$1,"&lt;="&amp;EOMONTH(AD$1,0),'UX + Dev'!$AB120:$DN120,"&lt;&gt;"))</f>
      </c>
      <c r="AE120">
        <f>IF($B120="",0,COUNTIFS('UX + Dev'!$AB$1:$DN$1,"&gt;="&amp;AE$1,'UX + Dev'!$AB$1:$DN$1,"&lt;="&amp;EOMONTH(AE$1,0),'UX + Dev'!$AB120:$DN120,"&lt;&gt;"))</f>
      </c>
      <c r="AF120">
        <f>IF($B120="",0,COUNTIFS('UX + Dev'!$AB$1:$DN$1,"&gt;="&amp;AF$1,'UX + Dev'!$AB$1:$DN$1,"&lt;="&amp;EOMONTH(AF$1,0),'UX + Dev'!$AB120:$DN120,"&lt;&gt;"))</f>
      </c>
      <c r="AG120">
        <f>IF($B120="",0,COUNTIFS('UX + Dev'!$AB$1:$DN$1,"&gt;="&amp;AG$1,'UX + Dev'!$AB$1:$DN$1,"&lt;="&amp;EOMONTH(AG$1,0),'UX + Dev'!$AB120:$DN120,"&lt;&gt;"))</f>
      </c>
      <c r="AH120">
        <f>IF($B120="",0,COUNTIFS('UX + Dev'!$AB$1:$DN$1,"&gt;="&amp;AH$1,'UX + Dev'!$AB$1:$DN$1,"&lt;="&amp;EOMONTH(AH$1,0),'UX + Dev'!$AB120:$DN120,"&lt;&gt;"))</f>
      </c>
      <c r="AI120">
        <f>IF($B120="",0,COUNTIFS('UX + Dev'!$AB$1:$DN$1,"&gt;="&amp;AI$1,'UX + Dev'!$AB$1:$DN$1,"&lt;="&amp;EOMONTH(AI$1,0),'UX + Dev'!$AB120:$DN120,"&lt;&gt;"))</f>
      </c>
      <c r="AJ120">
        <f>IF($B120="",0,COUNTIFS('UX + Dev'!$AB$1:$DN$1,"&gt;="&amp;AJ$1,'UX + Dev'!$AB$1:$DN$1,"&lt;="&amp;EOMONTH(AJ$1,0),'UX + Dev'!$AB120:$DN120,"&lt;&gt;"))</f>
      </c>
      <c r="AK120">
        <f>IF($B120="",0,COUNTIFS('UX + Dev'!$AB$1:$DN$1,"&gt;="&amp;AK$1,'UX + Dev'!$AB$1:$DN$1,"&lt;="&amp;EOMONTH(AK$1,0),'UX + Dev'!$AB120:$DN120,"&lt;&gt;"))</f>
      </c>
      <c r="AL120">
        <f>IF($B120="",0,COUNTIFS('UX + Dev'!$AB$1:$DN$1,"&gt;="&amp;AL$1,'UX + Dev'!$AB$1:$DN$1,"&lt;="&amp;EOMONTH(AL$1,0),'UX + Dev'!$AB120:$DN120,"&lt;&gt;"))</f>
      </c>
      <c r="AM120">
        <f>IF($B120="",0,COUNTIFS('UX + Dev'!$AB$1:$DN$1,"&gt;="&amp;AM$1,'UX + Dev'!$AB$1:$DN$1,"&lt;="&amp;EOMONTH(AM$1,0),'UX + Dev'!$AB120:$DN120,"&lt;&gt;"))</f>
      </c>
      <c r="AN120">
        <f>IF($B120="",0,COUNTIFS('UX + Dev'!$AB$1:$DN$1,"&gt;="&amp;AN$1,'UX + Dev'!$AB$1:$DN$1,"&lt;="&amp;EOMONTH(AN$1,0),'UX + Dev'!$AB120:$DN120,"&lt;&gt;"))</f>
      </c>
      <c r="AO120">
        <f>IF($B120="",0,COUNTIFS('UX + Dev'!$AB$1:$DN$1,"&gt;="&amp;AO$1,'UX + Dev'!$AB$1:$DN$1,"&lt;="&amp;EOMONTH(AO$1,0),'UX + Dev'!$AB120:$DN120,"&lt;&gt;"))</f>
      </c>
      <c r="AP120">
        <f>IF($B120="",0,COUNTIFS('UX + Dev'!$AB$1:$DN$1,"&gt;="&amp;AP$1,'UX + Dev'!$AB$1:$DN$1,"&lt;="&amp;EOMONTH(AP$1,0),'UX + Dev'!$AB120:$DN120,"&lt;&gt;"))</f>
      </c>
      <c r="AQ120">
        <f>IF($B120="",0,COUNTIFS('UX + Dev'!$AB$1:$DN$1,"&gt;="&amp;AQ$1,'UX + Dev'!$AB$1:$DN$1,"&lt;="&amp;EOMONTH(AQ$1,0),'UX + Dev'!$AB120:$DN120,"&lt;&gt;"))</f>
      </c>
      <c r="AR120">
        <f>IF($B120="",0,COUNTIFS('UX + Dev'!$AB$1:$DN$1,"&gt;="&amp;AR$1,'UX + Dev'!$AB$1:$DN$1,"&lt;="&amp;EOMONTH(AR$1,0),'UX + Dev'!$AB120:$DN120,"&lt;&gt;"))</f>
      </c>
      <c r="AS120">
        <f>IF($B120="",0,COUNTIFS('UX + Dev'!$AB$1:$DN$1,"&gt;="&amp;AS$1,'UX + Dev'!$AB$1:$DN$1,"&lt;="&amp;EOMONTH(AS$1,0),'UX + Dev'!$AB120:$DN120,"&lt;&gt;"))</f>
      </c>
      <c r="AT120">
        <f>IF($B120="",0,COUNTIFS('UX + Dev'!$AB$1:$DN$1,"&gt;="&amp;AT$1,'UX + Dev'!$AB$1:$DN$1,"&lt;="&amp;EOMONTH(AT$1,0),'UX + Dev'!$AB120:$DN120,"&lt;&gt;"))</f>
      </c>
      <c r="AU120">
        <f>IF($B120="",0,COUNTIFS('UX + Dev'!$AB$1:$DN$1,"&gt;="&amp;AU$1,'UX + Dev'!$AB$1:$DN$1,"&lt;="&amp;EOMONTH(AU$1,0),'UX + Dev'!$AB120:$DN120,"&lt;&gt;"))</f>
      </c>
      <c r="AV120">
        <f>IF($B120="",0,COUNTIFS('UX + Dev'!$AB$1:$DN$1,"&gt;="&amp;AV$1,'UX + Dev'!$AB$1:$DN$1,"&lt;="&amp;EOMONTH(AV$1,0),'UX + Dev'!$AB120:$DN120,"&lt;&gt;"))</f>
      </c>
      <c r="AW120">
        <f>IF($B120="",0,COUNTIFS('UX + Dev'!$AB$1:$DN$1,"&gt;="&amp;AW$1,'UX + Dev'!$AB$1:$DN$1,"&lt;="&amp;EOMONTH(AW$1,0),'UX + Dev'!$AB120:$DN120,"&lt;&gt;"))</f>
      </c>
      <c r="AX120">
        <f>IF($B120="",0,COUNTIFS('UX + Dev'!$AB$1:$DN$1,"&gt;="&amp;AX$1,'UX + Dev'!$AB$1:$DN$1,"&lt;="&amp;EOMONTH(AX$1,0),'UX + Dev'!$AB120:$DN120,"&lt;&gt;"))</f>
      </c>
      <c r="BB120" s="308">
        <f>IF($B120="","",IF(COUNTA('UX + Dev'!U120)&gt;0,DATE(YEAR('UX + Dev'!U120),MONTH('UX + Dev'!U120),1),IF(COUNTA('UX + Dev'!V120)&gt;0,DATE(YEAR('UX + Dev'!V120),MONTH('UX + Dev'!V120),1),"")))</f>
      </c>
      <c r="BC120" s="308">
        <f>IF($B120="","",IF(COUNTA('UX + Dev'!V120)&gt;0,EOMONTH('UX + Dev'!V120,0),IF(COUNTA('UX + Dev'!U120)&gt;0,EOMONTH('UX + Dev'!U120,0),"")))</f>
      </c>
    </row>
    <row r="121">
      <c r="A121" s="305" t="n">
        <v>121</v>
      </c>
      <c r="B121" s="305">
        <f>IF(TRIM('UX + Dev'!E121)="","",TRIM('UX + Dev'!E121))</f>
      </c>
      <c r="C121" s="305">
        <f>IF($B121="","",'UX + Dev'!B121)</f>
      </c>
      <c r="D121" s="305">
        <f>IF($B121="","",IF(TRIM('UX + Dev'!C121)="","(No theme assigned)",TRIM('UX + Dev'!C121)))</f>
      </c>
      <c r="E121" s="305">
        <f>IF($B121="","",TRIM('UX + Dev'!F121))</f>
      </c>
      <c r="F121" s="305">
        <f>IF($B121="","",'UX + Dev'!G121)</f>
      </c>
      <c r="G121" s="306">
        <f t="array" ref="G121">IF($B121="","",IF($T121=0,"",IFERROR(MIN(IF('UX + Dev'!$AB121:$DN121&lt;&gt;"",'UX + Dev'!$AB$1:$DN$1)),"")))</f>
      </c>
      <c r="H121" s="306">
        <f t="array" ref="H121">IF($B121="","",IF($T121=0,"",IFERROR(MAX(IF('UX + Dev'!$AB121:$DN121&lt;&gt;"",'UX + Dev'!$AB$1:$DN$1)),"")))</f>
      </c>
      <c r="I121" s="307">
        <f>IF($R121&lt;&gt;"",$R121,IF($S121&lt;&gt;"",$S121,""))</f>
      </c>
      <c r="J121" s="307">
        <f>IF($S121&lt;&gt;"",EOMONTH($S121,0),IF($R121&lt;&gt;"",EOMONTH($R121,0),""))</f>
      </c>
      <c r="K121" s="305">
        <f>IF($B121="","",IF(COUNTA('UX + Dev'!AA121)=0,"",TRIM('UX + Dev'!AA121)))</f>
      </c>
      <c r="L121" s="305">
        <f>IF($B121="","",IFERROR(MATCH($D121,Control!$E$4:$E$30,0),99))</f>
      </c>
      <c r="M121" s="305">
        <f>IF($B121="","",IFERROR(MATCH($F121,Control!$B$4:$B$30,0),99))</f>
      </c>
      <c r="N121" s="305">
        <f>IF($V121&lt;&gt;1,"",IF('Roadmap (Auto)'!$D$3="Status, then Theme",$M121*1000000+$L121*10000+ROW(),IF('Roadmap (Auto)'!$D$3="Dev start (earliest)",IF($I121="",99999999,$I121)*10000+ROW(),IF('Roadmap (Auto)'!$D$3="UX start (earliest)",IF($G121="",99999999,$G121)*10000+ROW(),IF('Roadmap (Auto)'!$D$3="Deliverable A-Z",$W121*10000+ROW(),$L121*1000000+$M121*10000+ROW())))))</f>
      </c>
      <c r="O121" s="305">
        <f>IF($N121="","",COUNTIF($N$2:$N$151,"&lt;"&amp;$N121)+1)</f>
      </c>
      <c r="P121" s="305">
        <f>IF($B121="","",IF(COUNTA('UX + Dev'!X121)=0,"",'UX + Dev'!X121))</f>
      </c>
      <c r="Q121" s="305">
        <f>IF($B121="","",IF(COUNTA('UX + Dev'!Y121)=0,"",'UX + Dev'!Y121))</f>
      </c>
      <c r="R121" s="307">
        <f>IF($P121="","",IF(ISNUMBER($P121),DATE(YEAR($P121),MONTH($P121),1),IFERROR(DATE(IFERROR(VALUE(RIGHT(TRIM($P121),4)),YEAR(TODAY())),(SEARCH(LEFT(TRIM($P121),3),"JanFebMarAprMayJunJulAugSepOctNovDec")+2)/3,1),"")))</f>
      </c>
      <c r="S121" s="307">
        <f>IF($Q121="","",IF(ISNUMBER($Q121),DATE(YEAR($Q121),MONTH($Q121),1),IFERROR(DATE(IFERROR(VALUE(RIGHT(TRIM($Q121),4)),YEAR(TODAY())),(SEARCH(LEFT(TRIM($Q121),3),"JanFebMarAprMayJunJulAugSepOctNovDec")+2)/3,1),"")))</f>
      </c>
      <c r="T121" s="305">
        <f>IF($B121="","",COUNTA('UX + Dev'!$AB121:$DN121))</f>
      </c>
      <c r="U121" s="305">
        <f>IF($B121="","",IFERROR(MATCH($D121,Control!$E$4:$E$30,0)+3,0))</f>
      </c>
      <c r="V121" s="305">
        <f>IF($B121="","",IF(AND(OR('Roadmap (Auto)'!$A$3="",'Roadmap (Auto)'!$A$3="(All)",ISNUMBER(SEARCH('Roadmap (Auto)'!$A$3,$C121&amp;""))),OR('Roadmap (Auto)'!$B$3="",'Roadmap (Auto)'!$B$3="(All)",$D121='Roadmap (Auto)'!$B$3,$X121='Roadmap (Auto)'!$B$3),OR('Roadmap (Auto)'!$C$3="",'Roadmap (Auto)'!$C$3="(All)",$F121='Roadmap (Auto)'!$C$3)),1,0))</f>
      </c>
      <c r="W121" s="305">
        <f>IF($B121="","",COUNTIF($Y$2:$Y$151,"&lt;"&amp;$Y121)+1)</f>
      </c>
      <c r="X121" s="305">
        <f>IF($B121="","",IF(TRIM('UX + Dev'!D121)="","",TRIM('UX + Dev'!D121)))</f>
      </c>
      <c r="Y121" s="305">
        <f>IF($B121="","",SUBSTITUTE(SUBSTITUTE(SUBSTITUTE(SUBSTITUTE(SUBSTITUTE(SUBSTITUTE(SUBSTITUTE(SUBSTITUTE(SUBSTITUTE(SUBSTITUTE(SUBSTITUTE(SUBSTITUTE(SUBSTITUTE(SUBSTITUTE(SUBSTITUTE(SUBSTITUTE(SUBSTITUTE(SUBSTITUTE(SUBSTITUTE(SUBSTITUTE(SUBSTITUTE(SUBSTITUTE(SUBSTITUTE(SUBSTITUTE(SUBSTITUTE(UPPER($B121)," ",""),"-",""),":",""),"/",""),"&amp;",""),"|",""),"'",""),"’",""),"&lt;",""),"&gt;",""),",",""),"$",""),".",""),"(",""),")",""),"*",""),"?",""),"~",""),"_",""),"+",""),"#",""),";",""),"!",""),"%",""),"@",""))</f>
      </c>
      <c r="AA121">
        <f>IF($B121="",0,COUNTIFS('UX + Dev'!$AB$1:$DN$1,"&gt;="&amp;AA$1,'UX + Dev'!$AB$1:$DN$1,"&lt;="&amp;EOMONTH(AA$1,0),'UX + Dev'!$AB121:$DN121,"&lt;&gt;"))</f>
      </c>
      <c r="AB121">
        <f>IF($B121="",0,COUNTIFS('UX + Dev'!$AB$1:$DN$1,"&gt;="&amp;AB$1,'UX + Dev'!$AB$1:$DN$1,"&lt;="&amp;EOMONTH(AB$1,0),'UX + Dev'!$AB121:$DN121,"&lt;&gt;"))</f>
      </c>
      <c r="AC121">
        <f>IF($B121="",0,COUNTIFS('UX + Dev'!$AB$1:$DN$1,"&gt;="&amp;AC$1,'UX + Dev'!$AB$1:$DN$1,"&lt;="&amp;EOMONTH(AC$1,0),'UX + Dev'!$AB121:$DN121,"&lt;&gt;"))</f>
      </c>
      <c r="AD121">
        <f>IF($B121="",0,COUNTIFS('UX + Dev'!$AB$1:$DN$1,"&gt;="&amp;AD$1,'UX + Dev'!$AB$1:$DN$1,"&lt;="&amp;EOMONTH(AD$1,0),'UX + Dev'!$AB121:$DN121,"&lt;&gt;"))</f>
      </c>
      <c r="AE121">
        <f>IF($B121="",0,COUNTIFS('UX + Dev'!$AB$1:$DN$1,"&gt;="&amp;AE$1,'UX + Dev'!$AB$1:$DN$1,"&lt;="&amp;EOMONTH(AE$1,0),'UX + Dev'!$AB121:$DN121,"&lt;&gt;"))</f>
      </c>
      <c r="AF121">
        <f>IF($B121="",0,COUNTIFS('UX + Dev'!$AB$1:$DN$1,"&gt;="&amp;AF$1,'UX + Dev'!$AB$1:$DN$1,"&lt;="&amp;EOMONTH(AF$1,0),'UX + Dev'!$AB121:$DN121,"&lt;&gt;"))</f>
      </c>
      <c r="AG121">
        <f>IF($B121="",0,COUNTIFS('UX + Dev'!$AB$1:$DN$1,"&gt;="&amp;AG$1,'UX + Dev'!$AB$1:$DN$1,"&lt;="&amp;EOMONTH(AG$1,0),'UX + Dev'!$AB121:$DN121,"&lt;&gt;"))</f>
      </c>
      <c r="AH121">
        <f>IF($B121="",0,COUNTIFS('UX + Dev'!$AB$1:$DN$1,"&gt;="&amp;AH$1,'UX + Dev'!$AB$1:$DN$1,"&lt;="&amp;EOMONTH(AH$1,0),'UX + Dev'!$AB121:$DN121,"&lt;&gt;"))</f>
      </c>
      <c r="AI121">
        <f>IF($B121="",0,COUNTIFS('UX + Dev'!$AB$1:$DN$1,"&gt;="&amp;AI$1,'UX + Dev'!$AB$1:$DN$1,"&lt;="&amp;EOMONTH(AI$1,0),'UX + Dev'!$AB121:$DN121,"&lt;&gt;"))</f>
      </c>
      <c r="AJ121">
        <f>IF($B121="",0,COUNTIFS('UX + Dev'!$AB$1:$DN$1,"&gt;="&amp;AJ$1,'UX + Dev'!$AB$1:$DN$1,"&lt;="&amp;EOMONTH(AJ$1,0),'UX + Dev'!$AB121:$DN121,"&lt;&gt;"))</f>
      </c>
      <c r="AK121">
        <f>IF($B121="",0,COUNTIFS('UX + Dev'!$AB$1:$DN$1,"&gt;="&amp;AK$1,'UX + Dev'!$AB$1:$DN$1,"&lt;="&amp;EOMONTH(AK$1,0),'UX + Dev'!$AB121:$DN121,"&lt;&gt;"))</f>
      </c>
      <c r="AL121">
        <f>IF($B121="",0,COUNTIFS('UX + Dev'!$AB$1:$DN$1,"&gt;="&amp;AL$1,'UX + Dev'!$AB$1:$DN$1,"&lt;="&amp;EOMONTH(AL$1,0),'UX + Dev'!$AB121:$DN121,"&lt;&gt;"))</f>
      </c>
      <c r="AM121">
        <f>IF($B121="",0,COUNTIFS('UX + Dev'!$AB$1:$DN$1,"&gt;="&amp;AM$1,'UX + Dev'!$AB$1:$DN$1,"&lt;="&amp;EOMONTH(AM$1,0),'UX + Dev'!$AB121:$DN121,"&lt;&gt;"))</f>
      </c>
      <c r="AN121">
        <f>IF($B121="",0,COUNTIFS('UX + Dev'!$AB$1:$DN$1,"&gt;="&amp;AN$1,'UX + Dev'!$AB$1:$DN$1,"&lt;="&amp;EOMONTH(AN$1,0),'UX + Dev'!$AB121:$DN121,"&lt;&gt;"))</f>
      </c>
      <c r="AO121">
        <f>IF($B121="",0,COUNTIFS('UX + Dev'!$AB$1:$DN$1,"&gt;="&amp;AO$1,'UX + Dev'!$AB$1:$DN$1,"&lt;="&amp;EOMONTH(AO$1,0),'UX + Dev'!$AB121:$DN121,"&lt;&gt;"))</f>
      </c>
      <c r="AP121">
        <f>IF($B121="",0,COUNTIFS('UX + Dev'!$AB$1:$DN$1,"&gt;="&amp;AP$1,'UX + Dev'!$AB$1:$DN$1,"&lt;="&amp;EOMONTH(AP$1,0),'UX + Dev'!$AB121:$DN121,"&lt;&gt;"))</f>
      </c>
      <c r="AQ121">
        <f>IF($B121="",0,COUNTIFS('UX + Dev'!$AB$1:$DN$1,"&gt;="&amp;AQ$1,'UX + Dev'!$AB$1:$DN$1,"&lt;="&amp;EOMONTH(AQ$1,0),'UX + Dev'!$AB121:$DN121,"&lt;&gt;"))</f>
      </c>
      <c r="AR121">
        <f>IF($B121="",0,COUNTIFS('UX + Dev'!$AB$1:$DN$1,"&gt;="&amp;AR$1,'UX + Dev'!$AB$1:$DN$1,"&lt;="&amp;EOMONTH(AR$1,0),'UX + Dev'!$AB121:$DN121,"&lt;&gt;"))</f>
      </c>
      <c r="AS121">
        <f>IF($B121="",0,COUNTIFS('UX + Dev'!$AB$1:$DN$1,"&gt;="&amp;AS$1,'UX + Dev'!$AB$1:$DN$1,"&lt;="&amp;EOMONTH(AS$1,0),'UX + Dev'!$AB121:$DN121,"&lt;&gt;"))</f>
      </c>
      <c r="AT121">
        <f>IF($B121="",0,COUNTIFS('UX + Dev'!$AB$1:$DN$1,"&gt;="&amp;AT$1,'UX + Dev'!$AB$1:$DN$1,"&lt;="&amp;EOMONTH(AT$1,0),'UX + Dev'!$AB121:$DN121,"&lt;&gt;"))</f>
      </c>
      <c r="AU121">
        <f>IF($B121="",0,COUNTIFS('UX + Dev'!$AB$1:$DN$1,"&gt;="&amp;AU$1,'UX + Dev'!$AB$1:$DN$1,"&lt;="&amp;EOMONTH(AU$1,0),'UX + Dev'!$AB121:$DN121,"&lt;&gt;"))</f>
      </c>
      <c r="AV121">
        <f>IF($B121="",0,COUNTIFS('UX + Dev'!$AB$1:$DN$1,"&gt;="&amp;AV$1,'UX + Dev'!$AB$1:$DN$1,"&lt;="&amp;EOMONTH(AV$1,0),'UX + Dev'!$AB121:$DN121,"&lt;&gt;"))</f>
      </c>
      <c r="AW121">
        <f>IF($B121="",0,COUNTIFS('UX + Dev'!$AB$1:$DN$1,"&gt;="&amp;AW$1,'UX + Dev'!$AB$1:$DN$1,"&lt;="&amp;EOMONTH(AW$1,0),'UX + Dev'!$AB121:$DN121,"&lt;&gt;"))</f>
      </c>
      <c r="AX121">
        <f>IF($B121="",0,COUNTIFS('UX + Dev'!$AB$1:$DN$1,"&gt;="&amp;AX$1,'UX + Dev'!$AB$1:$DN$1,"&lt;="&amp;EOMONTH(AX$1,0),'UX + Dev'!$AB121:$DN121,"&lt;&gt;"))</f>
      </c>
      <c r="BB121" s="308">
        <f>IF($B121="","",IF(COUNTA('UX + Dev'!U121)&gt;0,DATE(YEAR('UX + Dev'!U121),MONTH('UX + Dev'!U121),1),IF(COUNTA('UX + Dev'!V121)&gt;0,DATE(YEAR('UX + Dev'!V121),MONTH('UX + Dev'!V121),1),"")))</f>
      </c>
      <c r="BC121" s="308">
        <f>IF($B121="","",IF(COUNTA('UX + Dev'!V121)&gt;0,EOMONTH('UX + Dev'!V121,0),IF(COUNTA('UX + Dev'!U121)&gt;0,EOMONTH('UX + Dev'!U121,0),"")))</f>
      </c>
    </row>
    <row r="122">
      <c r="A122" s="305" t="n">
        <v>122</v>
      </c>
      <c r="B122" s="305">
        <f>IF(TRIM('UX + Dev'!E122)="","",TRIM('UX + Dev'!E122))</f>
      </c>
      <c r="C122" s="305">
        <f>IF($B122="","",'UX + Dev'!B122)</f>
      </c>
      <c r="D122" s="305">
        <f>IF($B122="","",IF(TRIM('UX + Dev'!C122)="","(No theme assigned)",TRIM('UX + Dev'!C122)))</f>
      </c>
      <c r="E122" s="305">
        <f>IF($B122="","",TRIM('UX + Dev'!F122))</f>
      </c>
      <c r="F122" s="305">
        <f>IF($B122="","",'UX + Dev'!G122)</f>
      </c>
      <c r="G122" s="306">
        <f t="array" ref="G122">IF($B122="","",IF($T122=0,"",IFERROR(MIN(IF('UX + Dev'!$AB122:$DN122&lt;&gt;"",'UX + Dev'!$AB$1:$DN$1)),"")))</f>
      </c>
      <c r="H122" s="306">
        <f t="array" ref="H122">IF($B122="","",IF($T122=0,"",IFERROR(MAX(IF('UX + Dev'!$AB122:$DN122&lt;&gt;"",'UX + Dev'!$AB$1:$DN$1)),"")))</f>
      </c>
      <c r="I122" s="307">
        <f>IF($R122&lt;&gt;"",$R122,IF($S122&lt;&gt;"",$S122,""))</f>
      </c>
      <c r="J122" s="307">
        <f>IF($S122&lt;&gt;"",EOMONTH($S122,0),IF($R122&lt;&gt;"",EOMONTH($R122,0),""))</f>
      </c>
      <c r="K122" s="305">
        <f>IF($B122="","",IF(COUNTA('UX + Dev'!AA122)=0,"",TRIM('UX + Dev'!AA122)))</f>
      </c>
      <c r="L122" s="305">
        <f>IF($B122="","",IFERROR(MATCH($D122,Control!$E$4:$E$30,0),99))</f>
      </c>
      <c r="M122" s="305">
        <f>IF($B122="","",IFERROR(MATCH($F122,Control!$B$4:$B$30,0),99))</f>
      </c>
      <c r="N122" s="305">
        <f>IF($V122&lt;&gt;1,"",IF('Roadmap (Auto)'!$D$3="Status, then Theme",$M122*1000000+$L122*10000+ROW(),IF('Roadmap (Auto)'!$D$3="Dev start (earliest)",IF($I122="",99999999,$I122)*10000+ROW(),IF('Roadmap (Auto)'!$D$3="UX start (earliest)",IF($G122="",99999999,$G122)*10000+ROW(),IF('Roadmap (Auto)'!$D$3="Deliverable A-Z",$W122*10000+ROW(),$L122*1000000+$M122*10000+ROW())))))</f>
      </c>
      <c r="O122" s="305">
        <f>IF($N122="","",COUNTIF($N$2:$N$151,"&lt;"&amp;$N122)+1)</f>
      </c>
      <c r="P122" s="305">
        <f>IF($B122="","",IF(COUNTA('UX + Dev'!X122)=0,"",'UX + Dev'!X122))</f>
      </c>
      <c r="Q122" s="305">
        <f>IF($B122="","",IF(COUNTA('UX + Dev'!Y122)=0,"",'UX + Dev'!Y122))</f>
      </c>
      <c r="R122" s="307">
        <f>IF($P122="","",IF(ISNUMBER($P122),DATE(YEAR($P122),MONTH($P122),1),IFERROR(DATE(IFERROR(VALUE(RIGHT(TRIM($P122),4)),YEAR(TODAY())),(SEARCH(LEFT(TRIM($P122),3),"JanFebMarAprMayJunJulAugSepOctNovDec")+2)/3,1),"")))</f>
      </c>
      <c r="S122" s="307">
        <f>IF($Q122="","",IF(ISNUMBER($Q122),DATE(YEAR($Q122),MONTH($Q122),1),IFERROR(DATE(IFERROR(VALUE(RIGHT(TRIM($Q122),4)),YEAR(TODAY())),(SEARCH(LEFT(TRIM($Q122),3),"JanFebMarAprMayJunJulAugSepOctNovDec")+2)/3,1),"")))</f>
      </c>
      <c r="T122" s="305">
        <f>IF($B122="","",COUNTA('UX + Dev'!$AB122:$DN122))</f>
      </c>
      <c r="U122" s="305">
        <f>IF($B122="","",IFERROR(MATCH($D122,Control!$E$4:$E$30,0)+3,0))</f>
      </c>
      <c r="V122" s="305">
        <f>IF($B122="","",IF(AND(OR('Roadmap (Auto)'!$A$3="",'Roadmap (Auto)'!$A$3="(All)",ISNUMBER(SEARCH('Roadmap (Auto)'!$A$3,$C122&amp;""))),OR('Roadmap (Auto)'!$B$3="",'Roadmap (Auto)'!$B$3="(All)",$D122='Roadmap (Auto)'!$B$3,$X122='Roadmap (Auto)'!$B$3),OR('Roadmap (Auto)'!$C$3="",'Roadmap (Auto)'!$C$3="(All)",$F122='Roadmap (Auto)'!$C$3)),1,0))</f>
      </c>
      <c r="W122" s="305">
        <f>IF($B122="","",COUNTIF($Y$2:$Y$151,"&lt;"&amp;$Y122)+1)</f>
      </c>
      <c r="X122" s="305">
        <f>IF($B122="","",IF(TRIM('UX + Dev'!D122)="","",TRIM('UX + Dev'!D122)))</f>
      </c>
      <c r="Y122" s="305">
        <f>IF($B122="","",SUBSTITUTE(SUBSTITUTE(SUBSTITUTE(SUBSTITUTE(SUBSTITUTE(SUBSTITUTE(SUBSTITUTE(SUBSTITUTE(SUBSTITUTE(SUBSTITUTE(SUBSTITUTE(SUBSTITUTE(SUBSTITUTE(SUBSTITUTE(SUBSTITUTE(SUBSTITUTE(SUBSTITUTE(SUBSTITUTE(SUBSTITUTE(SUBSTITUTE(SUBSTITUTE(SUBSTITUTE(SUBSTITUTE(SUBSTITUTE(SUBSTITUTE(UPPER($B122)," ",""),"-",""),":",""),"/",""),"&amp;",""),"|",""),"'",""),"’",""),"&lt;",""),"&gt;",""),",",""),"$",""),".",""),"(",""),")",""),"*",""),"?",""),"~",""),"_",""),"+",""),"#",""),";",""),"!",""),"%",""),"@",""))</f>
      </c>
      <c r="AA122">
        <f>IF($B122="",0,COUNTIFS('UX + Dev'!$AB$1:$DN$1,"&gt;="&amp;AA$1,'UX + Dev'!$AB$1:$DN$1,"&lt;="&amp;EOMONTH(AA$1,0),'UX + Dev'!$AB122:$DN122,"&lt;&gt;"))</f>
      </c>
      <c r="AB122">
        <f>IF($B122="",0,COUNTIFS('UX + Dev'!$AB$1:$DN$1,"&gt;="&amp;AB$1,'UX + Dev'!$AB$1:$DN$1,"&lt;="&amp;EOMONTH(AB$1,0),'UX + Dev'!$AB122:$DN122,"&lt;&gt;"))</f>
      </c>
      <c r="AC122">
        <f>IF($B122="",0,COUNTIFS('UX + Dev'!$AB$1:$DN$1,"&gt;="&amp;AC$1,'UX + Dev'!$AB$1:$DN$1,"&lt;="&amp;EOMONTH(AC$1,0),'UX + Dev'!$AB122:$DN122,"&lt;&gt;"))</f>
      </c>
      <c r="AD122">
        <f>IF($B122="",0,COUNTIFS('UX + Dev'!$AB$1:$DN$1,"&gt;="&amp;AD$1,'UX + Dev'!$AB$1:$DN$1,"&lt;="&amp;EOMONTH(AD$1,0),'UX + Dev'!$AB122:$DN122,"&lt;&gt;"))</f>
      </c>
      <c r="AE122">
        <f>IF($B122="",0,COUNTIFS('UX + Dev'!$AB$1:$DN$1,"&gt;="&amp;AE$1,'UX + Dev'!$AB$1:$DN$1,"&lt;="&amp;EOMONTH(AE$1,0),'UX + Dev'!$AB122:$DN122,"&lt;&gt;"))</f>
      </c>
      <c r="AF122">
        <f>IF($B122="",0,COUNTIFS('UX + Dev'!$AB$1:$DN$1,"&gt;="&amp;AF$1,'UX + Dev'!$AB$1:$DN$1,"&lt;="&amp;EOMONTH(AF$1,0),'UX + Dev'!$AB122:$DN122,"&lt;&gt;"))</f>
      </c>
      <c r="AG122">
        <f>IF($B122="",0,COUNTIFS('UX + Dev'!$AB$1:$DN$1,"&gt;="&amp;AG$1,'UX + Dev'!$AB$1:$DN$1,"&lt;="&amp;EOMONTH(AG$1,0),'UX + Dev'!$AB122:$DN122,"&lt;&gt;"))</f>
      </c>
      <c r="AH122">
        <f>IF($B122="",0,COUNTIFS('UX + Dev'!$AB$1:$DN$1,"&gt;="&amp;AH$1,'UX + Dev'!$AB$1:$DN$1,"&lt;="&amp;EOMONTH(AH$1,0),'UX + Dev'!$AB122:$DN122,"&lt;&gt;"))</f>
      </c>
      <c r="AI122">
        <f>IF($B122="",0,COUNTIFS('UX + Dev'!$AB$1:$DN$1,"&gt;="&amp;AI$1,'UX + Dev'!$AB$1:$DN$1,"&lt;="&amp;EOMONTH(AI$1,0),'UX + Dev'!$AB122:$DN122,"&lt;&gt;"))</f>
      </c>
      <c r="AJ122">
        <f>IF($B122="",0,COUNTIFS('UX + Dev'!$AB$1:$DN$1,"&gt;="&amp;AJ$1,'UX + Dev'!$AB$1:$DN$1,"&lt;="&amp;EOMONTH(AJ$1,0),'UX + Dev'!$AB122:$DN122,"&lt;&gt;"))</f>
      </c>
      <c r="AK122">
        <f>IF($B122="",0,COUNTIFS('UX + Dev'!$AB$1:$DN$1,"&gt;="&amp;AK$1,'UX + Dev'!$AB$1:$DN$1,"&lt;="&amp;EOMONTH(AK$1,0),'UX + Dev'!$AB122:$DN122,"&lt;&gt;"))</f>
      </c>
      <c r="AL122">
        <f>IF($B122="",0,COUNTIFS('UX + Dev'!$AB$1:$DN$1,"&gt;="&amp;AL$1,'UX + Dev'!$AB$1:$DN$1,"&lt;="&amp;EOMONTH(AL$1,0),'UX + Dev'!$AB122:$DN122,"&lt;&gt;"))</f>
      </c>
      <c r="AM122">
        <f>IF($B122="",0,COUNTIFS('UX + Dev'!$AB$1:$DN$1,"&gt;="&amp;AM$1,'UX + Dev'!$AB$1:$DN$1,"&lt;="&amp;EOMONTH(AM$1,0),'UX + Dev'!$AB122:$DN122,"&lt;&gt;"))</f>
      </c>
      <c r="AN122">
        <f>IF($B122="",0,COUNTIFS('UX + Dev'!$AB$1:$DN$1,"&gt;="&amp;AN$1,'UX + Dev'!$AB$1:$DN$1,"&lt;="&amp;EOMONTH(AN$1,0),'UX + Dev'!$AB122:$DN122,"&lt;&gt;"))</f>
      </c>
      <c r="AO122">
        <f>IF($B122="",0,COUNTIFS('UX + Dev'!$AB$1:$DN$1,"&gt;="&amp;AO$1,'UX + Dev'!$AB$1:$DN$1,"&lt;="&amp;EOMONTH(AO$1,0),'UX + Dev'!$AB122:$DN122,"&lt;&gt;"))</f>
      </c>
      <c r="AP122">
        <f>IF($B122="",0,COUNTIFS('UX + Dev'!$AB$1:$DN$1,"&gt;="&amp;AP$1,'UX + Dev'!$AB$1:$DN$1,"&lt;="&amp;EOMONTH(AP$1,0),'UX + Dev'!$AB122:$DN122,"&lt;&gt;"))</f>
      </c>
      <c r="AQ122">
        <f>IF($B122="",0,COUNTIFS('UX + Dev'!$AB$1:$DN$1,"&gt;="&amp;AQ$1,'UX + Dev'!$AB$1:$DN$1,"&lt;="&amp;EOMONTH(AQ$1,0),'UX + Dev'!$AB122:$DN122,"&lt;&gt;"))</f>
      </c>
      <c r="AR122">
        <f>IF($B122="",0,COUNTIFS('UX + Dev'!$AB$1:$DN$1,"&gt;="&amp;AR$1,'UX + Dev'!$AB$1:$DN$1,"&lt;="&amp;EOMONTH(AR$1,0),'UX + Dev'!$AB122:$DN122,"&lt;&gt;"))</f>
      </c>
      <c r="AS122">
        <f>IF($B122="",0,COUNTIFS('UX + Dev'!$AB$1:$DN$1,"&gt;="&amp;AS$1,'UX + Dev'!$AB$1:$DN$1,"&lt;="&amp;EOMONTH(AS$1,0),'UX + Dev'!$AB122:$DN122,"&lt;&gt;"))</f>
      </c>
      <c r="AT122">
        <f>IF($B122="",0,COUNTIFS('UX + Dev'!$AB$1:$DN$1,"&gt;="&amp;AT$1,'UX + Dev'!$AB$1:$DN$1,"&lt;="&amp;EOMONTH(AT$1,0),'UX + Dev'!$AB122:$DN122,"&lt;&gt;"))</f>
      </c>
      <c r="AU122">
        <f>IF($B122="",0,COUNTIFS('UX + Dev'!$AB$1:$DN$1,"&gt;="&amp;AU$1,'UX + Dev'!$AB$1:$DN$1,"&lt;="&amp;EOMONTH(AU$1,0),'UX + Dev'!$AB122:$DN122,"&lt;&gt;"))</f>
      </c>
      <c r="AV122">
        <f>IF($B122="",0,COUNTIFS('UX + Dev'!$AB$1:$DN$1,"&gt;="&amp;AV$1,'UX + Dev'!$AB$1:$DN$1,"&lt;="&amp;EOMONTH(AV$1,0),'UX + Dev'!$AB122:$DN122,"&lt;&gt;"))</f>
      </c>
      <c r="AW122">
        <f>IF($B122="",0,COUNTIFS('UX + Dev'!$AB$1:$DN$1,"&gt;="&amp;AW$1,'UX + Dev'!$AB$1:$DN$1,"&lt;="&amp;EOMONTH(AW$1,0),'UX + Dev'!$AB122:$DN122,"&lt;&gt;"))</f>
      </c>
      <c r="AX122">
        <f>IF($B122="",0,COUNTIFS('UX + Dev'!$AB$1:$DN$1,"&gt;="&amp;AX$1,'UX + Dev'!$AB$1:$DN$1,"&lt;="&amp;EOMONTH(AX$1,0),'UX + Dev'!$AB122:$DN122,"&lt;&gt;"))</f>
      </c>
      <c r="BB122" s="308">
        <f>IF($B122="","",IF(COUNTA('UX + Dev'!U122)&gt;0,DATE(YEAR('UX + Dev'!U122),MONTH('UX + Dev'!U122),1),IF(COUNTA('UX + Dev'!V122)&gt;0,DATE(YEAR('UX + Dev'!V122),MONTH('UX + Dev'!V122),1),"")))</f>
      </c>
      <c r="BC122" s="308">
        <f>IF($B122="","",IF(COUNTA('UX + Dev'!V122)&gt;0,EOMONTH('UX + Dev'!V122,0),IF(COUNTA('UX + Dev'!U122)&gt;0,EOMONTH('UX + Dev'!U122,0),"")))</f>
      </c>
    </row>
    <row r="123">
      <c r="A123" s="305" t="n">
        <v>123</v>
      </c>
      <c r="B123" s="305">
        <f>IF(TRIM('UX + Dev'!E123)="","",TRIM('UX + Dev'!E123))</f>
      </c>
      <c r="C123" s="305">
        <f>IF($B123="","",'UX + Dev'!B123)</f>
      </c>
      <c r="D123" s="305">
        <f>IF($B123="","",IF(TRIM('UX + Dev'!C123)="","(No theme assigned)",TRIM('UX + Dev'!C123)))</f>
      </c>
      <c r="E123" s="305">
        <f>IF($B123="","",TRIM('UX + Dev'!F123))</f>
      </c>
      <c r="F123" s="305">
        <f>IF($B123="","",'UX + Dev'!G123)</f>
      </c>
      <c r="G123" s="306">
        <f t="array" ref="G123">IF($B123="","",IF($T123=0,"",IFERROR(MIN(IF('UX + Dev'!$AB123:$DN123&lt;&gt;"",'UX + Dev'!$AB$1:$DN$1)),"")))</f>
      </c>
      <c r="H123" s="306">
        <f t="array" ref="H123">IF($B123="","",IF($T123=0,"",IFERROR(MAX(IF('UX + Dev'!$AB123:$DN123&lt;&gt;"",'UX + Dev'!$AB$1:$DN$1)),"")))</f>
      </c>
      <c r="I123" s="307">
        <f>IF($R123&lt;&gt;"",$R123,IF($S123&lt;&gt;"",$S123,""))</f>
      </c>
      <c r="J123" s="307">
        <f>IF($S123&lt;&gt;"",EOMONTH($S123,0),IF($R123&lt;&gt;"",EOMONTH($R123,0),""))</f>
      </c>
      <c r="K123" s="305">
        <f>IF($B123="","",IF(COUNTA('UX + Dev'!AA123)=0,"",TRIM('UX + Dev'!AA123)))</f>
      </c>
      <c r="L123" s="305">
        <f>IF($B123="","",IFERROR(MATCH($D123,Control!$E$4:$E$30,0),99))</f>
      </c>
      <c r="M123" s="305">
        <f>IF($B123="","",IFERROR(MATCH($F123,Control!$B$4:$B$30,0),99))</f>
      </c>
      <c r="N123" s="305">
        <f>IF($V123&lt;&gt;1,"",IF('Roadmap (Auto)'!$D$3="Status, then Theme",$M123*1000000+$L123*10000+ROW(),IF('Roadmap (Auto)'!$D$3="Dev start (earliest)",IF($I123="",99999999,$I123)*10000+ROW(),IF('Roadmap (Auto)'!$D$3="UX start (earliest)",IF($G123="",99999999,$G123)*10000+ROW(),IF('Roadmap (Auto)'!$D$3="Deliverable A-Z",$W123*10000+ROW(),$L123*1000000+$M123*10000+ROW())))))</f>
      </c>
      <c r="O123" s="305">
        <f>IF($N123="","",COUNTIF($N$2:$N$151,"&lt;"&amp;$N123)+1)</f>
      </c>
      <c r="P123" s="305">
        <f>IF($B123="","",IF(COUNTA('UX + Dev'!X123)=0,"",'UX + Dev'!X123))</f>
      </c>
      <c r="Q123" s="305">
        <f>IF($B123="","",IF(COUNTA('UX + Dev'!Y123)=0,"",'UX + Dev'!Y123))</f>
      </c>
      <c r="R123" s="307">
        <f>IF($P123="","",IF(ISNUMBER($P123),DATE(YEAR($P123),MONTH($P123),1),IFERROR(DATE(IFERROR(VALUE(RIGHT(TRIM($P123),4)),YEAR(TODAY())),(SEARCH(LEFT(TRIM($P123),3),"JanFebMarAprMayJunJulAugSepOctNovDec")+2)/3,1),"")))</f>
      </c>
      <c r="S123" s="307">
        <f>IF($Q123="","",IF(ISNUMBER($Q123),DATE(YEAR($Q123),MONTH($Q123),1),IFERROR(DATE(IFERROR(VALUE(RIGHT(TRIM($Q123),4)),YEAR(TODAY())),(SEARCH(LEFT(TRIM($Q123),3),"JanFebMarAprMayJunJulAugSepOctNovDec")+2)/3,1),"")))</f>
      </c>
      <c r="T123" s="305">
        <f>IF($B123="","",COUNTA('UX + Dev'!$AB123:$DN123))</f>
      </c>
      <c r="U123" s="305">
        <f>IF($B123="","",IFERROR(MATCH($D123,Control!$E$4:$E$30,0)+3,0))</f>
      </c>
      <c r="V123" s="305">
        <f>IF($B123="","",IF(AND(OR('Roadmap (Auto)'!$A$3="",'Roadmap (Auto)'!$A$3="(All)",ISNUMBER(SEARCH('Roadmap (Auto)'!$A$3,$C123&amp;""))),OR('Roadmap (Auto)'!$B$3="",'Roadmap (Auto)'!$B$3="(All)",$D123='Roadmap (Auto)'!$B$3,$X123='Roadmap (Auto)'!$B$3),OR('Roadmap (Auto)'!$C$3="",'Roadmap (Auto)'!$C$3="(All)",$F123='Roadmap (Auto)'!$C$3)),1,0))</f>
      </c>
      <c r="W123" s="305">
        <f>IF($B123="","",COUNTIF($Y$2:$Y$151,"&lt;"&amp;$Y123)+1)</f>
      </c>
      <c r="X123" s="305">
        <f>IF($B123="","",IF(TRIM('UX + Dev'!D123)="","",TRIM('UX + Dev'!D123)))</f>
      </c>
      <c r="Y123" s="305">
        <f>IF($B123="","",SUBSTITUTE(SUBSTITUTE(SUBSTITUTE(SUBSTITUTE(SUBSTITUTE(SUBSTITUTE(SUBSTITUTE(SUBSTITUTE(SUBSTITUTE(SUBSTITUTE(SUBSTITUTE(SUBSTITUTE(SUBSTITUTE(SUBSTITUTE(SUBSTITUTE(SUBSTITUTE(SUBSTITUTE(SUBSTITUTE(SUBSTITUTE(SUBSTITUTE(SUBSTITUTE(SUBSTITUTE(SUBSTITUTE(SUBSTITUTE(SUBSTITUTE(UPPER($B123)," ",""),"-",""),":",""),"/",""),"&amp;",""),"|",""),"'",""),"’",""),"&lt;",""),"&gt;",""),",",""),"$",""),".",""),"(",""),")",""),"*",""),"?",""),"~",""),"_",""),"+",""),"#",""),";",""),"!",""),"%",""),"@",""))</f>
      </c>
      <c r="AA123">
        <f>IF($B123="",0,COUNTIFS('UX + Dev'!$AB$1:$DN$1,"&gt;="&amp;AA$1,'UX + Dev'!$AB$1:$DN$1,"&lt;="&amp;EOMONTH(AA$1,0),'UX + Dev'!$AB123:$DN123,"&lt;&gt;"))</f>
      </c>
      <c r="AB123">
        <f>IF($B123="",0,COUNTIFS('UX + Dev'!$AB$1:$DN$1,"&gt;="&amp;AB$1,'UX + Dev'!$AB$1:$DN$1,"&lt;="&amp;EOMONTH(AB$1,0),'UX + Dev'!$AB123:$DN123,"&lt;&gt;"))</f>
      </c>
      <c r="AC123">
        <f>IF($B123="",0,COUNTIFS('UX + Dev'!$AB$1:$DN$1,"&gt;="&amp;AC$1,'UX + Dev'!$AB$1:$DN$1,"&lt;="&amp;EOMONTH(AC$1,0),'UX + Dev'!$AB123:$DN123,"&lt;&gt;"))</f>
      </c>
      <c r="AD123">
        <f>IF($B123="",0,COUNTIFS('UX + Dev'!$AB$1:$DN$1,"&gt;="&amp;AD$1,'UX + Dev'!$AB$1:$DN$1,"&lt;="&amp;EOMONTH(AD$1,0),'UX + Dev'!$AB123:$DN123,"&lt;&gt;"))</f>
      </c>
      <c r="AE123">
        <f>IF($B123="",0,COUNTIFS('UX + Dev'!$AB$1:$DN$1,"&gt;="&amp;AE$1,'UX + Dev'!$AB$1:$DN$1,"&lt;="&amp;EOMONTH(AE$1,0),'UX + Dev'!$AB123:$DN123,"&lt;&gt;"))</f>
      </c>
      <c r="AF123">
        <f>IF($B123="",0,COUNTIFS('UX + Dev'!$AB$1:$DN$1,"&gt;="&amp;AF$1,'UX + Dev'!$AB$1:$DN$1,"&lt;="&amp;EOMONTH(AF$1,0),'UX + Dev'!$AB123:$DN123,"&lt;&gt;"))</f>
      </c>
      <c r="AG123">
        <f>IF($B123="",0,COUNTIFS('UX + Dev'!$AB$1:$DN$1,"&gt;="&amp;AG$1,'UX + Dev'!$AB$1:$DN$1,"&lt;="&amp;EOMONTH(AG$1,0),'UX + Dev'!$AB123:$DN123,"&lt;&gt;"))</f>
      </c>
      <c r="AH123">
        <f>IF($B123="",0,COUNTIFS('UX + Dev'!$AB$1:$DN$1,"&gt;="&amp;AH$1,'UX + Dev'!$AB$1:$DN$1,"&lt;="&amp;EOMONTH(AH$1,0),'UX + Dev'!$AB123:$DN123,"&lt;&gt;"))</f>
      </c>
      <c r="AI123">
        <f>IF($B123="",0,COUNTIFS('UX + Dev'!$AB$1:$DN$1,"&gt;="&amp;AI$1,'UX + Dev'!$AB$1:$DN$1,"&lt;="&amp;EOMONTH(AI$1,0),'UX + Dev'!$AB123:$DN123,"&lt;&gt;"))</f>
      </c>
      <c r="AJ123">
        <f>IF($B123="",0,COUNTIFS('UX + Dev'!$AB$1:$DN$1,"&gt;="&amp;AJ$1,'UX + Dev'!$AB$1:$DN$1,"&lt;="&amp;EOMONTH(AJ$1,0),'UX + Dev'!$AB123:$DN123,"&lt;&gt;"))</f>
      </c>
      <c r="AK123">
        <f>IF($B123="",0,COUNTIFS('UX + Dev'!$AB$1:$DN$1,"&gt;="&amp;AK$1,'UX + Dev'!$AB$1:$DN$1,"&lt;="&amp;EOMONTH(AK$1,0),'UX + Dev'!$AB123:$DN123,"&lt;&gt;"))</f>
      </c>
      <c r="AL123">
        <f>IF($B123="",0,COUNTIFS('UX + Dev'!$AB$1:$DN$1,"&gt;="&amp;AL$1,'UX + Dev'!$AB$1:$DN$1,"&lt;="&amp;EOMONTH(AL$1,0),'UX + Dev'!$AB123:$DN123,"&lt;&gt;"))</f>
      </c>
      <c r="AM123">
        <f>IF($B123="",0,COUNTIFS('UX + Dev'!$AB$1:$DN$1,"&gt;="&amp;AM$1,'UX + Dev'!$AB$1:$DN$1,"&lt;="&amp;EOMONTH(AM$1,0),'UX + Dev'!$AB123:$DN123,"&lt;&gt;"))</f>
      </c>
      <c r="AN123">
        <f>IF($B123="",0,COUNTIFS('UX + Dev'!$AB$1:$DN$1,"&gt;="&amp;AN$1,'UX + Dev'!$AB$1:$DN$1,"&lt;="&amp;EOMONTH(AN$1,0),'UX + Dev'!$AB123:$DN123,"&lt;&gt;"))</f>
      </c>
      <c r="AO123">
        <f>IF($B123="",0,COUNTIFS('UX + Dev'!$AB$1:$DN$1,"&gt;="&amp;AO$1,'UX + Dev'!$AB$1:$DN$1,"&lt;="&amp;EOMONTH(AO$1,0),'UX + Dev'!$AB123:$DN123,"&lt;&gt;"))</f>
      </c>
      <c r="AP123">
        <f>IF($B123="",0,COUNTIFS('UX + Dev'!$AB$1:$DN$1,"&gt;="&amp;AP$1,'UX + Dev'!$AB$1:$DN$1,"&lt;="&amp;EOMONTH(AP$1,0),'UX + Dev'!$AB123:$DN123,"&lt;&gt;"))</f>
      </c>
      <c r="AQ123">
        <f>IF($B123="",0,COUNTIFS('UX + Dev'!$AB$1:$DN$1,"&gt;="&amp;AQ$1,'UX + Dev'!$AB$1:$DN$1,"&lt;="&amp;EOMONTH(AQ$1,0),'UX + Dev'!$AB123:$DN123,"&lt;&gt;"))</f>
      </c>
      <c r="AR123">
        <f>IF($B123="",0,COUNTIFS('UX + Dev'!$AB$1:$DN$1,"&gt;="&amp;AR$1,'UX + Dev'!$AB$1:$DN$1,"&lt;="&amp;EOMONTH(AR$1,0),'UX + Dev'!$AB123:$DN123,"&lt;&gt;"))</f>
      </c>
      <c r="AS123">
        <f>IF($B123="",0,COUNTIFS('UX + Dev'!$AB$1:$DN$1,"&gt;="&amp;AS$1,'UX + Dev'!$AB$1:$DN$1,"&lt;="&amp;EOMONTH(AS$1,0),'UX + Dev'!$AB123:$DN123,"&lt;&gt;"))</f>
      </c>
      <c r="AT123">
        <f>IF($B123="",0,COUNTIFS('UX + Dev'!$AB$1:$DN$1,"&gt;="&amp;AT$1,'UX + Dev'!$AB$1:$DN$1,"&lt;="&amp;EOMONTH(AT$1,0),'UX + Dev'!$AB123:$DN123,"&lt;&gt;"))</f>
      </c>
      <c r="AU123">
        <f>IF($B123="",0,COUNTIFS('UX + Dev'!$AB$1:$DN$1,"&gt;="&amp;AU$1,'UX + Dev'!$AB$1:$DN$1,"&lt;="&amp;EOMONTH(AU$1,0),'UX + Dev'!$AB123:$DN123,"&lt;&gt;"))</f>
      </c>
      <c r="AV123">
        <f>IF($B123="",0,COUNTIFS('UX + Dev'!$AB$1:$DN$1,"&gt;="&amp;AV$1,'UX + Dev'!$AB$1:$DN$1,"&lt;="&amp;EOMONTH(AV$1,0),'UX + Dev'!$AB123:$DN123,"&lt;&gt;"))</f>
      </c>
      <c r="AW123">
        <f>IF($B123="",0,COUNTIFS('UX + Dev'!$AB$1:$DN$1,"&gt;="&amp;AW$1,'UX + Dev'!$AB$1:$DN$1,"&lt;="&amp;EOMONTH(AW$1,0),'UX + Dev'!$AB123:$DN123,"&lt;&gt;"))</f>
      </c>
      <c r="AX123">
        <f>IF($B123="",0,COUNTIFS('UX + Dev'!$AB$1:$DN$1,"&gt;="&amp;AX$1,'UX + Dev'!$AB$1:$DN$1,"&lt;="&amp;EOMONTH(AX$1,0),'UX + Dev'!$AB123:$DN123,"&lt;&gt;"))</f>
      </c>
      <c r="BB123" s="308">
        <f>IF($B123="","",IF(COUNTA('UX + Dev'!U123)&gt;0,DATE(YEAR('UX + Dev'!U123),MONTH('UX + Dev'!U123),1),IF(COUNTA('UX + Dev'!V123)&gt;0,DATE(YEAR('UX + Dev'!V123),MONTH('UX + Dev'!V123),1),"")))</f>
      </c>
      <c r="BC123" s="308">
        <f>IF($B123="","",IF(COUNTA('UX + Dev'!V123)&gt;0,EOMONTH('UX + Dev'!V123,0),IF(COUNTA('UX + Dev'!U123)&gt;0,EOMONTH('UX + Dev'!U123,0),"")))</f>
      </c>
    </row>
    <row r="124">
      <c r="A124" s="305" t="n">
        <v>124</v>
      </c>
      <c r="B124" s="305">
        <f>IF(TRIM('UX + Dev'!E124)="","",TRIM('UX + Dev'!E124))</f>
      </c>
      <c r="C124" s="305">
        <f>IF($B124="","",'UX + Dev'!B124)</f>
      </c>
      <c r="D124" s="305">
        <f>IF($B124="","",IF(TRIM('UX + Dev'!C124)="","(No theme assigned)",TRIM('UX + Dev'!C124)))</f>
      </c>
      <c r="E124" s="305">
        <f>IF($B124="","",TRIM('UX + Dev'!F124))</f>
      </c>
      <c r="F124" s="305">
        <f>IF($B124="","",'UX + Dev'!G124)</f>
      </c>
      <c r="G124" s="306">
        <f t="array" ref="G124">IF($B124="","",IF($T124=0,"",IFERROR(MIN(IF('UX + Dev'!$AB124:$DN124&lt;&gt;"",'UX + Dev'!$AB$1:$DN$1)),"")))</f>
      </c>
      <c r="H124" s="306">
        <f t="array" ref="H124">IF($B124="","",IF($T124=0,"",IFERROR(MAX(IF('UX + Dev'!$AB124:$DN124&lt;&gt;"",'UX + Dev'!$AB$1:$DN$1)),"")))</f>
      </c>
      <c r="I124" s="307">
        <f>IF($R124&lt;&gt;"",$R124,IF($S124&lt;&gt;"",$S124,""))</f>
      </c>
      <c r="J124" s="307">
        <f>IF($S124&lt;&gt;"",EOMONTH($S124,0),IF($R124&lt;&gt;"",EOMONTH($R124,0),""))</f>
      </c>
      <c r="K124" s="305">
        <f>IF($B124="","",IF(COUNTA('UX + Dev'!AA124)=0,"",TRIM('UX + Dev'!AA124)))</f>
      </c>
      <c r="L124" s="305">
        <f>IF($B124="","",IFERROR(MATCH($D124,Control!$E$4:$E$30,0),99))</f>
      </c>
      <c r="M124" s="305">
        <f>IF($B124="","",IFERROR(MATCH($F124,Control!$B$4:$B$30,0),99))</f>
      </c>
      <c r="N124" s="305">
        <f>IF($V124&lt;&gt;1,"",IF('Roadmap (Auto)'!$D$3="Status, then Theme",$M124*1000000+$L124*10000+ROW(),IF('Roadmap (Auto)'!$D$3="Dev start (earliest)",IF($I124="",99999999,$I124)*10000+ROW(),IF('Roadmap (Auto)'!$D$3="UX start (earliest)",IF($G124="",99999999,$G124)*10000+ROW(),IF('Roadmap (Auto)'!$D$3="Deliverable A-Z",$W124*10000+ROW(),$L124*1000000+$M124*10000+ROW())))))</f>
      </c>
      <c r="O124" s="305">
        <f>IF($N124="","",COUNTIF($N$2:$N$151,"&lt;"&amp;$N124)+1)</f>
      </c>
      <c r="P124" s="305">
        <f>IF($B124="","",IF(COUNTA('UX + Dev'!X124)=0,"",'UX + Dev'!X124))</f>
      </c>
      <c r="Q124" s="305">
        <f>IF($B124="","",IF(COUNTA('UX + Dev'!Y124)=0,"",'UX + Dev'!Y124))</f>
      </c>
      <c r="R124" s="307">
        <f>IF($P124="","",IF(ISNUMBER($P124),DATE(YEAR($P124),MONTH($P124),1),IFERROR(DATE(IFERROR(VALUE(RIGHT(TRIM($P124),4)),YEAR(TODAY())),(SEARCH(LEFT(TRIM($P124),3),"JanFebMarAprMayJunJulAugSepOctNovDec")+2)/3,1),"")))</f>
      </c>
      <c r="S124" s="307">
        <f>IF($Q124="","",IF(ISNUMBER($Q124),DATE(YEAR($Q124),MONTH($Q124),1),IFERROR(DATE(IFERROR(VALUE(RIGHT(TRIM($Q124),4)),YEAR(TODAY())),(SEARCH(LEFT(TRIM($Q124),3),"JanFebMarAprMayJunJulAugSepOctNovDec")+2)/3,1),"")))</f>
      </c>
      <c r="T124" s="305">
        <f>IF($B124="","",COUNTA('UX + Dev'!$AB124:$DN124))</f>
      </c>
      <c r="U124" s="305">
        <f>IF($B124="","",IFERROR(MATCH($D124,Control!$E$4:$E$30,0)+3,0))</f>
      </c>
      <c r="V124" s="305">
        <f>IF($B124="","",IF(AND(OR('Roadmap (Auto)'!$A$3="",'Roadmap (Auto)'!$A$3="(All)",ISNUMBER(SEARCH('Roadmap (Auto)'!$A$3,$C124&amp;""))),OR('Roadmap (Auto)'!$B$3="",'Roadmap (Auto)'!$B$3="(All)",$D124='Roadmap (Auto)'!$B$3,$X124='Roadmap (Auto)'!$B$3),OR('Roadmap (Auto)'!$C$3="",'Roadmap (Auto)'!$C$3="(All)",$F124='Roadmap (Auto)'!$C$3)),1,0))</f>
      </c>
      <c r="W124" s="305">
        <f>IF($B124="","",COUNTIF($Y$2:$Y$151,"&lt;"&amp;$Y124)+1)</f>
      </c>
      <c r="X124" s="305">
        <f>IF($B124="","",IF(TRIM('UX + Dev'!D124)="","",TRIM('UX + Dev'!D124)))</f>
      </c>
      <c r="Y124" s="305">
        <f>IF($B124="","",SUBSTITUTE(SUBSTITUTE(SUBSTITUTE(SUBSTITUTE(SUBSTITUTE(SUBSTITUTE(SUBSTITUTE(SUBSTITUTE(SUBSTITUTE(SUBSTITUTE(SUBSTITUTE(SUBSTITUTE(SUBSTITUTE(SUBSTITUTE(SUBSTITUTE(SUBSTITUTE(SUBSTITUTE(SUBSTITUTE(SUBSTITUTE(SUBSTITUTE(SUBSTITUTE(SUBSTITUTE(SUBSTITUTE(SUBSTITUTE(SUBSTITUTE(UPPER($B124)," ",""),"-",""),":",""),"/",""),"&amp;",""),"|",""),"'",""),"’",""),"&lt;",""),"&gt;",""),",",""),"$",""),".",""),"(",""),")",""),"*",""),"?",""),"~",""),"_",""),"+",""),"#",""),";",""),"!",""),"%",""),"@",""))</f>
      </c>
      <c r="AA124">
        <f>IF($B124="",0,COUNTIFS('UX + Dev'!$AB$1:$DN$1,"&gt;="&amp;AA$1,'UX + Dev'!$AB$1:$DN$1,"&lt;="&amp;EOMONTH(AA$1,0),'UX + Dev'!$AB124:$DN124,"&lt;&gt;"))</f>
      </c>
      <c r="AB124">
        <f>IF($B124="",0,COUNTIFS('UX + Dev'!$AB$1:$DN$1,"&gt;="&amp;AB$1,'UX + Dev'!$AB$1:$DN$1,"&lt;="&amp;EOMONTH(AB$1,0),'UX + Dev'!$AB124:$DN124,"&lt;&gt;"))</f>
      </c>
      <c r="AC124">
        <f>IF($B124="",0,COUNTIFS('UX + Dev'!$AB$1:$DN$1,"&gt;="&amp;AC$1,'UX + Dev'!$AB$1:$DN$1,"&lt;="&amp;EOMONTH(AC$1,0),'UX + Dev'!$AB124:$DN124,"&lt;&gt;"))</f>
      </c>
      <c r="AD124">
        <f>IF($B124="",0,COUNTIFS('UX + Dev'!$AB$1:$DN$1,"&gt;="&amp;AD$1,'UX + Dev'!$AB$1:$DN$1,"&lt;="&amp;EOMONTH(AD$1,0),'UX + Dev'!$AB124:$DN124,"&lt;&gt;"))</f>
      </c>
      <c r="AE124">
        <f>IF($B124="",0,COUNTIFS('UX + Dev'!$AB$1:$DN$1,"&gt;="&amp;AE$1,'UX + Dev'!$AB$1:$DN$1,"&lt;="&amp;EOMONTH(AE$1,0),'UX + Dev'!$AB124:$DN124,"&lt;&gt;"))</f>
      </c>
      <c r="AF124">
        <f>IF($B124="",0,COUNTIFS('UX + Dev'!$AB$1:$DN$1,"&gt;="&amp;AF$1,'UX + Dev'!$AB$1:$DN$1,"&lt;="&amp;EOMONTH(AF$1,0),'UX + Dev'!$AB124:$DN124,"&lt;&gt;"))</f>
      </c>
      <c r="AG124">
        <f>IF($B124="",0,COUNTIFS('UX + Dev'!$AB$1:$DN$1,"&gt;="&amp;AG$1,'UX + Dev'!$AB$1:$DN$1,"&lt;="&amp;EOMONTH(AG$1,0),'UX + Dev'!$AB124:$DN124,"&lt;&gt;"))</f>
      </c>
      <c r="AH124">
        <f>IF($B124="",0,COUNTIFS('UX + Dev'!$AB$1:$DN$1,"&gt;="&amp;AH$1,'UX + Dev'!$AB$1:$DN$1,"&lt;="&amp;EOMONTH(AH$1,0),'UX + Dev'!$AB124:$DN124,"&lt;&gt;"))</f>
      </c>
      <c r="AI124">
        <f>IF($B124="",0,COUNTIFS('UX + Dev'!$AB$1:$DN$1,"&gt;="&amp;AI$1,'UX + Dev'!$AB$1:$DN$1,"&lt;="&amp;EOMONTH(AI$1,0),'UX + Dev'!$AB124:$DN124,"&lt;&gt;"))</f>
      </c>
      <c r="AJ124">
        <f>IF($B124="",0,COUNTIFS('UX + Dev'!$AB$1:$DN$1,"&gt;="&amp;AJ$1,'UX + Dev'!$AB$1:$DN$1,"&lt;="&amp;EOMONTH(AJ$1,0),'UX + Dev'!$AB124:$DN124,"&lt;&gt;"))</f>
      </c>
      <c r="AK124">
        <f>IF($B124="",0,COUNTIFS('UX + Dev'!$AB$1:$DN$1,"&gt;="&amp;AK$1,'UX + Dev'!$AB$1:$DN$1,"&lt;="&amp;EOMONTH(AK$1,0),'UX + Dev'!$AB124:$DN124,"&lt;&gt;"))</f>
      </c>
      <c r="AL124">
        <f>IF($B124="",0,COUNTIFS('UX + Dev'!$AB$1:$DN$1,"&gt;="&amp;AL$1,'UX + Dev'!$AB$1:$DN$1,"&lt;="&amp;EOMONTH(AL$1,0),'UX + Dev'!$AB124:$DN124,"&lt;&gt;"))</f>
      </c>
      <c r="AM124">
        <f>IF($B124="",0,COUNTIFS('UX + Dev'!$AB$1:$DN$1,"&gt;="&amp;AM$1,'UX + Dev'!$AB$1:$DN$1,"&lt;="&amp;EOMONTH(AM$1,0),'UX + Dev'!$AB124:$DN124,"&lt;&gt;"))</f>
      </c>
      <c r="AN124">
        <f>IF($B124="",0,COUNTIFS('UX + Dev'!$AB$1:$DN$1,"&gt;="&amp;AN$1,'UX + Dev'!$AB$1:$DN$1,"&lt;="&amp;EOMONTH(AN$1,0),'UX + Dev'!$AB124:$DN124,"&lt;&gt;"))</f>
      </c>
      <c r="AO124">
        <f>IF($B124="",0,COUNTIFS('UX + Dev'!$AB$1:$DN$1,"&gt;="&amp;AO$1,'UX + Dev'!$AB$1:$DN$1,"&lt;="&amp;EOMONTH(AO$1,0),'UX + Dev'!$AB124:$DN124,"&lt;&gt;"))</f>
      </c>
      <c r="AP124">
        <f>IF($B124="",0,COUNTIFS('UX + Dev'!$AB$1:$DN$1,"&gt;="&amp;AP$1,'UX + Dev'!$AB$1:$DN$1,"&lt;="&amp;EOMONTH(AP$1,0),'UX + Dev'!$AB124:$DN124,"&lt;&gt;"))</f>
      </c>
      <c r="AQ124">
        <f>IF($B124="",0,COUNTIFS('UX + Dev'!$AB$1:$DN$1,"&gt;="&amp;AQ$1,'UX + Dev'!$AB$1:$DN$1,"&lt;="&amp;EOMONTH(AQ$1,0),'UX + Dev'!$AB124:$DN124,"&lt;&gt;"))</f>
      </c>
      <c r="AR124">
        <f>IF($B124="",0,COUNTIFS('UX + Dev'!$AB$1:$DN$1,"&gt;="&amp;AR$1,'UX + Dev'!$AB$1:$DN$1,"&lt;="&amp;EOMONTH(AR$1,0),'UX + Dev'!$AB124:$DN124,"&lt;&gt;"))</f>
      </c>
      <c r="AS124">
        <f>IF($B124="",0,COUNTIFS('UX + Dev'!$AB$1:$DN$1,"&gt;="&amp;AS$1,'UX + Dev'!$AB$1:$DN$1,"&lt;="&amp;EOMONTH(AS$1,0),'UX + Dev'!$AB124:$DN124,"&lt;&gt;"))</f>
      </c>
      <c r="AT124">
        <f>IF($B124="",0,COUNTIFS('UX + Dev'!$AB$1:$DN$1,"&gt;="&amp;AT$1,'UX + Dev'!$AB$1:$DN$1,"&lt;="&amp;EOMONTH(AT$1,0),'UX + Dev'!$AB124:$DN124,"&lt;&gt;"))</f>
      </c>
      <c r="AU124">
        <f>IF($B124="",0,COUNTIFS('UX + Dev'!$AB$1:$DN$1,"&gt;="&amp;AU$1,'UX + Dev'!$AB$1:$DN$1,"&lt;="&amp;EOMONTH(AU$1,0),'UX + Dev'!$AB124:$DN124,"&lt;&gt;"))</f>
      </c>
      <c r="AV124">
        <f>IF($B124="",0,COUNTIFS('UX + Dev'!$AB$1:$DN$1,"&gt;="&amp;AV$1,'UX + Dev'!$AB$1:$DN$1,"&lt;="&amp;EOMONTH(AV$1,0),'UX + Dev'!$AB124:$DN124,"&lt;&gt;"))</f>
      </c>
      <c r="AW124">
        <f>IF($B124="",0,COUNTIFS('UX + Dev'!$AB$1:$DN$1,"&gt;="&amp;AW$1,'UX + Dev'!$AB$1:$DN$1,"&lt;="&amp;EOMONTH(AW$1,0),'UX + Dev'!$AB124:$DN124,"&lt;&gt;"))</f>
      </c>
      <c r="AX124">
        <f>IF($B124="",0,COUNTIFS('UX + Dev'!$AB$1:$DN$1,"&gt;="&amp;AX$1,'UX + Dev'!$AB$1:$DN$1,"&lt;="&amp;EOMONTH(AX$1,0),'UX + Dev'!$AB124:$DN124,"&lt;&gt;"))</f>
      </c>
      <c r="BB124" s="308">
        <f>IF($B124="","",IF(COUNTA('UX + Dev'!U124)&gt;0,DATE(YEAR('UX + Dev'!U124),MONTH('UX + Dev'!U124),1),IF(COUNTA('UX + Dev'!V124)&gt;0,DATE(YEAR('UX + Dev'!V124),MONTH('UX + Dev'!V124),1),"")))</f>
      </c>
      <c r="BC124" s="308">
        <f>IF($B124="","",IF(COUNTA('UX + Dev'!V124)&gt;0,EOMONTH('UX + Dev'!V124,0),IF(COUNTA('UX + Dev'!U124)&gt;0,EOMONTH('UX + Dev'!U124,0),"")))</f>
      </c>
    </row>
    <row r="125">
      <c r="A125" s="305" t="n">
        <v>125</v>
      </c>
      <c r="B125" s="305">
        <f>IF(TRIM('UX + Dev'!E125)="","",TRIM('UX + Dev'!E125))</f>
      </c>
      <c r="C125" s="305">
        <f>IF($B125="","",'UX + Dev'!B125)</f>
      </c>
      <c r="D125" s="305">
        <f>IF($B125="","",IF(TRIM('UX + Dev'!C125)="","(No theme assigned)",TRIM('UX + Dev'!C125)))</f>
      </c>
      <c r="E125" s="305">
        <f>IF($B125="","",TRIM('UX + Dev'!F125))</f>
      </c>
      <c r="F125" s="305">
        <f>IF($B125="","",'UX + Dev'!G125)</f>
      </c>
      <c r="G125" s="306">
        <f t="array" ref="G125">IF($B125="","",IF($T125=0,"",IFERROR(MIN(IF('UX + Dev'!$AB125:$DN125&lt;&gt;"",'UX + Dev'!$AB$1:$DN$1)),"")))</f>
      </c>
      <c r="H125" s="306">
        <f t="array" ref="H125">IF($B125="","",IF($T125=0,"",IFERROR(MAX(IF('UX + Dev'!$AB125:$DN125&lt;&gt;"",'UX + Dev'!$AB$1:$DN$1)),"")))</f>
      </c>
      <c r="I125" s="307">
        <f>IF($R125&lt;&gt;"",$R125,IF($S125&lt;&gt;"",$S125,""))</f>
      </c>
      <c r="J125" s="307">
        <f>IF($S125&lt;&gt;"",EOMONTH($S125,0),IF($R125&lt;&gt;"",EOMONTH($R125,0),""))</f>
      </c>
      <c r="K125" s="305">
        <f>IF($B125="","",IF(COUNTA('UX + Dev'!AA125)=0,"",TRIM('UX + Dev'!AA125)))</f>
      </c>
      <c r="L125" s="305">
        <f>IF($B125="","",IFERROR(MATCH($D125,Control!$E$4:$E$30,0),99))</f>
      </c>
      <c r="M125" s="305">
        <f>IF($B125="","",IFERROR(MATCH($F125,Control!$B$4:$B$30,0),99))</f>
      </c>
      <c r="N125" s="305">
        <f>IF($V125&lt;&gt;1,"",IF('Roadmap (Auto)'!$D$3="Status, then Theme",$M125*1000000+$L125*10000+ROW(),IF('Roadmap (Auto)'!$D$3="Dev start (earliest)",IF($I125="",99999999,$I125)*10000+ROW(),IF('Roadmap (Auto)'!$D$3="UX start (earliest)",IF($G125="",99999999,$G125)*10000+ROW(),IF('Roadmap (Auto)'!$D$3="Deliverable A-Z",$W125*10000+ROW(),$L125*1000000+$M125*10000+ROW())))))</f>
      </c>
      <c r="O125" s="305">
        <f>IF($N125="","",COUNTIF($N$2:$N$151,"&lt;"&amp;$N125)+1)</f>
      </c>
      <c r="P125" s="305">
        <f>IF($B125="","",IF(COUNTA('UX + Dev'!X125)=0,"",'UX + Dev'!X125))</f>
      </c>
      <c r="Q125" s="305">
        <f>IF($B125="","",IF(COUNTA('UX + Dev'!Y125)=0,"",'UX + Dev'!Y125))</f>
      </c>
      <c r="R125" s="307">
        <f>IF($P125="","",IF(ISNUMBER($P125),DATE(YEAR($P125),MONTH($P125),1),IFERROR(DATE(IFERROR(VALUE(RIGHT(TRIM($P125),4)),YEAR(TODAY())),(SEARCH(LEFT(TRIM($P125),3),"JanFebMarAprMayJunJulAugSepOctNovDec")+2)/3,1),"")))</f>
      </c>
      <c r="S125" s="307">
        <f>IF($Q125="","",IF(ISNUMBER($Q125),DATE(YEAR($Q125),MONTH($Q125),1),IFERROR(DATE(IFERROR(VALUE(RIGHT(TRIM($Q125),4)),YEAR(TODAY())),(SEARCH(LEFT(TRIM($Q125),3),"JanFebMarAprMayJunJulAugSepOctNovDec")+2)/3,1),"")))</f>
      </c>
      <c r="T125" s="305">
        <f>IF($B125="","",COUNTA('UX + Dev'!$AB125:$DN125))</f>
      </c>
      <c r="U125" s="305">
        <f>IF($B125="","",IFERROR(MATCH($D125,Control!$E$4:$E$30,0)+3,0))</f>
      </c>
      <c r="V125" s="305">
        <f>IF($B125="","",IF(AND(OR('Roadmap (Auto)'!$A$3="",'Roadmap (Auto)'!$A$3="(All)",ISNUMBER(SEARCH('Roadmap (Auto)'!$A$3,$C125&amp;""))),OR('Roadmap (Auto)'!$B$3="",'Roadmap (Auto)'!$B$3="(All)",$D125='Roadmap (Auto)'!$B$3,$X125='Roadmap (Auto)'!$B$3),OR('Roadmap (Auto)'!$C$3="",'Roadmap (Auto)'!$C$3="(All)",$F125='Roadmap (Auto)'!$C$3)),1,0))</f>
      </c>
      <c r="W125" s="305">
        <f>IF($B125="","",COUNTIF($Y$2:$Y$151,"&lt;"&amp;$Y125)+1)</f>
      </c>
      <c r="X125" s="305">
        <f>IF($B125="","",IF(TRIM('UX + Dev'!D125)="","",TRIM('UX + Dev'!D125)))</f>
      </c>
      <c r="Y125" s="305">
        <f>IF($B125="","",SUBSTITUTE(SUBSTITUTE(SUBSTITUTE(SUBSTITUTE(SUBSTITUTE(SUBSTITUTE(SUBSTITUTE(SUBSTITUTE(SUBSTITUTE(SUBSTITUTE(SUBSTITUTE(SUBSTITUTE(SUBSTITUTE(SUBSTITUTE(SUBSTITUTE(SUBSTITUTE(SUBSTITUTE(SUBSTITUTE(SUBSTITUTE(SUBSTITUTE(SUBSTITUTE(SUBSTITUTE(SUBSTITUTE(SUBSTITUTE(SUBSTITUTE(UPPER($B125)," ",""),"-",""),":",""),"/",""),"&amp;",""),"|",""),"'",""),"’",""),"&lt;",""),"&gt;",""),",",""),"$",""),".",""),"(",""),")",""),"*",""),"?",""),"~",""),"_",""),"+",""),"#",""),";",""),"!",""),"%",""),"@",""))</f>
      </c>
      <c r="AA125">
        <f>IF($B125="",0,COUNTIFS('UX + Dev'!$AB$1:$DN$1,"&gt;="&amp;AA$1,'UX + Dev'!$AB$1:$DN$1,"&lt;="&amp;EOMONTH(AA$1,0),'UX + Dev'!$AB125:$DN125,"&lt;&gt;"))</f>
      </c>
      <c r="AB125">
        <f>IF($B125="",0,COUNTIFS('UX + Dev'!$AB$1:$DN$1,"&gt;="&amp;AB$1,'UX + Dev'!$AB$1:$DN$1,"&lt;="&amp;EOMONTH(AB$1,0),'UX + Dev'!$AB125:$DN125,"&lt;&gt;"))</f>
      </c>
      <c r="AC125">
        <f>IF($B125="",0,COUNTIFS('UX + Dev'!$AB$1:$DN$1,"&gt;="&amp;AC$1,'UX + Dev'!$AB$1:$DN$1,"&lt;="&amp;EOMONTH(AC$1,0),'UX + Dev'!$AB125:$DN125,"&lt;&gt;"))</f>
      </c>
      <c r="AD125">
        <f>IF($B125="",0,COUNTIFS('UX + Dev'!$AB$1:$DN$1,"&gt;="&amp;AD$1,'UX + Dev'!$AB$1:$DN$1,"&lt;="&amp;EOMONTH(AD$1,0),'UX + Dev'!$AB125:$DN125,"&lt;&gt;"))</f>
      </c>
      <c r="AE125">
        <f>IF($B125="",0,COUNTIFS('UX + Dev'!$AB$1:$DN$1,"&gt;="&amp;AE$1,'UX + Dev'!$AB$1:$DN$1,"&lt;="&amp;EOMONTH(AE$1,0),'UX + Dev'!$AB125:$DN125,"&lt;&gt;"))</f>
      </c>
      <c r="AF125">
        <f>IF($B125="",0,COUNTIFS('UX + Dev'!$AB$1:$DN$1,"&gt;="&amp;AF$1,'UX + Dev'!$AB$1:$DN$1,"&lt;="&amp;EOMONTH(AF$1,0),'UX + Dev'!$AB125:$DN125,"&lt;&gt;"))</f>
      </c>
      <c r="AG125">
        <f>IF($B125="",0,COUNTIFS('UX + Dev'!$AB$1:$DN$1,"&gt;="&amp;AG$1,'UX + Dev'!$AB$1:$DN$1,"&lt;="&amp;EOMONTH(AG$1,0),'UX + Dev'!$AB125:$DN125,"&lt;&gt;"))</f>
      </c>
      <c r="AH125">
        <f>IF($B125="",0,COUNTIFS('UX + Dev'!$AB$1:$DN$1,"&gt;="&amp;AH$1,'UX + Dev'!$AB$1:$DN$1,"&lt;="&amp;EOMONTH(AH$1,0),'UX + Dev'!$AB125:$DN125,"&lt;&gt;"))</f>
      </c>
      <c r="AI125">
        <f>IF($B125="",0,COUNTIFS('UX + Dev'!$AB$1:$DN$1,"&gt;="&amp;AI$1,'UX + Dev'!$AB$1:$DN$1,"&lt;="&amp;EOMONTH(AI$1,0),'UX + Dev'!$AB125:$DN125,"&lt;&gt;"))</f>
      </c>
      <c r="AJ125">
        <f>IF($B125="",0,COUNTIFS('UX + Dev'!$AB$1:$DN$1,"&gt;="&amp;AJ$1,'UX + Dev'!$AB$1:$DN$1,"&lt;="&amp;EOMONTH(AJ$1,0),'UX + Dev'!$AB125:$DN125,"&lt;&gt;"))</f>
      </c>
      <c r="AK125">
        <f>IF($B125="",0,COUNTIFS('UX + Dev'!$AB$1:$DN$1,"&gt;="&amp;AK$1,'UX + Dev'!$AB$1:$DN$1,"&lt;="&amp;EOMONTH(AK$1,0),'UX + Dev'!$AB125:$DN125,"&lt;&gt;"))</f>
      </c>
      <c r="AL125">
        <f>IF($B125="",0,COUNTIFS('UX + Dev'!$AB$1:$DN$1,"&gt;="&amp;AL$1,'UX + Dev'!$AB$1:$DN$1,"&lt;="&amp;EOMONTH(AL$1,0),'UX + Dev'!$AB125:$DN125,"&lt;&gt;"))</f>
      </c>
      <c r="AM125">
        <f>IF($B125="",0,COUNTIFS('UX + Dev'!$AB$1:$DN$1,"&gt;="&amp;AM$1,'UX + Dev'!$AB$1:$DN$1,"&lt;="&amp;EOMONTH(AM$1,0),'UX + Dev'!$AB125:$DN125,"&lt;&gt;"))</f>
      </c>
      <c r="AN125">
        <f>IF($B125="",0,COUNTIFS('UX + Dev'!$AB$1:$DN$1,"&gt;="&amp;AN$1,'UX + Dev'!$AB$1:$DN$1,"&lt;="&amp;EOMONTH(AN$1,0),'UX + Dev'!$AB125:$DN125,"&lt;&gt;"))</f>
      </c>
      <c r="AO125">
        <f>IF($B125="",0,COUNTIFS('UX + Dev'!$AB$1:$DN$1,"&gt;="&amp;AO$1,'UX + Dev'!$AB$1:$DN$1,"&lt;="&amp;EOMONTH(AO$1,0),'UX + Dev'!$AB125:$DN125,"&lt;&gt;"))</f>
      </c>
      <c r="AP125">
        <f>IF($B125="",0,COUNTIFS('UX + Dev'!$AB$1:$DN$1,"&gt;="&amp;AP$1,'UX + Dev'!$AB$1:$DN$1,"&lt;="&amp;EOMONTH(AP$1,0),'UX + Dev'!$AB125:$DN125,"&lt;&gt;"))</f>
      </c>
      <c r="AQ125">
        <f>IF($B125="",0,COUNTIFS('UX + Dev'!$AB$1:$DN$1,"&gt;="&amp;AQ$1,'UX + Dev'!$AB$1:$DN$1,"&lt;="&amp;EOMONTH(AQ$1,0),'UX + Dev'!$AB125:$DN125,"&lt;&gt;"))</f>
      </c>
      <c r="AR125">
        <f>IF($B125="",0,COUNTIFS('UX + Dev'!$AB$1:$DN$1,"&gt;="&amp;AR$1,'UX + Dev'!$AB$1:$DN$1,"&lt;="&amp;EOMONTH(AR$1,0),'UX + Dev'!$AB125:$DN125,"&lt;&gt;"))</f>
      </c>
      <c r="AS125">
        <f>IF($B125="",0,COUNTIFS('UX + Dev'!$AB$1:$DN$1,"&gt;="&amp;AS$1,'UX + Dev'!$AB$1:$DN$1,"&lt;="&amp;EOMONTH(AS$1,0),'UX + Dev'!$AB125:$DN125,"&lt;&gt;"))</f>
      </c>
      <c r="AT125">
        <f>IF($B125="",0,COUNTIFS('UX + Dev'!$AB$1:$DN$1,"&gt;="&amp;AT$1,'UX + Dev'!$AB$1:$DN$1,"&lt;="&amp;EOMONTH(AT$1,0),'UX + Dev'!$AB125:$DN125,"&lt;&gt;"))</f>
      </c>
      <c r="AU125">
        <f>IF($B125="",0,COUNTIFS('UX + Dev'!$AB$1:$DN$1,"&gt;="&amp;AU$1,'UX + Dev'!$AB$1:$DN$1,"&lt;="&amp;EOMONTH(AU$1,0),'UX + Dev'!$AB125:$DN125,"&lt;&gt;"))</f>
      </c>
      <c r="AV125">
        <f>IF($B125="",0,COUNTIFS('UX + Dev'!$AB$1:$DN$1,"&gt;="&amp;AV$1,'UX + Dev'!$AB$1:$DN$1,"&lt;="&amp;EOMONTH(AV$1,0),'UX + Dev'!$AB125:$DN125,"&lt;&gt;"))</f>
      </c>
      <c r="AW125">
        <f>IF($B125="",0,COUNTIFS('UX + Dev'!$AB$1:$DN$1,"&gt;="&amp;AW$1,'UX + Dev'!$AB$1:$DN$1,"&lt;="&amp;EOMONTH(AW$1,0),'UX + Dev'!$AB125:$DN125,"&lt;&gt;"))</f>
      </c>
      <c r="AX125">
        <f>IF($B125="",0,COUNTIFS('UX + Dev'!$AB$1:$DN$1,"&gt;="&amp;AX$1,'UX + Dev'!$AB$1:$DN$1,"&lt;="&amp;EOMONTH(AX$1,0),'UX + Dev'!$AB125:$DN125,"&lt;&gt;"))</f>
      </c>
      <c r="BB125" s="308">
        <f>IF($B125="","",IF(COUNTA('UX + Dev'!U125)&gt;0,DATE(YEAR('UX + Dev'!U125),MONTH('UX + Dev'!U125),1),IF(COUNTA('UX + Dev'!V125)&gt;0,DATE(YEAR('UX + Dev'!V125),MONTH('UX + Dev'!V125),1),"")))</f>
      </c>
      <c r="BC125" s="308">
        <f>IF($B125="","",IF(COUNTA('UX + Dev'!V125)&gt;0,EOMONTH('UX + Dev'!V125,0),IF(COUNTA('UX + Dev'!U125)&gt;0,EOMONTH('UX + Dev'!U125,0),"")))</f>
      </c>
    </row>
    <row r="126">
      <c r="A126" s="305" t="n">
        <v>126</v>
      </c>
      <c r="B126" s="305">
        <f>IF(TRIM('UX + Dev'!E126)="","",TRIM('UX + Dev'!E126))</f>
      </c>
      <c r="C126" s="305">
        <f>IF($B126="","",'UX + Dev'!B126)</f>
      </c>
      <c r="D126" s="305">
        <f>IF($B126="","",IF(TRIM('UX + Dev'!C126)="","(No theme assigned)",TRIM('UX + Dev'!C126)))</f>
      </c>
      <c r="E126" s="305">
        <f>IF($B126="","",TRIM('UX + Dev'!F126))</f>
      </c>
      <c r="F126" s="305">
        <f>IF($B126="","",'UX + Dev'!G126)</f>
      </c>
      <c r="G126" s="306">
        <f t="array" ref="G126">IF($B126="","",IF($T126=0,"",IFERROR(MIN(IF('UX + Dev'!$AB126:$DN126&lt;&gt;"",'UX + Dev'!$AB$1:$DN$1)),"")))</f>
      </c>
      <c r="H126" s="306">
        <f t="array" ref="H126">IF($B126="","",IF($T126=0,"",IFERROR(MAX(IF('UX + Dev'!$AB126:$DN126&lt;&gt;"",'UX + Dev'!$AB$1:$DN$1)),"")))</f>
      </c>
      <c r="I126" s="307">
        <f>IF($R126&lt;&gt;"",$R126,IF($S126&lt;&gt;"",$S126,""))</f>
      </c>
      <c r="J126" s="307">
        <f>IF($S126&lt;&gt;"",EOMONTH($S126,0),IF($R126&lt;&gt;"",EOMONTH($R126,0),""))</f>
      </c>
      <c r="K126" s="305">
        <f>IF($B126="","",IF(COUNTA('UX + Dev'!AA126)=0,"",TRIM('UX + Dev'!AA126)))</f>
      </c>
      <c r="L126" s="305">
        <f>IF($B126="","",IFERROR(MATCH($D126,Control!$E$4:$E$30,0),99))</f>
      </c>
      <c r="M126" s="305">
        <f>IF($B126="","",IFERROR(MATCH($F126,Control!$B$4:$B$30,0),99))</f>
      </c>
      <c r="N126" s="305">
        <f>IF($V126&lt;&gt;1,"",IF('Roadmap (Auto)'!$D$3="Status, then Theme",$M126*1000000+$L126*10000+ROW(),IF('Roadmap (Auto)'!$D$3="Dev start (earliest)",IF($I126="",99999999,$I126)*10000+ROW(),IF('Roadmap (Auto)'!$D$3="UX start (earliest)",IF($G126="",99999999,$G126)*10000+ROW(),IF('Roadmap (Auto)'!$D$3="Deliverable A-Z",$W126*10000+ROW(),$L126*1000000+$M126*10000+ROW())))))</f>
      </c>
      <c r="O126" s="305">
        <f>IF($N126="","",COUNTIF($N$2:$N$151,"&lt;"&amp;$N126)+1)</f>
      </c>
      <c r="P126" s="305">
        <f>IF($B126="","",IF(COUNTA('UX + Dev'!X126)=0,"",'UX + Dev'!X126))</f>
      </c>
      <c r="Q126" s="305">
        <f>IF($B126="","",IF(COUNTA('UX + Dev'!Y126)=0,"",'UX + Dev'!Y126))</f>
      </c>
      <c r="R126" s="307">
        <f>IF($P126="","",IF(ISNUMBER($P126),DATE(YEAR($P126),MONTH($P126),1),IFERROR(DATE(IFERROR(VALUE(RIGHT(TRIM($P126),4)),YEAR(TODAY())),(SEARCH(LEFT(TRIM($P126),3),"JanFebMarAprMayJunJulAugSepOctNovDec")+2)/3,1),"")))</f>
      </c>
      <c r="S126" s="307">
        <f>IF($Q126="","",IF(ISNUMBER($Q126),DATE(YEAR($Q126),MONTH($Q126),1),IFERROR(DATE(IFERROR(VALUE(RIGHT(TRIM($Q126),4)),YEAR(TODAY())),(SEARCH(LEFT(TRIM($Q126),3),"JanFebMarAprMayJunJulAugSepOctNovDec")+2)/3,1),"")))</f>
      </c>
      <c r="T126" s="305">
        <f>IF($B126="","",COUNTA('UX + Dev'!$AB126:$DN126))</f>
      </c>
      <c r="U126" s="305">
        <f>IF($B126="","",IFERROR(MATCH($D126,Control!$E$4:$E$30,0)+3,0))</f>
      </c>
      <c r="V126" s="305">
        <f>IF($B126="","",IF(AND(OR('Roadmap (Auto)'!$A$3="",'Roadmap (Auto)'!$A$3="(All)",ISNUMBER(SEARCH('Roadmap (Auto)'!$A$3,$C126&amp;""))),OR('Roadmap (Auto)'!$B$3="",'Roadmap (Auto)'!$B$3="(All)",$D126='Roadmap (Auto)'!$B$3,$X126='Roadmap (Auto)'!$B$3),OR('Roadmap (Auto)'!$C$3="",'Roadmap (Auto)'!$C$3="(All)",$F126='Roadmap (Auto)'!$C$3)),1,0))</f>
      </c>
      <c r="W126" s="305">
        <f>IF($B126="","",COUNTIF($Y$2:$Y$151,"&lt;"&amp;$Y126)+1)</f>
      </c>
      <c r="X126" s="305">
        <f>IF($B126="","",IF(TRIM('UX + Dev'!D126)="","",TRIM('UX + Dev'!D126)))</f>
      </c>
      <c r="Y126" s="305">
        <f>IF($B126="","",SUBSTITUTE(SUBSTITUTE(SUBSTITUTE(SUBSTITUTE(SUBSTITUTE(SUBSTITUTE(SUBSTITUTE(SUBSTITUTE(SUBSTITUTE(SUBSTITUTE(SUBSTITUTE(SUBSTITUTE(SUBSTITUTE(SUBSTITUTE(SUBSTITUTE(SUBSTITUTE(SUBSTITUTE(SUBSTITUTE(SUBSTITUTE(SUBSTITUTE(SUBSTITUTE(SUBSTITUTE(SUBSTITUTE(SUBSTITUTE(SUBSTITUTE(UPPER($B126)," ",""),"-",""),":",""),"/",""),"&amp;",""),"|",""),"'",""),"’",""),"&lt;",""),"&gt;",""),",",""),"$",""),".",""),"(",""),")",""),"*",""),"?",""),"~",""),"_",""),"+",""),"#",""),";",""),"!",""),"%",""),"@",""))</f>
      </c>
      <c r="AA126">
        <f>IF($B126="",0,COUNTIFS('UX + Dev'!$AB$1:$DN$1,"&gt;="&amp;AA$1,'UX + Dev'!$AB$1:$DN$1,"&lt;="&amp;EOMONTH(AA$1,0),'UX + Dev'!$AB126:$DN126,"&lt;&gt;"))</f>
      </c>
      <c r="AB126">
        <f>IF($B126="",0,COUNTIFS('UX + Dev'!$AB$1:$DN$1,"&gt;="&amp;AB$1,'UX + Dev'!$AB$1:$DN$1,"&lt;="&amp;EOMONTH(AB$1,0),'UX + Dev'!$AB126:$DN126,"&lt;&gt;"))</f>
      </c>
      <c r="AC126">
        <f>IF($B126="",0,COUNTIFS('UX + Dev'!$AB$1:$DN$1,"&gt;="&amp;AC$1,'UX + Dev'!$AB$1:$DN$1,"&lt;="&amp;EOMONTH(AC$1,0),'UX + Dev'!$AB126:$DN126,"&lt;&gt;"))</f>
      </c>
      <c r="AD126">
        <f>IF($B126="",0,COUNTIFS('UX + Dev'!$AB$1:$DN$1,"&gt;="&amp;AD$1,'UX + Dev'!$AB$1:$DN$1,"&lt;="&amp;EOMONTH(AD$1,0),'UX + Dev'!$AB126:$DN126,"&lt;&gt;"))</f>
      </c>
      <c r="AE126">
        <f>IF($B126="",0,COUNTIFS('UX + Dev'!$AB$1:$DN$1,"&gt;="&amp;AE$1,'UX + Dev'!$AB$1:$DN$1,"&lt;="&amp;EOMONTH(AE$1,0),'UX + Dev'!$AB126:$DN126,"&lt;&gt;"))</f>
      </c>
      <c r="AF126">
        <f>IF($B126="",0,COUNTIFS('UX + Dev'!$AB$1:$DN$1,"&gt;="&amp;AF$1,'UX + Dev'!$AB$1:$DN$1,"&lt;="&amp;EOMONTH(AF$1,0),'UX + Dev'!$AB126:$DN126,"&lt;&gt;"))</f>
      </c>
      <c r="AG126">
        <f>IF($B126="",0,COUNTIFS('UX + Dev'!$AB$1:$DN$1,"&gt;="&amp;AG$1,'UX + Dev'!$AB$1:$DN$1,"&lt;="&amp;EOMONTH(AG$1,0),'UX + Dev'!$AB126:$DN126,"&lt;&gt;"))</f>
      </c>
      <c r="AH126">
        <f>IF($B126="",0,COUNTIFS('UX + Dev'!$AB$1:$DN$1,"&gt;="&amp;AH$1,'UX + Dev'!$AB$1:$DN$1,"&lt;="&amp;EOMONTH(AH$1,0),'UX + Dev'!$AB126:$DN126,"&lt;&gt;"))</f>
      </c>
      <c r="AI126">
        <f>IF($B126="",0,COUNTIFS('UX + Dev'!$AB$1:$DN$1,"&gt;="&amp;AI$1,'UX + Dev'!$AB$1:$DN$1,"&lt;="&amp;EOMONTH(AI$1,0),'UX + Dev'!$AB126:$DN126,"&lt;&gt;"))</f>
      </c>
      <c r="AJ126">
        <f>IF($B126="",0,COUNTIFS('UX + Dev'!$AB$1:$DN$1,"&gt;="&amp;AJ$1,'UX + Dev'!$AB$1:$DN$1,"&lt;="&amp;EOMONTH(AJ$1,0),'UX + Dev'!$AB126:$DN126,"&lt;&gt;"))</f>
      </c>
      <c r="AK126">
        <f>IF($B126="",0,COUNTIFS('UX + Dev'!$AB$1:$DN$1,"&gt;="&amp;AK$1,'UX + Dev'!$AB$1:$DN$1,"&lt;="&amp;EOMONTH(AK$1,0),'UX + Dev'!$AB126:$DN126,"&lt;&gt;"))</f>
      </c>
      <c r="AL126">
        <f>IF($B126="",0,COUNTIFS('UX + Dev'!$AB$1:$DN$1,"&gt;="&amp;AL$1,'UX + Dev'!$AB$1:$DN$1,"&lt;="&amp;EOMONTH(AL$1,0),'UX + Dev'!$AB126:$DN126,"&lt;&gt;"))</f>
      </c>
      <c r="AM126">
        <f>IF($B126="",0,COUNTIFS('UX + Dev'!$AB$1:$DN$1,"&gt;="&amp;AM$1,'UX + Dev'!$AB$1:$DN$1,"&lt;="&amp;EOMONTH(AM$1,0),'UX + Dev'!$AB126:$DN126,"&lt;&gt;"))</f>
      </c>
      <c r="AN126">
        <f>IF($B126="",0,COUNTIFS('UX + Dev'!$AB$1:$DN$1,"&gt;="&amp;AN$1,'UX + Dev'!$AB$1:$DN$1,"&lt;="&amp;EOMONTH(AN$1,0),'UX + Dev'!$AB126:$DN126,"&lt;&gt;"))</f>
      </c>
      <c r="AO126">
        <f>IF($B126="",0,COUNTIFS('UX + Dev'!$AB$1:$DN$1,"&gt;="&amp;AO$1,'UX + Dev'!$AB$1:$DN$1,"&lt;="&amp;EOMONTH(AO$1,0),'UX + Dev'!$AB126:$DN126,"&lt;&gt;"))</f>
      </c>
      <c r="AP126">
        <f>IF($B126="",0,COUNTIFS('UX + Dev'!$AB$1:$DN$1,"&gt;="&amp;AP$1,'UX + Dev'!$AB$1:$DN$1,"&lt;="&amp;EOMONTH(AP$1,0),'UX + Dev'!$AB126:$DN126,"&lt;&gt;"))</f>
      </c>
      <c r="AQ126">
        <f>IF($B126="",0,COUNTIFS('UX + Dev'!$AB$1:$DN$1,"&gt;="&amp;AQ$1,'UX + Dev'!$AB$1:$DN$1,"&lt;="&amp;EOMONTH(AQ$1,0),'UX + Dev'!$AB126:$DN126,"&lt;&gt;"))</f>
      </c>
      <c r="AR126">
        <f>IF($B126="",0,COUNTIFS('UX + Dev'!$AB$1:$DN$1,"&gt;="&amp;AR$1,'UX + Dev'!$AB$1:$DN$1,"&lt;="&amp;EOMONTH(AR$1,0),'UX + Dev'!$AB126:$DN126,"&lt;&gt;"))</f>
      </c>
      <c r="AS126">
        <f>IF($B126="",0,COUNTIFS('UX + Dev'!$AB$1:$DN$1,"&gt;="&amp;AS$1,'UX + Dev'!$AB$1:$DN$1,"&lt;="&amp;EOMONTH(AS$1,0),'UX + Dev'!$AB126:$DN126,"&lt;&gt;"))</f>
      </c>
      <c r="AT126">
        <f>IF($B126="",0,COUNTIFS('UX + Dev'!$AB$1:$DN$1,"&gt;="&amp;AT$1,'UX + Dev'!$AB$1:$DN$1,"&lt;="&amp;EOMONTH(AT$1,0),'UX + Dev'!$AB126:$DN126,"&lt;&gt;"))</f>
      </c>
      <c r="AU126">
        <f>IF($B126="",0,COUNTIFS('UX + Dev'!$AB$1:$DN$1,"&gt;="&amp;AU$1,'UX + Dev'!$AB$1:$DN$1,"&lt;="&amp;EOMONTH(AU$1,0),'UX + Dev'!$AB126:$DN126,"&lt;&gt;"))</f>
      </c>
      <c r="AV126">
        <f>IF($B126="",0,COUNTIFS('UX + Dev'!$AB$1:$DN$1,"&gt;="&amp;AV$1,'UX + Dev'!$AB$1:$DN$1,"&lt;="&amp;EOMONTH(AV$1,0),'UX + Dev'!$AB126:$DN126,"&lt;&gt;"))</f>
      </c>
      <c r="AW126">
        <f>IF($B126="",0,COUNTIFS('UX + Dev'!$AB$1:$DN$1,"&gt;="&amp;AW$1,'UX + Dev'!$AB$1:$DN$1,"&lt;="&amp;EOMONTH(AW$1,0),'UX + Dev'!$AB126:$DN126,"&lt;&gt;"))</f>
      </c>
      <c r="AX126">
        <f>IF($B126="",0,COUNTIFS('UX + Dev'!$AB$1:$DN$1,"&gt;="&amp;AX$1,'UX + Dev'!$AB$1:$DN$1,"&lt;="&amp;EOMONTH(AX$1,0),'UX + Dev'!$AB126:$DN126,"&lt;&gt;"))</f>
      </c>
      <c r="BB126" s="308">
        <f>IF($B126="","",IF(COUNTA('UX + Dev'!U126)&gt;0,DATE(YEAR('UX + Dev'!U126),MONTH('UX + Dev'!U126),1),IF(COUNTA('UX + Dev'!V126)&gt;0,DATE(YEAR('UX + Dev'!V126),MONTH('UX + Dev'!V126),1),"")))</f>
      </c>
      <c r="BC126" s="308">
        <f>IF($B126="","",IF(COUNTA('UX + Dev'!V126)&gt;0,EOMONTH('UX + Dev'!V126,0),IF(COUNTA('UX + Dev'!U126)&gt;0,EOMONTH('UX + Dev'!U126,0),"")))</f>
      </c>
    </row>
    <row r="127">
      <c r="A127" s="305" t="n">
        <v>127</v>
      </c>
      <c r="B127" s="305">
        <f>IF(TRIM('UX + Dev'!E127)="","",TRIM('UX + Dev'!E127))</f>
      </c>
      <c r="C127" s="305">
        <f>IF($B127="","",'UX + Dev'!B127)</f>
      </c>
      <c r="D127" s="305">
        <f>IF($B127="","",IF(TRIM('UX + Dev'!C127)="","(No theme assigned)",TRIM('UX + Dev'!C127)))</f>
      </c>
      <c r="E127" s="305">
        <f>IF($B127="","",TRIM('UX + Dev'!F127))</f>
      </c>
      <c r="F127" s="305">
        <f>IF($B127="","",'UX + Dev'!G127)</f>
      </c>
      <c r="G127" s="306">
        <f t="array" ref="G127">IF($B127="","",IF($T127=0,"",IFERROR(MIN(IF('UX + Dev'!$AB127:$DN127&lt;&gt;"",'UX + Dev'!$AB$1:$DN$1)),"")))</f>
      </c>
      <c r="H127" s="306">
        <f t="array" ref="H127">IF($B127="","",IF($T127=0,"",IFERROR(MAX(IF('UX + Dev'!$AB127:$DN127&lt;&gt;"",'UX + Dev'!$AB$1:$DN$1)),"")))</f>
      </c>
      <c r="I127" s="307">
        <f>IF($R127&lt;&gt;"",$R127,IF($S127&lt;&gt;"",$S127,""))</f>
      </c>
      <c r="J127" s="307">
        <f>IF($S127&lt;&gt;"",EOMONTH($S127,0),IF($R127&lt;&gt;"",EOMONTH($R127,0),""))</f>
      </c>
      <c r="K127" s="305">
        <f>IF($B127="","",IF(COUNTA('UX + Dev'!AA127)=0,"",TRIM('UX + Dev'!AA127)))</f>
      </c>
      <c r="L127" s="305">
        <f>IF($B127="","",IFERROR(MATCH($D127,Control!$E$4:$E$30,0),99))</f>
      </c>
      <c r="M127" s="305">
        <f>IF($B127="","",IFERROR(MATCH($F127,Control!$B$4:$B$30,0),99))</f>
      </c>
      <c r="N127" s="305">
        <f>IF($V127&lt;&gt;1,"",IF('Roadmap (Auto)'!$D$3="Status, then Theme",$M127*1000000+$L127*10000+ROW(),IF('Roadmap (Auto)'!$D$3="Dev start (earliest)",IF($I127="",99999999,$I127)*10000+ROW(),IF('Roadmap (Auto)'!$D$3="UX start (earliest)",IF($G127="",99999999,$G127)*10000+ROW(),IF('Roadmap (Auto)'!$D$3="Deliverable A-Z",$W127*10000+ROW(),$L127*1000000+$M127*10000+ROW())))))</f>
      </c>
      <c r="O127" s="305">
        <f>IF($N127="","",COUNTIF($N$2:$N$151,"&lt;"&amp;$N127)+1)</f>
      </c>
      <c r="P127" s="305">
        <f>IF($B127="","",IF(COUNTA('UX + Dev'!X127)=0,"",'UX + Dev'!X127))</f>
      </c>
      <c r="Q127" s="305">
        <f>IF($B127="","",IF(COUNTA('UX + Dev'!Y127)=0,"",'UX + Dev'!Y127))</f>
      </c>
      <c r="R127" s="307">
        <f>IF($P127="","",IF(ISNUMBER($P127),DATE(YEAR($P127),MONTH($P127),1),IFERROR(DATE(IFERROR(VALUE(RIGHT(TRIM($P127),4)),YEAR(TODAY())),(SEARCH(LEFT(TRIM($P127),3),"JanFebMarAprMayJunJulAugSepOctNovDec")+2)/3,1),"")))</f>
      </c>
      <c r="S127" s="307">
        <f>IF($Q127="","",IF(ISNUMBER($Q127),DATE(YEAR($Q127),MONTH($Q127),1),IFERROR(DATE(IFERROR(VALUE(RIGHT(TRIM($Q127),4)),YEAR(TODAY())),(SEARCH(LEFT(TRIM($Q127),3),"JanFebMarAprMayJunJulAugSepOctNovDec")+2)/3,1),"")))</f>
      </c>
      <c r="T127" s="305">
        <f>IF($B127="","",COUNTA('UX + Dev'!$AB127:$DN127))</f>
      </c>
      <c r="U127" s="305">
        <f>IF($B127="","",IFERROR(MATCH($D127,Control!$E$4:$E$30,0)+3,0))</f>
      </c>
      <c r="V127" s="305">
        <f>IF($B127="","",IF(AND(OR('Roadmap (Auto)'!$A$3="",'Roadmap (Auto)'!$A$3="(All)",ISNUMBER(SEARCH('Roadmap (Auto)'!$A$3,$C127&amp;""))),OR('Roadmap (Auto)'!$B$3="",'Roadmap (Auto)'!$B$3="(All)",$D127='Roadmap (Auto)'!$B$3,$X127='Roadmap (Auto)'!$B$3),OR('Roadmap (Auto)'!$C$3="",'Roadmap (Auto)'!$C$3="(All)",$F127='Roadmap (Auto)'!$C$3)),1,0))</f>
      </c>
      <c r="W127" s="305">
        <f>IF($B127="","",COUNTIF($Y$2:$Y$151,"&lt;"&amp;$Y127)+1)</f>
      </c>
      <c r="X127" s="305">
        <f>IF($B127="","",IF(TRIM('UX + Dev'!D127)="","",TRIM('UX + Dev'!D127)))</f>
      </c>
      <c r="Y127" s="305">
        <f>IF($B127="","",SUBSTITUTE(SUBSTITUTE(SUBSTITUTE(SUBSTITUTE(SUBSTITUTE(SUBSTITUTE(SUBSTITUTE(SUBSTITUTE(SUBSTITUTE(SUBSTITUTE(SUBSTITUTE(SUBSTITUTE(SUBSTITUTE(SUBSTITUTE(SUBSTITUTE(SUBSTITUTE(SUBSTITUTE(SUBSTITUTE(SUBSTITUTE(SUBSTITUTE(SUBSTITUTE(SUBSTITUTE(SUBSTITUTE(SUBSTITUTE(SUBSTITUTE(UPPER($B127)," ",""),"-",""),":",""),"/",""),"&amp;",""),"|",""),"'",""),"’",""),"&lt;",""),"&gt;",""),",",""),"$",""),".",""),"(",""),")",""),"*",""),"?",""),"~",""),"_",""),"+",""),"#",""),";",""),"!",""),"%",""),"@",""))</f>
      </c>
      <c r="AA127">
        <f>IF($B127="",0,COUNTIFS('UX + Dev'!$AB$1:$DN$1,"&gt;="&amp;AA$1,'UX + Dev'!$AB$1:$DN$1,"&lt;="&amp;EOMONTH(AA$1,0),'UX + Dev'!$AB127:$DN127,"&lt;&gt;"))</f>
      </c>
      <c r="AB127">
        <f>IF($B127="",0,COUNTIFS('UX + Dev'!$AB$1:$DN$1,"&gt;="&amp;AB$1,'UX + Dev'!$AB$1:$DN$1,"&lt;="&amp;EOMONTH(AB$1,0),'UX + Dev'!$AB127:$DN127,"&lt;&gt;"))</f>
      </c>
      <c r="AC127">
        <f>IF($B127="",0,COUNTIFS('UX + Dev'!$AB$1:$DN$1,"&gt;="&amp;AC$1,'UX + Dev'!$AB$1:$DN$1,"&lt;="&amp;EOMONTH(AC$1,0),'UX + Dev'!$AB127:$DN127,"&lt;&gt;"))</f>
      </c>
      <c r="AD127">
        <f>IF($B127="",0,COUNTIFS('UX + Dev'!$AB$1:$DN$1,"&gt;="&amp;AD$1,'UX + Dev'!$AB$1:$DN$1,"&lt;="&amp;EOMONTH(AD$1,0),'UX + Dev'!$AB127:$DN127,"&lt;&gt;"))</f>
      </c>
      <c r="AE127">
        <f>IF($B127="",0,COUNTIFS('UX + Dev'!$AB$1:$DN$1,"&gt;="&amp;AE$1,'UX + Dev'!$AB$1:$DN$1,"&lt;="&amp;EOMONTH(AE$1,0),'UX + Dev'!$AB127:$DN127,"&lt;&gt;"))</f>
      </c>
      <c r="AF127">
        <f>IF($B127="",0,COUNTIFS('UX + Dev'!$AB$1:$DN$1,"&gt;="&amp;AF$1,'UX + Dev'!$AB$1:$DN$1,"&lt;="&amp;EOMONTH(AF$1,0),'UX + Dev'!$AB127:$DN127,"&lt;&gt;"))</f>
      </c>
      <c r="AG127">
        <f>IF($B127="",0,COUNTIFS('UX + Dev'!$AB$1:$DN$1,"&gt;="&amp;AG$1,'UX + Dev'!$AB$1:$DN$1,"&lt;="&amp;EOMONTH(AG$1,0),'UX + Dev'!$AB127:$DN127,"&lt;&gt;"))</f>
      </c>
      <c r="AH127">
        <f>IF($B127="",0,COUNTIFS('UX + Dev'!$AB$1:$DN$1,"&gt;="&amp;AH$1,'UX + Dev'!$AB$1:$DN$1,"&lt;="&amp;EOMONTH(AH$1,0),'UX + Dev'!$AB127:$DN127,"&lt;&gt;"))</f>
      </c>
      <c r="AI127">
        <f>IF($B127="",0,COUNTIFS('UX + Dev'!$AB$1:$DN$1,"&gt;="&amp;AI$1,'UX + Dev'!$AB$1:$DN$1,"&lt;="&amp;EOMONTH(AI$1,0),'UX + Dev'!$AB127:$DN127,"&lt;&gt;"))</f>
      </c>
      <c r="AJ127">
        <f>IF($B127="",0,COUNTIFS('UX + Dev'!$AB$1:$DN$1,"&gt;="&amp;AJ$1,'UX + Dev'!$AB$1:$DN$1,"&lt;="&amp;EOMONTH(AJ$1,0),'UX + Dev'!$AB127:$DN127,"&lt;&gt;"))</f>
      </c>
      <c r="AK127">
        <f>IF($B127="",0,COUNTIFS('UX + Dev'!$AB$1:$DN$1,"&gt;="&amp;AK$1,'UX + Dev'!$AB$1:$DN$1,"&lt;="&amp;EOMONTH(AK$1,0),'UX + Dev'!$AB127:$DN127,"&lt;&gt;"))</f>
      </c>
      <c r="AL127">
        <f>IF($B127="",0,COUNTIFS('UX + Dev'!$AB$1:$DN$1,"&gt;="&amp;AL$1,'UX + Dev'!$AB$1:$DN$1,"&lt;="&amp;EOMONTH(AL$1,0),'UX + Dev'!$AB127:$DN127,"&lt;&gt;"))</f>
      </c>
      <c r="AM127">
        <f>IF($B127="",0,COUNTIFS('UX + Dev'!$AB$1:$DN$1,"&gt;="&amp;AM$1,'UX + Dev'!$AB$1:$DN$1,"&lt;="&amp;EOMONTH(AM$1,0),'UX + Dev'!$AB127:$DN127,"&lt;&gt;"))</f>
      </c>
      <c r="AN127">
        <f>IF($B127="",0,COUNTIFS('UX + Dev'!$AB$1:$DN$1,"&gt;="&amp;AN$1,'UX + Dev'!$AB$1:$DN$1,"&lt;="&amp;EOMONTH(AN$1,0),'UX + Dev'!$AB127:$DN127,"&lt;&gt;"))</f>
      </c>
      <c r="AO127">
        <f>IF($B127="",0,COUNTIFS('UX + Dev'!$AB$1:$DN$1,"&gt;="&amp;AO$1,'UX + Dev'!$AB$1:$DN$1,"&lt;="&amp;EOMONTH(AO$1,0),'UX + Dev'!$AB127:$DN127,"&lt;&gt;"))</f>
      </c>
      <c r="AP127">
        <f>IF($B127="",0,COUNTIFS('UX + Dev'!$AB$1:$DN$1,"&gt;="&amp;AP$1,'UX + Dev'!$AB$1:$DN$1,"&lt;="&amp;EOMONTH(AP$1,0),'UX + Dev'!$AB127:$DN127,"&lt;&gt;"))</f>
      </c>
      <c r="AQ127">
        <f>IF($B127="",0,COUNTIFS('UX + Dev'!$AB$1:$DN$1,"&gt;="&amp;AQ$1,'UX + Dev'!$AB$1:$DN$1,"&lt;="&amp;EOMONTH(AQ$1,0),'UX + Dev'!$AB127:$DN127,"&lt;&gt;"))</f>
      </c>
      <c r="AR127">
        <f>IF($B127="",0,COUNTIFS('UX + Dev'!$AB$1:$DN$1,"&gt;="&amp;AR$1,'UX + Dev'!$AB$1:$DN$1,"&lt;="&amp;EOMONTH(AR$1,0),'UX + Dev'!$AB127:$DN127,"&lt;&gt;"))</f>
      </c>
      <c r="AS127">
        <f>IF($B127="",0,COUNTIFS('UX + Dev'!$AB$1:$DN$1,"&gt;="&amp;AS$1,'UX + Dev'!$AB$1:$DN$1,"&lt;="&amp;EOMONTH(AS$1,0),'UX + Dev'!$AB127:$DN127,"&lt;&gt;"))</f>
      </c>
      <c r="AT127">
        <f>IF($B127="",0,COUNTIFS('UX + Dev'!$AB$1:$DN$1,"&gt;="&amp;AT$1,'UX + Dev'!$AB$1:$DN$1,"&lt;="&amp;EOMONTH(AT$1,0),'UX + Dev'!$AB127:$DN127,"&lt;&gt;"))</f>
      </c>
      <c r="AU127">
        <f>IF($B127="",0,COUNTIFS('UX + Dev'!$AB$1:$DN$1,"&gt;="&amp;AU$1,'UX + Dev'!$AB$1:$DN$1,"&lt;="&amp;EOMONTH(AU$1,0),'UX + Dev'!$AB127:$DN127,"&lt;&gt;"))</f>
      </c>
      <c r="AV127">
        <f>IF($B127="",0,COUNTIFS('UX + Dev'!$AB$1:$DN$1,"&gt;="&amp;AV$1,'UX + Dev'!$AB$1:$DN$1,"&lt;="&amp;EOMONTH(AV$1,0),'UX + Dev'!$AB127:$DN127,"&lt;&gt;"))</f>
      </c>
      <c r="AW127">
        <f>IF($B127="",0,COUNTIFS('UX + Dev'!$AB$1:$DN$1,"&gt;="&amp;AW$1,'UX + Dev'!$AB$1:$DN$1,"&lt;="&amp;EOMONTH(AW$1,0),'UX + Dev'!$AB127:$DN127,"&lt;&gt;"))</f>
      </c>
      <c r="AX127">
        <f>IF($B127="",0,COUNTIFS('UX + Dev'!$AB$1:$DN$1,"&gt;="&amp;AX$1,'UX + Dev'!$AB$1:$DN$1,"&lt;="&amp;EOMONTH(AX$1,0),'UX + Dev'!$AB127:$DN127,"&lt;&gt;"))</f>
      </c>
      <c r="BB127" s="308">
        <f>IF($B127="","",IF(COUNTA('UX + Dev'!U127)&gt;0,DATE(YEAR('UX + Dev'!U127),MONTH('UX + Dev'!U127),1),IF(COUNTA('UX + Dev'!V127)&gt;0,DATE(YEAR('UX + Dev'!V127),MONTH('UX + Dev'!V127),1),"")))</f>
      </c>
      <c r="BC127" s="308">
        <f>IF($B127="","",IF(COUNTA('UX + Dev'!V127)&gt;0,EOMONTH('UX + Dev'!V127,0),IF(COUNTA('UX + Dev'!U127)&gt;0,EOMONTH('UX + Dev'!U127,0),"")))</f>
      </c>
    </row>
    <row r="128">
      <c r="A128" s="305" t="n">
        <v>128</v>
      </c>
      <c r="B128" s="305">
        <f>IF(TRIM('UX + Dev'!E128)="","",TRIM('UX + Dev'!E128))</f>
      </c>
      <c r="C128" s="305">
        <f>IF($B128="","",'UX + Dev'!B128)</f>
      </c>
      <c r="D128" s="305">
        <f>IF($B128="","",IF(TRIM('UX + Dev'!C128)="","(No theme assigned)",TRIM('UX + Dev'!C128)))</f>
      </c>
      <c r="E128" s="305">
        <f>IF($B128="","",TRIM('UX + Dev'!F128))</f>
      </c>
      <c r="F128" s="305">
        <f>IF($B128="","",'UX + Dev'!G128)</f>
      </c>
      <c r="G128" s="306">
        <f t="array" ref="G128">IF($B128="","",IF($T128=0,"",IFERROR(MIN(IF('UX + Dev'!$AB128:$DN128&lt;&gt;"",'UX + Dev'!$AB$1:$DN$1)),"")))</f>
      </c>
      <c r="H128" s="306">
        <f t="array" ref="H128">IF($B128="","",IF($T128=0,"",IFERROR(MAX(IF('UX + Dev'!$AB128:$DN128&lt;&gt;"",'UX + Dev'!$AB$1:$DN$1)),"")))</f>
      </c>
      <c r="I128" s="307">
        <f>IF($R128&lt;&gt;"",$R128,IF($S128&lt;&gt;"",$S128,""))</f>
      </c>
      <c r="J128" s="307">
        <f>IF($S128&lt;&gt;"",EOMONTH($S128,0),IF($R128&lt;&gt;"",EOMONTH($R128,0),""))</f>
      </c>
      <c r="K128" s="305">
        <f>IF($B128="","",IF(COUNTA('UX + Dev'!AA128)=0,"",TRIM('UX + Dev'!AA128)))</f>
      </c>
      <c r="L128" s="305">
        <f>IF($B128="","",IFERROR(MATCH($D128,Control!$E$4:$E$30,0),99))</f>
      </c>
      <c r="M128" s="305">
        <f>IF($B128="","",IFERROR(MATCH($F128,Control!$B$4:$B$30,0),99))</f>
      </c>
      <c r="N128" s="305">
        <f>IF($V128&lt;&gt;1,"",IF('Roadmap (Auto)'!$D$3="Status, then Theme",$M128*1000000+$L128*10000+ROW(),IF('Roadmap (Auto)'!$D$3="Dev start (earliest)",IF($I128="",99999999,$I128)*10000+ROW(),IF('Roadmap (Auto)'!$D$3="UX start (earliest)",IF($G128="",99999999,$G128)*10000+ROW(),IF('Roadmap (Auto)'!$D$3="Deliverable A-Z",$W128*10000+ROW(),$L128*1000000+$M128*10000+ROW())))))</f>
      </c>
      <c r="O128" s="305">
        <f>IF($N128="","",COUNTIF($N$2:$N$151,"&lt;"&amp;$N128)+1)</f>
      </c>
      <c r="P128" s="305">
        <f>IF($B128="","",IF(COUNTA('UX + Dev'!X128)=0,"",'UX + Dev'!X128))</f>
      </c>
      <c r="Q128" s="305">
        <f>IF($B128="","",IF(COUNTA('UX + Dev'!Y128)=0,"",'UX + Dev'!Y128))</f>
      </c>
      <c r="R128" s="307">
        <f>IF($P128="","",IF(ISNUMBER($P128),DATE(YEAR($P128),MONTH($P128),1),IFERROR(DATE(IFERROR(VALUE(RIGHT(TRIM($P128),4)),YEAR(TODAY())),(SEARCH(LEFT(TRIM($P128),3),"JanFebMarAprMayJunJulAugSepOctNovDec")+2)/3,1),"")))</f>
      </c>
      <c r="S128" s="307">
        <f>IF($Q128="","",IF(ISNUMBER($Q128),DATE(YEAR($Q128),MONTH($Q128),1),IFERROR(DATE(IFERROR(VALUE(RIGHT(TRIM($Q128),4)),YEAR(TODAY())),(SEARCH(LEFT(TRIM($Q128),3),"JanFebMarAprMayJunJulAugSepOctNovDec")+2)/3,1),"")))</f>
      </c>
      <c r="T128" s="305">
        <f>IF($B128="","",COUNTA('UX + Dev'!$AB128:$DN128))</f>
      </c>
      <c r="U128" s="305">
        <f>IF($B128="","",IFERROR(MATCH($D128,Control!$E$4:$E$30,0)+3,0))</f>
      </c>
      <c r="V128" s="305">
        <f>IF($B128="","",IF(AND(OR('Roadmap (Auto)'!$A$3="",'Roadmap (Auto)'!$A$3="(All)",ISNUMBER(SEARCH('Roadmap (Auto)'!$A$3,$C128&amp;""))),OR('Roadmap (Auto)'!$B$3="",'Roadmap (Auto)'!$B$3="(All)",$D128='Roadmap (Auto)'!$B$3,$X128='Roadmap (Auto)'!$B$3),OR('Roadmap (Auto)'!$C$3="",'Roadmap (Auto)'!$C$3="(All)",$F128='Roadmap (Auto)'!$C$3)),1,0))</f>
      </c>
      <c r="W128" s="305">
        <f>IF($B128="","",COUNTIF($Y$2:$Y$151,"&lt;"&amp;$Y128)+1)</f>
      </c>
      <c r="X128" s="305">
        <f>IF($B128="","",IF(TRIM('UX + Dev'!D128)="","",TRIM('UX + Dev'!D128)))</f>
      </c>
      <c r="Y128" s="305">
        <f>IF($B128="","",SUBSTITUTE(SUBSTITUTE(SUBSTITUTE(SUBSTITUTE(SUBSTITUTE(SUBSTITUTE(SUBSTITUTE(SUBSTITUTE(SUBSTITUTE(SUBSTITUTE(SUBSTITUTE(SUBSTITUTE(SUBSTITUTE(SUBSTITUTE(SUBSTITUTE(SUBSTITUTE(SUBSTITUTE(SUBSTITUTE(SUBSTITUTE(SUBSTITUTE(SUBSTITUTE(SUBSTITUTE(SUBSTITUTE(SUBSTITUTE(SUBSTITUTE(UPPER($B128)," ",""),"-",""),":",""),"/",""),"&amp;",""),"|",""),"'",""),"’",""),"&lt;",""),"&gt;",""),",",""),"$",""),".",""),"(",""),")",""),"*",""),"?",""),"~",""),"_",""),"+",""),"#",""),";",""),"!",""),"%",""),"@",""))</f>
      </c>
      <c r="AA128">
        <f>IF($B128="",0,COUNTIFS('UX + Dev'!$AB$1:$DN$1,"&gt;="&amp;AA$1,'UX + Dev'!$AB$1:$DN$1,"&lt;="&amp;EOMONTH(AA$1,0),'UX + Dev'!$AB128:$DN128,"&lt;&gt;"))</f>
      </c>
      <c r="AB128">
        <f>IF($B128="",0,COUNTIFS('UX + Dev'!$AB$1:$DN$1,"&gt;="&amp;AB$1,'UX + Dev'!$AB$1:$DN$1,"&lt;="&amp;EOMONTH(AB$1,0),'UX + Dev'!$AB128:$DN128,"&lt;&gt;"))</f>
      </c>
      <c r="AC128">
        <f>IF($B128="",0,COUNTIFS('UX + Dev'!$AB$1:$DN$1,"&gt;="&amp;AC$1,'UX + Dev'!$AB$1:$DN$1,"&lt;="&amp;EOMONTH(AC$1,0),'UX + Dev'!$AB128:$DN128,"&lt;&gt;"))</f>
      </c>
      <c r="AD128">
        <f>IF($B128="",0,COUNTIFS('UX + Dev'!$AB$1:$DN$1,"&gt;="&amp;AD$1,'UX + Dev'!$AB$1:$DN$1,"&lt;="&amp;EOMONTH(AD$1,0),'UX + Dev'!$AB128:$DN128,"&lt;&gt;"))</f>
      </c>
      <c r="AE128">
        <f>IF($B128="",0,COUNTIFS('UX + Dev'!$AB$1:$DN$1,"&gt;="&amp;AE$1,'UX + Dev'!$AB$1:$DN$1,"&lt;="&amp;EOMONTH(AE$1,0),'UX + Dev'!$AB128:$DN128,"&lt;&gt;"))</f>
      </c>
      <c r="AF128">
        <f>IF($B128="",0,COUNTIFS('UX + Dev'!$AB$1:$DN$1,"&gt;="&amp;AF$1,'UX + Dev'!$AB$1:$DN$1,"&lt;="&amp;EOMONTH(AF$1,0),'UX + Dev'!$AB128:$DN128,"&lt;&gt;"))</f>
      </c>
      <c r="AG128">
        <f>IF($B128="",0,COUNTIFS('UX + Dev'!$AB$1:$DN$1,"&gt;="&amp;AG$1,'UX + Dev'!$AB$1:$DN$1,"&lt;="&amp;EOMONTH(AG$1,0),'UX + Dev'!$AB128:$DN128,"&lt;&gt;"))</f>
      </c>
      <c r="AH128">
        <f>IF($B128="",0,COUNTIFS('UX + Dev'!$AB$1:$DN$1,"&gt;="&amp;AH$1,'UX + Dev'!$AB$1:$DN$1,"&lt;="&amp;EOMONTH(AH$1,0),'UX + Dev'!$AB128:$DN128,"&lt;&gt;"))</f>
      </c>
      <c r="AI128">
        <f>IF($B128="",0,COUNTIFS('UX + Dev'!$AB$1:$DN$1,"&gt;="&amp;AI$1,'UX + Dev'!$AB$1:$DN$1,"&lt;="&amp;EOMONTH(AI$1,0),'UX + Dev'!$AB128:$DN128,"&lt;&gt;"))</f>
      </c>
      <c r="AJ128">
        <f>IF($B128="",0,COUNTIFS('UX + Dev'!$AB$1:$DN$1,"&gt;="&amp;AJ$1,'UX + Dev'!$AB$1:$DN$1,"&lt;="&amp;EOMONTH(AJ$1,0),'UX + Dev'!$AB128:$DN128,"&lt;&gt;"))</f>
      </c>
      <c r="AK128">
        <f>IF($B128="",0,COUNTIFS('UX + Dev'!$AB$1:$DN$1,"&gt;="&amp;AK$1,'UX + Dev'!$AB$1:$DN$1,"&lt;="&amp;EOMONTH(AK$1,0),'UX + Dev'!$AB128:$DN128,"&lt;&gt;"))</f>
      </c>
      <c r="AL128">
        <f>IF($B128="",0,COUNTIFS('UX + Dev'!$AB$1:$DN$1,"&gt;="&amp;AL$1,'UX + Dev'!$AB$1:$DN$1,"&lt;="&amp;EOMONTH(AL$1,0),'UX + Dev'!$AB128:$DN128,"&lt;&gt;"))</f>
      </c>
      <c r="AM128">
        <f>IF($B128="",0,COUNTIFS('UX + Dev'!$AB$1:$DN$1,"&gt;="&amp;AM$1,'UX + Dev'!$AB$1:$DN$1,"&lt;="&amp;EOMONTH(AM$1,0),'UX + Dev'!$AB128:$DN128,"&lt;&gt;"))</f>
      </c>
      <c r="AN128">
        <f>IF($B128="",0,COUNTIFS('UX + Dev'!$AB$1:$DN$1,"&gt;="&amp;AN$1,'UX + Dev'!$AB$1:$DN$1,"&lt;="&amp;EOMONTH(AN$1,0),'UX + Dev'!$AB128:$DN128,"&lt;&gt;"))</f>
      </c>
      <c r="AO128">
        <f>IF($B128="",0,COUNTIFS('UX + Dev'!$AB$1:$DN$1,"&gt;="&amp;AO$1,'UX + Dev'!$AB$1:$DN$1,"&lt;="&amp;EOMONTH(AO$1,0),'UX + Dev'!$AB128:$DN128,"&lt;&gt;"))</f>
      </c>
      <c r="AP128">
        <f>IF($B128="",0,COUNTIFS('UX + Dev'!$AB$1:$DN$1,"&gt;="&amp;AP$1,'UX + Dev'!$AB$1:$DN$1,"&lt;="&amp;EOMONTH(AP$1,0),'UX + Dev'!$AB128:$DN128,"&lt;&gt;"))</f>
      </c>
      <c r="AQ128">
        <f>IF($B128="",0,COUNTIFS('UX + Dev'!$AB$1:$DN$1,"&gt;="&amp;AQ$1,'UX + Dev'!$AB$1:$DN$1,"&lt;="&amp;EOMONTH(AQ$1,0),'UX + Dev'!$AB128:$DN128,"&lt;&gt;"))</f>
      </c>
      <c r="AR128">
        <f>IF($B128="",0,COUNTIFS('UX + Dev'!$AB$1:$DN$1,"&gt;="&amp;AR$1,'UX + Dev'!$AB$1:$DN$1,"&lt;="&amp;EOMONTH(AR$1,0),'UX + Dev'!$AB128:$DN128,"&lt;&gt;"))</f>
      </c>
      <c r="AS128">
        <f>IF($B128="",0,COUNTIFS('UX + Dev'!$AB$1:$DN$1,"&gt;="&amp;AS$1,'UX + Dev'!$AB$1:$DN$1,"&lt;="&amp;EOMONTH(AS$1,0),'UX + Dev'!$AB128:$DN128,"&lt;&gt;"))</f>
      </c>
      <c r="AT128">
        <f>IF($B128="",0,COUNTIFS('UX + Dev'!$AB$1:$DN$1,"&gt;="&amp;AT$1,'UX + Dev'!$AB$1:$DN$1,"&lt;="&amp;EOMONTH(AT$1,0),'UX + Dev'!$AB128:$DN128,"&lt;&gt;"))</f>
      </c>
      <c r="AU128">
        <f>IF($B128="",0,COUNTIFS('UX + Dev'!$AB$1:$DN$1,"&gt;="&amp;AU$1,'UX + Dev'!$AB$1:$DN$1,"&lt;="&amp;EOMONTH(AU$1,0),'UX + Dev'!$AB128:$DN128,"&lt;&gt;"))</f>
      </c>
      <c r="AV128">
        <f>IF($B128="",0,COUNTIFS('UX + Dev'!$AB$1:$DN$1,"&gt;="&amp;AV$1,'UX + Dev'!$AB$1:$DN$1,"&lt;="&amp;EOMONTH(AV$1,0),'UX + Dev'!$AB128:$DN128,"&lt;&gt;"))</f>
      </c>
      <c r="AW128">
        <f>IF($B128="",0,COUNTIFS('UX + Dev'!$AB$1:$DN$1,"&gt;="&amp;AW$1,'UX + Dev'!$AB$1:$DN$1,"&lt;="&amp;EOMONTH(AW$1,0),'UX + Dev'!$AB128:$DN128,"&lt;&gt;"))</f>
      </c>
      <c r="AX128">
        <f>IF($B128="",0,COUNTIFS('UX + Dev'!$AB$1:$DN$1,"&gt;="&amp;AX$1,'UX + Dev'!$AB$1:$DN$1,"&lt;="&amp;EOMONTH(AX$1,0),'UX + Dev'!$AB128:$DN128,"&lt;&gt;"))</f>
      </c>
      <c r="BB128" s="308">
        <f>IF($B128="","",IF(COUNTA('UX + Dev'!U128)&gt;0,DATE(YEAR('UX + Dev'!U128),MONTH('UX + Dev'!U128),1),IF(COUNTA('UX + Dev'!V128)&gt;0,DATE(YEAR('UX + Dev'!V128),MONTH('UX + Dev'!V128),1),"")))</f>
      </c>
      <c r="BC128" s="308">
        <f>IF($B128="","",IF(COUNTA('UX + Dev'!V128)&gt;0,EOMONTH('UX + Dev'!V128,0),IF(COUNTA('UX + Dev'!U128)&gt;0,EOMONTH('UX + Dev'!U128,0),"")))</f>
      </c>
    </row>
    <row r="129">
      <c r="A129" s="305" t="n">
        <v>129</v>
      </c>
      <c r="B129" s="305">
        <f>IF(TRIM('UX + Dev'!E129)="","",TRIM('UX + Dev'!E129))</f>
      </c>
      <c r="C129" s="305">
        <f>IF($B129="","",'UX + Dev'!B129)</f>
      </c>
      <c r="D129" s="305">
        <f>IF($B129="","",IF(TRIM('UX + Dev'!C129)="","(No theme assigned)",TRIM('UX + Dev'!C129)))</f>
      </c>
      <c r="E129" s="305">
        <f>IF($B129="","",TRIM('UX + Dev'!F129))</f>
      </c>
      <c r="F129" s="305">
        <f>IF($B129="","",'UX + Dev'!G129)</f>
      </c>
      <c r="G129" s="306">
        <f t="array" ref="G129">IF($B129="","",IF($T129=0,"",IFERROR(MIN(IF('UX + Dev'!$AB129:$DN129&lt;&gt;"",'UX + Dev'!$AB$1:$DN$1)),"")))</f>
      </c>
      <c r="H129" s="306">
        <f t="array" ref="H129">IF($B129="","",IF($T129=0,"",IFERROR(MAX(IF('UX + Dev'!$AB129:$DN129&lt;&gt;"",'UX + Dev'!$AB$1:$DN$1)),"")))</f>
      </c>
      <c r="I129" s="307">
        <f>IF($R129&lt;&gt;"",$R129,IF($S129&lt;&gt;"",$S129,""))</f>
      </c>
      <c r="J129" s="307">
        <f>IF($S129&lt;&gt;"",EOMONTH($S129,0),IF($R129&lt;&gt;"",EOMONTH($R129,0),""))</f>
      </c>
      <c r="K129" s="305">
        <f>IF($B129="","",IF(COUNTA('UX + Dev'!AA129)=0,"",TRIM('UX + Dev'!AA129)))</f>
      </c>
      <c r="L129" s="305">
        <f>IF($B129="","",IFERROR(MATCH($D129,Control!$E$4:$E$30,0),99))</f>
      </c>
      <c r="M129" s="305">
        <f>IF($B129="","",IFERROR(MATCH($F129,Control!$B$4:$B$30,0),99))</f>
      </c>
      <c r="N129" s="305">
        <f>IF($V129&lt;&gt;1,"",IF('Roadmap (Auto)'!$D$3="Status, then Theme",$M129*1000000+$L129*10000+ROW(),IF('Roadmap (Auto)'!$D$3="Dev start (earliest)",IF($I129="",99999999,$I129)*10000+ROW(),IF('Roadmap (Auto)'!$D$3="UX start (earliest)",IF($G129="",99999999,$G129)*10000+ROW(),IF('Roadmap (Auto)'!$D$3="Deliverable A-Z",$W129*10000+ROW(),$L129*1000000+$M129*10000+ROW())))))</f>
      </c>
      <c r="O129" s="305">
        <f>IF($N129="","",COUNTIF($N$2:$N$151,"&lt;"&amp;$N129)+1)</f>
      </c>
      <c r="P129" s="305">
        <f>IF($B129="","",IF(COUNTA('UX + Dev'!X129)=0,"",'UX + Dev'!X129))</f>
      </c>
      <c r="Q129" s="305">
        <f>IF($B129="","",IF(COUNTA('UX + Dev'!Y129)=0,"",'UX + Dev'!Y129))</f>
      </c>
      <c r="R129" s="307">
        <f>IF($P129="","",IF(ISNUMBER($P129),DATE(YEAR($P129),MONTH($P129),1),IFERROR(DATE(IFERROR(VALUE(RIGHT(TRIM($P129),4)),YEAR(TODAY())),(SEARCH(LEFT(TRIM($P129),3),"JanFebMarAprMayJunJulAugSepOctNovDec")+2)/3,1),"")))</f>
      </c>
      <c r="S129" s="307">
        <f>IF($Q129="","",IF(ISNUMBER($Q129),DATE(YEAR($Q129),MONTH($Q129),1),IFERROR(DATE(IFERROR(VALUE(RIGHT(TRIM($Q129),4)),YEAR(TODAY())),(SEARCH(LEFT(TRIM($Q129),3),"JanFebMarAprMayJunJulAugSepOctNovDec")+2)/3,1),"")))</f>
      </c>
      <c r="T129" s="305">
        <f>IF($B129="","",COUNTA('UX + Dev'!$AB129:$DN129))</f>
      </c>
      <c r="U129" s="305">
        <f>IF($B129="","",IFERROR(MATCH($D129,Control!$E$4:$E$30,0)+3,0))</f>
      </c>
      <c r="V129" s="305">
        <f>IF($B129="","",IF(AND(OR('Roadmap (Auto)'!$A$3="",'Roadmap (Auto)'!$A$3="(All)",ISNUMBER(SEARCH('Roadmap (Auto)'!$A$3,$C129&amp;""))),OR('Roadmap (Auto)'!$B$3="",'Roadmap (Auto)'!$B$3="(All)",$D129='Roadmap (Auto)'!$B$3,$X129='Roadmap (Auto)'!$B$3),OR('Roadmap (Auto)'!$C$3="",'Roadmap (Auto)'!$C$3="(All)",$F129='Roadmap (Auto)'!$C$3)),1,0))</f>
      </c>
      <c r="W129" s="305">
        <f>IF($B129="","",COUNTIF($Y$2:$Y$151,"&lt;"&amp;$Y129)+1)</f>
      </c>
      <c r="X129" s="305">
        <f>IF($B129="","",IF(TRIM('UX + Dev'!D129)="","",TRIM('UX + Dev'!D129)))</f>
      </c>
      <c r="Y129" s="305">
        <f>IF($B129="","",SUBSTITUTE(SUBSTITUTE(SUBSTITUTE(SUBSTITUTE(SUBSTITUTE(SUBSTITUTE(SUBSTITUTE(SUBSTITUTE(SUBSTITUTE(SUBSTITUTE(SUBSTITUTE(SUBSTITUTE(SUBSTITUTE(SUBSTITUTE(SUBSTITUTE(SUBSTITUTE(SUBSTITUTE(SUBSTITUTE(SUBSTITUTE(SUBSTITUTE(SUBSTITUTE(SUBSTITUTE(SUBSTITUTE(SUBSTITUTE(SUBSTITUTE(UPPER($B129)," ",""),"-",""),":",""),"/",""),"&amp;",""),"|",""),"'",""),"’",""),"&lt;",""),"&gt;",""),",",""),"$",""),".",""),"(",""),")",""),"*",""),"?",""),"~",""),"_",""),"+",""),"#",""),";",""),"!",""),"%",""),"@",""))</f>
      </c>
      <c r="AA129">
        <f>IF($B129="",0,COUNTIFS('UX + Dev'!$AB$1:$DN$1,"&gt;="&amp;AA$1,'UX + Dev'!$AB$1:$DN$1,"&lt;="&amp;EOMONTH(AA$1,0),'UX + Dev'!$AB129:$DN129,"&lt;&gt;"))</f>
      </c>
      <c r="AB129">
        <f>IF($B129="",0,COUNTIFS('UX + Dev'!$AB$1:$DN$1,"&gt;="&amp;AB$1,'UX + Dev'!$AB$1:$DN$1,"&lt;="&amp;EOMONTH(AB$1,0),'UX + Dev'!$AB129:$DN129,"&lt;&gt;"))</f>
      </c>
      <c r="AC129">
        <f>IF($B129="",0,COUNTIFS('UX + Dev'!$AB$1:$DN$1,"&gt;="&amp;AC$1,'UX + Dev'!$AB$1:$DN$1,"&lt;="&amp;EOMONTH(AC$1,0),'UX + Dev'!$AB129:$DN129,"&lt;&gt;"))</f>
      </c>
      <c r="AD129">
        <f>IF($B129="",0,COUNTIFS('UX + Dev'!$AB$1:$DN$1,"&gt;="&amp;AD$1,'UX + Dev'!$AB$1:$DN$1,"&lt;="&amp;EOMONTH(AD$1,0),'UX + Dev'!$AB129:$DN129,"&lt;&gt;"))</f>
      </c>
      <c r="AE129">
        <f>IF($B129="",0,COUNTIFS('UX + Dev'!$AB$1:$DN$1,"&gt;="&amp;AE$1,'UX + Dev'!$AB$1:$DN$1,"&lt;="&amp;EOMONTH(AE$1,0),'UX + Dev'!$AB129:$DN129,"&lt;&gt;"))</f>
      </c>
      <c r="AF129">
        <f>IF($B129="",0,COUNTIFS('UX + Dev'!$AB$1:$DN$1,"&gt;="&amp;AF$1,'UX + Dev'!$AB$1:$DN$1,"&lt;="&amp;EOMONTH(AF$1,0),'UX + Dev'!$AB129:$DN129,"&lt;&gt;"))</f>
      </c>
      <c r="AG129">
        <f>IF($B129="",0,COUNTIFS('UX + Dev'!$AB$1:$DN$1,"&gt;="&amp;AG$1,'UX + Dev'!$AB$1:$DN$1,"&lt;="&amp;EOMONTH(AG$1,0),'UX + Dev'!$AB129:$DN129,"&lt;&gt;"))</f>
      </c>
      <c r="AH129">
        <f>IF($B129="",0,COUNTIFS('UX + Dev'!$AB$1:$DN$1,"&gt;="&amp;AH$1,'UX + Dev'!$AB$1:$DN$1,"&lt;="&amp;EOMONTH(AH$1,0),'UX + Dev'!$AB129:$DN129,"&lt;&gt;"))</f>
      </c>
      <c r="AI129">
        <f>IF($B129="",0,COUNTIFS('UX + Dev'!$AB$1:$DN$1,"&gt;="&amp;AI$1,'UX + Dev'!$AB$1:$DN$1,"&lt;="&amp;EOMONTH(AI$1,0),'UX + Dev'!$AB129:$DN129,"&lt;&gt;"))</f>
      </c>
      <c r="AJ129">
        <f>IF($B129="",0,COUNTIFS('UX + Dev'!$AB$1:$DN$1,"&gt;="&amp;AJ$1,'UX + Dev'!$AB$1:$DN$1,"&lt;="&amp;EOMONTH(AJ$1,0),'UX + Dev'!$AB129:$DN129,"&lt;&gt;"))</f>
      </c>
      <c r="AK129">
        <f>IF($B129="",0,COUNTIFS('UX + Dev'!$AB$1:$DN$1,"&gt;="&amp;AK$1,'UX + Dev'!$AB$1:$DN$1,"&lt;="&amp;EOMONTH(AK$1,0),'UX + Dev'!$AB129:$DN129,"&lt;&gt;"))</f>
      </c>
      <c r="AL129">
        <f>IF($B129="",0,COUNTIFS('UX + Dev'!$AB$1:$DN$1,"&gt;="&amp;AL$1,'UX + Dev'!$AB$1:$DN$1,"&lt;="&amp;EOMONTH(AL$1,0),'UX + Dev'!$AB129:$DN129,"&lt;&gt;"))</f>
      </c>
      <c r="AM129">
        <f>IF($B129="",0,COUNTIFS('UX + Dev'!$AB$1:$DN$1,"&gt;="&amp;AM$1,'UX + Dev'!$AB$1:$DN$1,"&lt;="&amp;EOMONTH(AM$1,0),'UX + Dev'!$AB129:$DN129,"&lt;&gt;"))</f>
      </c>
      <c r="AN129">
        <f>IF($B129="",0,COUNTIFS('UX + Dev'!$AB$1:$DN$1,"&gt;="&amp;AN$1,'UX + Dev'!$AB$1:$DN$1,"&lt;="&amp;EOMONTH(AN$1,0),'UX + Dev'!$AB129:$DN129,"&lt;&gt;"))</f>
      </c>
      <c r="AO129">
        <f>IF($B129="",0,COUNTIFS('UX + Dev'!$AB$1:$DN$1,"&gt;="&amp;AO$1,'UX + Dev'!$AB$1:$DN$1,"&lt;="&amp;EOMONTH(AO$1,0),'UX + Dev'!$AB129:$DN129,"&lt;&gt;"))</f>
      </c>
      <c r="AP129">
        <f>IF($B129="",0,COUNTIFS('UX + Dev'!$AB$1:$DN$1,"&gt;="&amp;AP$1,'UX + Dev'!$AB$1:$DN$1,"&lt;="&amp;EOMONTH(AP$1,0),'UX + Dev'!$AB129:$DN129,"&lt;&gt;"))</f>
      </c>
      <c r="AQ129">
        <f>IF($B129="",0,COUNTIFS('UX + Dev'!$AB$1:$DN$1,"&gt;="&amp;AQ$1,'UX + Dev'!$AB$1:$DN$1,"&lt;="&amp;EOMONTH(AQ$1,0),'UX + Dev'!$AB129:$DN129,"&lt;&gt;"))</f>
      </c>
      <c r="AR129">
        <f>IF($B129="",0,COUNTIFS('UX + Dev'!$AB$1:$DN$1,"&gt;="&amp;AR$1,'UX + Dev'!$AB$1:$DN$1,"&lt;="&amp;EOMONTH(AR$1,0),'UX + Dev'!$AB129:$DN129,"&lt;&gt;"))</f>
      </c>
      <c r="AS129">
        <f>IF($B129="",0,COUNTIFS('UX + Dev'!$AB$1:$DN$1,"&gt;="&amp;AS$1,'UX + Dev'!$AB$1:$DN$1,"&lt;="&amp;EOMONTH(AS$1,0),'UX + Dev'!$AB129:$DN129,"&lt;&gt;"))</f>
      </c>
      <c r="AT129">
        <f>IF($B129="",0,COUNTIFS('UX + Dev'!$AB$1:$DN$1,"&gt;="&amp;AT$1,'UX + Dev'!$AB$1:$DN$1,"&lt;="&amp;EOMONTH(AT$1,0),'UX + Dev'!$AB129:$DN129,"&lt;&gt;"))</f>
      </c>
      <c r="AU129">
        <f>IF($B129="",0,COUNTIFS('UX + Dev'!$AB$1:$DN$1,"&gt;="&amp;AU$1,'UX + Dev'!$AB$1:$DN$1,"&lt;="&amp;EOMONTH(AU$1,0),'UX + Dev'!$AB129:$DN129,"&lt;&gt;"))</f>
      </c>
      <c r="AV129">
        <f>IF($B129="",0,COUNTIFS('UX + Dev'!$AB$1:$DN$1,"&gt;="&amp;AV$1,'UX + Dev'!$AB$1:$DN$1,"&lt;="&amp;EOMONTH(AV$1,0),'UX + Dev'!$AB129:$DN129,"&lt;&gt;"))</f>
      </c>
      <c r="AW129">
        <f>IF($B129="",0,COUNTIFS('UX + Dev'!$AB$1:$DN$1,"&gt;="&amp;AW$1,'UX + Dev'!$AB$1:$DN$1,"&lt;="&amp;EOMONTH(AW$1,0),'UX + Dev'!$AB129:$DN129,"&lt;&gt;"))</f>
      </c>
      <c r="AX129">
        <f>IF($B129="",0,COUNTIFS('UX + Dev'!$AB$1:$DN$1,"&gt;="&amp;AX$1,'UX + Dev'!$AB$1:$DN$1,"&lt;="&amp;EOMONTH(AX$1,0),'UX + Dev'!$AB129:$DN129,"&lt;&gt;"))</f>
      </c>
      <c r="BB129" s="308">
        <f>IF($B129="","",IF(COUNTA('UX + Dev'!U129)&gt;0,DATE(YEAR('UX + Dev'!U129),MONTH('UX + Dev'!U129),1),IF(COUNTA('UX + Dev'!V129)&gt;0,DATE(YEAR('UX + Dev'!V129),MONTH('UX + Dev'!V129),1),"")))</f>
      </c>
      <c r="BC129" s="308">
        <f>IF($B129="","",IF(COUNTA('UX + Dev'!V129)&gt;0,EOMONTH('UX + Dev'!V129,0),IF(COUNTA('UX + Dev'!U129)&gt;0,EOMONTH('UX + Dev'!U129,0),"")))</f>
      </c>
    </row>
    <row r="130">
      <c r="A130" s="305" t="n">
        <v>130</v>
      </c>
      <c r="B130" s="305">
        <f>IF(TRIM('UX + Dev'!E130)="","",TRIM('UX + Dev'!E130))</f>
      </c>
      <c r="C130" s="305">
        <f>IF($B130="","",'UX + Dev'!B130)</f>
      </c>
      <c r="D130" s="305">
        <f>IF($B130="","",IF(TRIM('UX + Dev'!C130)="","(No theme assigned)",TRIM('UX + Dev'!C130)))</f>
      </c>
      <c r="E130" s="305">
        <f>IF($B130="","",TRIM('UX + Dev'!F130))</f>
      </c>
      <c r="F130" s="305">
        <f>IF($B130="","",'UX + Dev'!G130)</f>
      </c>
      <c r="G130" s="306">
        <f t="array" ref="G130">IF($B130="","",IF($T130=0,"",IFERROR(MIN(IF('UX + Dev'!$AB130:$DN130&lt;&gt;"",'UX + Dev'!$AB$1:$DN$1)),"")))</f>
      </c>
      <c r="H130" s="306">
        <f t="array" ref="H130">IF($B130="","",IF($T130=0,"",IFERROR(MAX(IF('UX + Dev'!$AB130:$DN130&lt;&gt;"",'UX + Dev'!$AB$1:$DN$1)),"")))</f>
      </c>
      <c r="I130" s="307">
        <f>IF($R130&lt;&gt;"",$R130,IF($S130&lt;&gt;"",$S130,""))</f>
      </c>
      <c r="J130" s="307">
        <f>IF($S130&lt;&gt;"",EOMONTH($S130,0),IF($R130&lt;&gt;"",EOMONTH($R130,0),""))</f>
      </c>
      <c r="K130" s="305">
        <f>IF($B130="","",IF(COUNTA('UX + Dev'!AA130)=0,"",TRIM('UX + Dev'!AA130)))</f>
      </c>
      <c r="L130" s="305">
        <f>IF($B130="","",IFERROR(MATCH($D130,Control!$E$4:$E$30,0),99))</f>
      </c>
      <c r="M130" s="305">
        <f>IF($B130="","",IFERROR(MATCH($F130,Control!$B$4:$B$30,0),99))</f>
      </c>
      <c r="N130" s="305">
        <f>IF($V130&lt;&gt;1,"",IF('Roadmap (Auto)'!$D$3="Status, then Theme",$M130*1000000+$L130*10000+ROW(),IF('Roadmap (Auto)'!$D$3="Dev start (earliest)",IF($I130="",99999999,$I130)*10000+ROW(),IF('Roadmap (Auto)'!$D$3="UX start (earliest)",IF($G130="",99999999,$G130)*10000+ROW(),IF('Roadmap (Auto)'!$D$3="Deliverable A-Z",$W130*10000+ROW(),$L130*1000000+$M130*10000+ROW())))))</f>
      </c>
      <c r="O130" s="305">
        <f>IF($N130="","",COUNTIF($N$2:$N$151,"&lt;"&amp;$N130)+1)</f>
      </c>
      <c r="P130" s="305">
        <f>IF($B130="","",IF(COUNTA('UX + Dev'!X130)=0,"",'UX + Dev'!X130))</f>
      </c>
      <c r="Q130" s="305">
        <f>IF($B130="","",IF(COUNTA('UX + Dev'!Y130)=0,"",'UX + Dev'!Y130))</f>
      </c>
      <c r="R130" s="307">
        <f>IF($P130="","",IF(ISNUMBER($P130),DATE(YEAR($P130),MONTH($P130),1),IFERROR(DATE(IFERROR(VALUE(RIGHT(TRIM($P130),4)),YEAR(TODAY())),(SEARCH(LEFT(TRIM($P130),3),"JanFebMarAprMayJunJulAugSepOctNovDec")+2)/3,1),"")))</f>
      </c>
      <c r="S130" s="307">
        <f>IF($Q130="","",IF(ISNUMBER($Q130),DATE(YEAR($Q130),MONTH($Q130),1),IFERROR(DATE(IFERROR(VALUE(RIGHT(TRIM($Q130),4)),YEAR(TODAY())),(SEARCH(LEFT(TRIM($Q130),3),"JanFebMarAprMayJunJulAugSepOctNovDec")+2)/3,1),"")))</f>
      </c>
      <c r="T130" s="305">
        <f>IF($B130="","",COUNTA('UX + Dev'!$AB130:$DN130))</f>
      </c>
      <c r="U130" s="305">
        <f>IF($B130="","",IFERROR(MATCH($D130,Control!$E$4:$E$30,0)+3,0))</f>
      </c>
      <c r="V130" s="305">
        <f>IF($B130="","",IF(AND(OR('Roadmap (Auto)'!$A$3="",'Roadmap (Auto)'!$A$3="(All)",ISNUMBER(SEARCH('Roadmap (Auto)'!$A$3,$C130&amp;""))),OR('Roadmap (Auto)'!$B$3="",'Roadmap (Auto)'!$B$3="(All)",$D130='Roadmap (Auto)'!$B$3,$X130='Roadmap (Auto)'!$B$3),OR('Roadmap (Auto)'!$C$3="",'Roadmap (Auto)'!$C$3="(All)",$F130='Roadmap (Auto)'!$C$3)),1,0))</f>
      </c>
      <c r="W130" s="305">
        <f>IF($B130="","",COUNTIF($Y$2:$Y$151,"&lt;"&amp;$Y130)+1)</f>
      </c>
      <c r="X130" s="305">
        <f>IF($B130="","",IF(TRIM('UX + Dev'!D130)="","",TRIM('UX + Dev'!D130)))</f>
      </c>
      <c r="Y130" s="305">
        <f>IF($B130="","",SUBSTITUTE(SUBSTITUTE(SUBSTITUTE(SUBSTITUTE(SUBSTITUTE(SUBSTITUTE(SUBSTITUTE(SUBSTITUTE(SUBSTITUTE(SUBSTITUTE(SUBSTITUTE(SUBSTITUTE(SUBSTITUTE(SUBSTITUTE(SUBSTITUTE(SUBSTITUTE(SUBSTITUTE(SUBSTITUTE(SUBSTITUTE(SUBSTITUTE(SUBSTITUTE(SUBSTITUTE(SUBSTITUTE(SUBSTITUTE(SUBSTITUTE(UPPER($B130)," ",""),"-",""),":",""),"/",""),"&amp;",""),"|",""),"'",""),"’",""),"&lt;",""),"&gt;",""),",",""),"$",""),".",""),"(",""),")",""),"*",""),"?",""),"~",""),"_",""),"+",""),"#",""),";",""),"!",""),"%",""),"@",""))</f>
      </c>
      <c r="AA130">
        <f>IF($B130="",0,COUNTIFS('UX + Dev'!$AB$1:$DN$1,"&gt;="&amp;AA$1,'UX + Dev'!$AB$1:$DN$1,"&lt;="&amp;EOMONTH(AA$1,0),'UX + Dev'!$AB130:$DN130,"&lt;&gt;"))</f>
      </c>
      <c r="AB130">
        <f>IF($B130="",0,COUNTIFS('UX + Dev'!$AB$1:$DN$1,"&gt;="&amp;AB$1,'UX + Dev'!$AB$1:$DN$1,"&lt;="&amp;EOMONTH(AB$1,0),'UX + Dev'!$AB130:$DN130,"&lt;&gt;"))</f>
      </c>
      <c r="AC130">
        <f>IF($B130="",0,COUNTIFS('UX + Dev'!$AB$1:$DN$1,"&gt;="&amp;AC$1,'UX + Dev'!$AB$1:$DN$1,"&lt;="&amp;EOMONTH(AC$1,0),'UX + Dev'!$AB130:$DN130,"&lt;&gt;"))</f>
      </c>
      <c r="AD130">
        <f>IF($B130="",0,COUNTIFS('UX + Dev'!$AB$1:$DN$1,"&gt;="&amp;AD$1,'UX + Dev'!$AB$1:$DN$1,"&lt;="&amp;EOMONTH(AD$1,0),'UX + Dev'!$AB130:$DN130,"&lt;&gt;"))</f>
      </c>
      <c r="AE130">
        <f>IF($B130="",0,COUNTIFS('UX + Dev'!$AB$1:$DN$1,"&gt;="&amp;AE$1,'UX + Dev'!$AB$1:$DN$1,"&lt;="&amp;EOMONTH(AE$1,0),'UX + Dev'!$AB130:$DN130,"&lt;&gt;"))</f>
      </c>
      <c r="AF130">
        <f>IF($B130="",0,COUNTIFS('UX + Dev'!$AB$1:$DN$1,"&gt;="&amp;AF$1,'UX + Dev'!$AB$1:$DN$1,"&lt;="&amp;EOMONTH(AF$1,0),'UX + Dev'!$AB130:$DN130,"&lt;&gt;"))</f>
      </c>
      <c r="AG130">
        <f>IF($B130="",0,COUNTIFS('UX + Dev'!$AB$1:$DN$1,"&gt;="&amp;AG$1,'UX + Dev'!$AB$1:$DN$1,"&lt;="&amp;EOMONTH(AG$1,0),'UX + Dev'!$AB130:$DN130,"&lt;&gt;"))</f>
      </c>
      <c r="AH130">
        <f>IF($B130="",0,COUNTIFS('UX + Dev'!$AB$1:$DN$1,"&gt;="&amp;AH$1,'UX + Dev'!$AB$1:$DN$1,"&lt;="&amp;EOMONTH(AH$1,0),'UX + Dev'!$AB130:$DN130,"&lt;&gt;"))</f>
      </c>
      <c r="AI130">
        <f>IF($B130="",0,COUNTIFS('UX + Dev'!$AB$1:$DN$1,"&gt;="&amp;AI$1,'UX + Dev'!$AB$1:$DN$1,"&lt;="&amp;EOMONTH(AI$1,0),'UX + Dev'!$AB130:$DN130,"&lt;&gt;"))</f>
      </c>
      <c r="AJ130">
        <f>IF($B130="",0,COUNTIFS('UX + Dev'!$AB$1:$DN$1,"&gt;="&amp;AJ$1,'UX + Dev'!$AB$1:$DN$1,"&lt;="&amp;EOMONTH(AJ$1,0),'UX + Dev'!$AB130:$DN130,"&lt;&gt;"))</f>
      </c>
      <c r="AK130">
        <f>IF($B130="",0,COUNTIFS('UX + Dev'!$AB$1:$DN$1,"&gt;="&amp;AK$1,'UX + Dev'!$AB$1:$DN$1,"&lt;="&amp;EOMONTH(AK$1,0),'UX + Dev'!$AB130:$DN130,"&lt;&gt;"))</f>
      </c>
      <c r="AL130">
        <f>IF($B130="",0,COUNTIFS('UX + Dev'!$AB$1:$DN$1,"&gt;="&amp;AL$1,'UX + Dev'!$AB$1:$DN$1,"&lt;="&amp;EOMONTH(AL$1,0),'UX + Dev'!$AB130:$DN130,"&lt;&gt;"))</f>
      </c>
      <c r="AM130">
        <f>IF($B130="",0,COUNTIFS('UX + Dev'!$AB$1:$DN$1,"&gt;="&amp;AM$1,'UX + Dev'!$AB$1:$DN$1,"&lt;="&amp;EOMONTH(AM$1,0),'UX + Dev'!$AB130:$DN130,"&lt;&gt;"))</f>
      </c>
      <c r="AN130">
        <f>IF($B130="",0,COUNTIFS('UX + Dev'!$AB$1:$DN$1,"&gt;="&amp;AN$1,'UX + Dev'!$AB$1:$DN$1,"&lt;="&amp;EOMONTH(AN$1,0),'UX + Dev'!$AB130:$DN130,"&lt;&gt;"))</f>
      </c>
      <c r="AO130">
        <f>IF($B130="",0,COUNTIFS('UX + Dev'!$AB$1:$DN$1,"&gt;="&amp;AO$1,'UX + Dev'!$AB$1:$DN$1,"&lt;="&amp;EOMONTH(AO$1,0),'UX + Dev'!$AB130:$DN130,"&lt;&gt;"))</f>
      </c>
      <c r="AP130">
        <f>IF($B130="",0,COUNTIFS('UX + Dev'!$AB$1:$DN$1,"&gt;="&amp;AP$1,'UX + Dev'!$AB$1:$DN$1,"&lt;="&amp;EOMONTH(AP$1,0),'UX + Dev'!$AB130:$DN130,"&lt;&gt;"))</f>
      </c>
      <c r="AQ130">
        <f>IF($B130="",0,COUNTIFS('UX + Dev'!$AB$1:$DN$1,"&gt;="&amp;AQ$1,'UX + Dev'!$AB$1:$DN$1,"&lt;="&amp;EOMONTH(AQ$1,0),'UX + Dev'!$AB130:$DN130,"&lt;&gt;"))</f>
      </c>
      <c r="AR130">
        <f>IF($B130="",0,COUNTIFS('UX + Dev'!$AB$1:$DN$1,"&gt;="&amp;AR$1,'UX + Dev'!$AB$1:$DN$1,"&lt;="&amp;EOMONTH(AR$1,0),'UX + Dev'!$AB130:$DN130,"&lt;&gt;"))</f>
      </c>
      <c r="AS130">
        <f>IF($B130="",0,COUNTIFS('UX + Dev'!$AB$1:$DN$1,"&gt;="&amp;AS$1,'UX + Dev'!$AB$1:$DN$1,"&lt;="&amp;EOMONTH(AS$1,0),'UX + Dev'!$AB130:$DN130,"&lt;&gt;"))</f>
      </c>
      <c r="AT130">
        <f>IF($B130="",0,COUNTIFS('UX + Dev'!$AB$1:$DN$1,"&gt;="&amp;AT$1,'UX + Dev'!$AB$1:$DN$1,"&lt;="&amp;EOMONTH(AT$1,0),'UX + Dev'!$AB130:$DN130,"&lt;&gt;"))</f>
      </c>
      <c r="AU130">
        <f>IF($B130="",0,COUNTIFS('UX + Dev'!$AB$1:$DN$1,"&gt;="&amp;AU$1,'UX + Dev'!$AB$1:$DN$1,"&lt;="&amp;EOMONTH(AU$1,0),'UX + Dev'!$AB130:$DN130,"&lt;&gt;"))</f>
      </c>
      <c r="AV130">
        <f>IF($B130="",0,COUNTIFS('UX + Dev'!$AB$1:$DN$1,"&gt;="&amp;AV$1,'UX + Dev'!$AB$1:$DN$1,"&lt;="&amp;EOMONTH(AV$1,0),'UX + Dev'!$AB130:$DN130,"&lt;&gt;"))</f>
      </c>
      <c r="AW130">
        <f>IF($B130="",0,COUNTIFS('UX + Dev'!$AB$1:$DN$1,"&gt;="&amp;AW$1,'UX + Dev'!$AB$1:$DN$1,"&lt;="&amp;EOMONTH(AW$1,0),'UX + Dev'!$AB130:$DN130,"&lt;&gt;"))</f>
      </c>
      <c r="AX130">
        <f>IF($B130="",0,COUNTIFS('UX + Dev'!$AB$1:$DN$1,"&gt;="&amp;AX$1,'UX + Dev'!$AB$1:$DN$1,"&lt;="&amp;EOMONTH(AX$1,0),'UX + Dev'!$AB130:$DN130,"&lt;&gt;"))</f>
      </c>
      <c r="BB130" s="308">
        <f>IF($B130="","",IF(COUNTA('UX + Dev'!U130)&gt;0,DATE(YEAR('UX + Dev'!U130),MONTH('UX + Dev'!U130),1),IF(COUNTA('UX + Dev'!V130)&gt;0,DATE(YEAR('UX + Dev'!V130),MONTH('UX + Dev'!V130),1),"")))</f>
      </c>
      <c r="BC130" s="308">
        <f>IF($B130="","",IF(COUNTA('UX + Dev'!V130)&gt;0,EOMONTH('UX + Dev'!V130,0),IF(COUNTA('UX + Dev'!U130)&gt;0,EOMONTH('UX + Dev'!U130,0),"")))</f>
      </c>
    </row>
    <row r="131">
      <c r="A131" s="305" t="n">
        <v>131</v>
      </c>
      <c r="B131" s="305">
        <f>IF(TRIM('UX + Dev'!E131)="","",TRIM('UX + Dev'!E131))</f>
      </c>
      <c r="C131" s="305">
        <f>IF($B131="","",'UX + Dev'!B131)</f>
      </c>
      <c r="D131" s="305">
        <f>IF($B131="","",IF(TRIM('UX + Dev'!C131)="","(No theme assigned)",TRIM('UX + Dev'!C131)))</f>
      </c>
      <c r="E131" s="305">
        <f>IF($B131="","",TRIM('UX + Dev'!F131))</f>
      </c>
      <c r="F131" s="305">
        <f>IF($B131="","",'UX + Dev'!G131)</f>
      </c>
      <c r="G131" s="306">
        <f t="array" ref="G131">IF($B131="","",IF($T131=0,"",IFERROR(MIN(IF('UX + Dev'!$AB131:$DN131&lt;&gt;"",'UX + Dev'!$AB$1:$DN$1)),"")))</f>
      </c>
      <c r="H131" s="306">
        <f t="array" ref="H131">IF($B131="","",IF($T131=0,"",IFERROR(MAX(IF('UX + Dev'!$AB131:$DN131&lt;&gt;"",'UX + Dev'!$AB$1:$DN$1)),"")))</f>
      </c>
      <c r="I131" s="307">
        <f>IF($R131&lt;&gt;"",$R131,IF($S131&lt;&gt;"",$S131,""))</f>
      </c>
      <c r="J131" s="307">
        <f>IF($S131&lt;&gt;"",EOMONTH($S131,0),IF($R131&lt;&gt;"",EOMONTH($R131,0),""))</f>
      </c>
      <c r="K131" s="305">
        <f>IF($B131="","",IF(COUNTA('UX + Dev'!AA131)=0,"",TRIM('UX + Dev'!AA131)))</f>
      </c>
      <c r="L131" s="305">
        <f>IF($B131="","",IFERROR(MATCH($D131,Control!$E$4:$E$30,0),99))</f>
      </c>
      <c r="M131" s="305">
        <f>IF($B131="","",IFERROR(MATCH($F131,Control!$B$4:$B$30,0),99))</f>
      </c>
      <c r="N131" s="305">
        <f>IF($V131&lt;&gt;1,"",IF('Roadmap (Auto)'!$D$3="Status, then Theme",$M131*1000000+$L131*10000+ROW(),IF('Roadmap (Auto)'!$D$3="Dev start (earliest)",IF($I131="",99999999,$I131)*10000+ROW(),IF('Roadmap (Auto)'!$D$3="UX start (earliest)",IF($G131="",99999999,$G131)*10000+ROW(),IF('Roadmap (Auto)'!$D$3="Deliverable A-Z",$W131*10000+ROW(),$L131*1000000+$M131*10000+ROW())))))</f>
      </c>
      <c r="O131" s="305">
        <f>IF($N131="","",COUNTIF($N$2:$N$151,"&lt;"&amp;$N131)+1)</f>
      </c>
      <c r="P131" s="305">
        <f>IF($B131="","",IF(COUNTA('UX + Dev'!X131)=0,"",'UX + Dev'!X131))</f>
      </c>
      <c r="Q131" s="305">
        <f>IF($B131="","",IF(COUNTA('UX + Dev'!Y131)=0,"",'UX + Dev'!Y131))</f>
      </c>
      <c r="R131" s="307">
        <f>IF($P131="","",IF(ISNUMBER($P131),DATE(YEAR($P131),MONTH($P131),1),IFERROR(DATE(IFERROR(VALUE(RIGHT(TRIM($P131),4)),YEAR(TODAY())),(SEARCH(LEFT(TRIM($P131),3),"JanFebMarAprMayJunJulAugSepOctNovDec")+2)/3,1),"")))</f>
      </c>
      <c r="S131" s="307">
        <f>IF($Q131="","",IF(ISNUMBER($Q131),DATE(YEAR($Q131),MONTH($Q131),1),IFERROR(DATE(IFERROR(VALUE(RIGHT(TRIM($Q131),4)),YEAR(TODAY())),(SEARCH(LEFT(TRIM($Q131),3),"JanFebMarAprMayJunJulAugSepOctNovDec")+2)/3,1),"")))</f>
      </c>
      <c r="T131" s="305">
        <f>IF($B131="","",COUNTA('UX + Dev'!$AB131:$DN131))</f>
      </c>
      <c r="U131" s="305">
        <f>IF($B131="","",IFERROR(MATCH($D131,Control!$E$4:$E$30,0)+3,0))</f>
      </c>
      <c r="V131" s="305">
        <f>IF($B131="","",IF(AND(OR('Roadmap (Auto)'!$A$3="",'Roadmap (Auto)'!$A$3="(All)",ISNUMBER(SEARCH('Roadmap (Auto)'!$A$3,$C131&amp;""))),OR('Roadmap (Auto)'!$B$3="",'Roadmap (Auto)'!$B$3="(All)",$D131='Roadmap (Auto)'!$B$3,$X131='Roadmap (Auto)'!$B$3),OR('Roadmap (Auto)'!$C$3="",'Roadmap (Auto)'!$C$3="(All)",$F131='Roadmap (Auto)'!$C$3)),1,0))</f>
      </c>
      <c r="W131" s="305">
        <f>IF($B131="","",COUNTIF($Y$2:$Y$151,"&lt;"&amp;$Y131)+1)</f>
      </c>
      <c r="X131" s="305">
        <f>IF($B131="","",IF(TRIM('UX + Dev'!D131)="","",TRIM('UX + Dev'!D131)))</f>
      </c>
      <c r="Y131" s="305">
        <f>IF($B131="","",SUBSTITUTE(SUBSTITUTE(SUBSTITUTE(SUBSTITUTE(SUBSTITUTE(SUBSTITUTE(SUBSTITUTE(SUBSTITUTE(SUBSTITUTE(SUBSTITUTE(SUBSTITUTE(SUBSTITUTE(SUBSTITUTE(SUBSTITUTE(SUBSTITUTE(SUBSTITUTE(SUBSTITUTE(SUBSTITUTE(SUBSTITUTE(SUBSTITUTE(SUBSTITUTE(SUBSTITUTE(SUBSTITUTE(SUBSTITUTE(SUBSTITUTE(UPPER($B131)," ",""),"-",""),":",""),"/",""),"&amp;",""),"|",""),"'",""),"’",""),"&lt;",""),"&gt;",""),",",""),"$",""),".",""),"(",""),")",""),"*",""),"?",""),"~",""),"_",""),"+",""),"#",""),";",""),"!",""),"%",""),"@",""))</f>
      </c>
      <c r="AA131">
        <f>IF($B131="",0,COUNTIFS('UX + Dev'!$AB$1:$DN$1,"&gt;="&amp;AA$1,'UX + Dev'!$AB$1:$DN$1,"&lt;="&amp;EOMONTH(AA$1,0),'UX + Dev'!$AB131:$DN131,"&lt;&gt;"))</f>
      </c>
      <c r="AB131">
        <f>IF($B131="",0,COUNTIFS('UX + Dev'!$AB$1:$DN$1,"&gt;="&amp;AB$1,'UX + Dev'!$AB$1:$DN$1,"&lt;="&amp;EOMONTH(AB$1,0),'UX + Dev'!$AB131:$DN131,"&lt;&gt;"))</f>
      </c>
      <c r="AC131">
        <f>IF($B131="",0,COUNTIFS('UX + Dev'!$AB$1:$DN$1,"&gt;="&amp;AC$1,'UX + Dev'!$AB$1:$DN$1,"&lt;="&amp;EOMONTH(AC$1,0),'UX + Dev'!$AB131:$DN131,"&lt;&gt;"))</f>
      </c>
      <c r="AD131">
        <f>IF($B131="",0,COUNTIFS('UX + Dev'!$AB$1:$DN$1,"&gt;="&amp;AD$1,'UX + Dev'!$AB$1:$DN$1,"&lt;="&amp;EOMONTH(AD$1,0),'UX + Dev'!$AB131:$DN131,"&lt;&gt;"))</f>
      </c>
      <c r="AE131">
        <f>IF($B131="",0,COUNTIFS('UX + Dev'!$AB$1:$DN$1,"&gt;="&amp;AE$1,'UX + Dev'!$AB$1:$DN$1,"&lt;="&amp;EOMONTH(AE$1,0),'UX + Dev'!$AB131:$DN131,"&lt;&gt;"))</f>
      </c>
      <c r="AF131">
        <f>IF($B131="",0,COUNTIFS('UX + Dev'!$AB$1:$DN$1,"&gt;="&amp;AF$1,'UX + Dev'!$AB$1:$DN$1,"&lt;="&amp;EOMONTH(AF$1,0),'UX + Dev'!$AB131:$DN131,"&lt;&gt;"))</f>
      </c>
      <c r="AG131">
        <f>IF($B131="",0,COUNTIFS('UX + Dev'!$AB$1:$DN$1,"&gt;="&amp;AG$1,'UX + Dev'!$AB$1:$DN$1,"&lt;="&amp;EOMONTH(AG$1,0),'UX + Dev'!$AB131:$DN131,"&lt;&gt;"))</f>
      </c>
      <c r="AH131">
        <f>IF($B131="",0,COUNTIFS('UX + Dev'!$AB$1:$DN$1,"&gt;="&amp;AH$1,'UX + Dev'!$AB$1:$DN$1,"&lt;="&amp;EOMONTH(AH$1,0),'UX + Dev'!$AB131:$DN131,"&lt;&gt;"))</f>
      </c>
      <c r="AI131">
        <f>IF($B131="",0,COUNTIFS('UX + Dev'!$AB$1:$DN$1,"&gt;="&amp;AI$1,'UX + Dev'!$AB$1:$DN$1,"&lt;="&amp;EOMONTH(AI$1,0),'UX + Dev'!$AB131:$DN131,"&lt;&gt;"))</f>
      </c>
      <c r="AJ131">
        <f>IF($B131="",0,COUNTIFS('UX + Dev'!$AB$1:$DN$1,"&gt;="&amp;AJ$1,'UX + Dev'!$AB$1:$DN$1,"&lt;="&amp;EOMONTH(AJ$1,0),'UX + Dev'!$AB131:$DN131,"&lt;&gt;"))</f>
      </c>
      <c r="AK131">
        <f>IF($B131="",0,COUNTIFS('UX + Dev'!$AB$1:$DN$1,"&gt;="&amp;AK$1,'UX + Dev'!$AB$1:$DN$1,"&lt;="&amp;EOMONTH(AK$1,0),'UX + Dev'!$AB131:$DN131,"&lt;&gt;"))</f>
      </c>
      <c r="AL131">
        <f>IF($B131="",0,COUNTIFS('UX + Dev'!$AB$1:$DN$1,"&gt;="&amp;AL$1,'UX + Dev'!$AB$1:$DN$1,"&lt;="&amp;EOMONTH(AL$1,0),'UX + Dev'!$AB131:$DN131,"&lt;&gt;"))</f>
      </c>
      <c r="AM131">
        <f>IF($B131="",0,COUNTIFS('UX + Dev'!$AB$1:$DN$1,"&gt;="&amp;AM$1,'UX + Dev'!$AB$1:$DN$1,"&lt;="&amp;EOMONTH(AM$1,0),'UX + Dev'!$AB131:$DN131,"&lt;&gt;"))</f>
      </c>
      <c r="AN131">
        <f>IF($B131="",0,COUNTIFS('UX + Dev'!$AB$1:$DN$1,"&gt;="&amp;AN$1,'UX + Dev'!$AB$1:$DN$1,"&lt;="&amp;EOMONTH(AN$1,0),'UX + Dev'!$AB131:$DN131,"&lt;&gt;"))</f>
      </c>
      <c r="AO131">
        <f>IF($B131="",0,COUNTIFS('UX + Dev'!$AB$1:$DN$1,"&gt;="&amp;AO$1,'UX + Dev'!$AB$1:$DN$1,"&lt;="&amp;EOMONTH(AO$1,0),'UX + Dev'!$AB131:$DN131,"&lt;&gt;"))</f>
      </c>
      <c r="AP131">
        <f>IF($B131="",0,COUNTIFS('UX + Dev'!$AB$1:$DN$1,"&gt;="&amp;AP$1,'UX + Dev'!$AB$1:$DN$1,"&lt;="&amp;EOMONTH(AP$1,0),'UX + Dev'!$AB131:$DN131,"&lt;&gt;"))</f>
      </c>
      <c r="AQ131">
        <f>IF($B131="",0,COUNTIFS('UX + Dev'!$AB$1:$DN$1,"&gt;="&amp;AQ$1,'UX + Dev'!$AB$1:$DN$1,"&lt;="&amp;EOMONTH(AQ$1,0),'UX + Dev'!$AB131:$DN131,"&lt;&gt;"))</f>
      </c>
      <c r="AR131">
        <f>IF($B131="",0,COUNTIFS('UX + Dev'!$AB$1:$DN$1,"&gt;="&amp;AR$1,'UX + Dev'!$AB$1:$DN$1,"&lt;="&amp;EOMONTH(AR$1,0),'UX + Dev'!$AB131:$DN131,"&lt;&gt;"))</f>
      </c>
      <c r="AS131">
        <f>IF($B131="",0,COUNTIFS('UX + Dev'!$AB$1:$DN$1,"&gt;="&amp;AS$1,'UX + Dev'!$AB$1:$DN$1,"&lt;="&amp;EOMONTH(AS$1,0),'UX + Dev'!$AB131:$DN131,"&lt;&gt;"))</f>
      </c>
      <c r="AT131">
        <f>IF($B131="",0,COUNTIFS('UX + Dev'!$AB$1:$DN$1,"&gt;="&amp;AT$1,'UX + Dev'!$AB$1:$DN$1,"&lt;="&amp;EOMONTH(AT$1,0),'UX + Dev'!$AB131:$DN131,"&lt;&gt;"))</f>
      </c>
      <c r="AU131">
        <f>IF($B131="",0,COUNTIFS('UX + Dev'!$AB$1:$DN$1,"&gt;="&amp;AU$1,'UX + Dev'!$AB$1:$DN$1,"&lt;="&amp;EOMONTH(AU$1,0),'UX + Dev'!$AB131:$DN131,"&lt;&gt;"))</f>
      </c>
      <c r="AV131">
        <f>IF($B131="",0,COUNTIFS('UX + Dev'!$AB$1:$DN$1,"&gt;="&amp;AV$1,'UX + Dev'!$AB$1:$DN$1,"&lt;="&amp;EOMONTH(AV$1,0),'UX + Dev'!$AB131:$DN131,"&lt;&gt;"))</f>
      </c>
      <c r="AW131">
        <f>IF($B131="",0,COUNTIFS('UX + Dev'!$AB$1:$DN$1,"&gt;="&amp;AW$1,'UX + Dev'!$AB$1:$DN$1,"&lt;="&amp;EOMONTH(AW$1,0),'UX + Dev'!$AB131:$DN131,"&lt;&gt;"))</f>
      </c>
      <c r="AX131">
        <f>IF($B131="",0,COUNTIFS('UX + Dev'!$AB$1:$DN$1,"&gt;="&amp;AX$1,'UX + Dev'!$AB$1:$DN$1,"&lt;="&amp;EOMONTH(AX$1,0),'UX + Dev'!$AB131:$DN131,"&lt;&gt;"))</f>
      </c>
      <c r="BB131" s="308">
        <f>IF($B131="","",IF(COUNTA('UX + Dev'!U131)&gt;0,DATE(YEAR('UX + Dev'!U131),MONTH('UX + Dev'!U131),1),IF(COUNTA('UX + Dev'!V131)&gt;0,DATE(YEAR('UX + Dev'!V131),MONTH('UX + Dev'!V131),1),"")))</f>
      </c>
      <c r="BC131" s="308">
        <f>IF($B131="","",IF(COUNTA('UX + Dev'!V131)&gt;0,EOMONTH('UX + Dev'!V131,0),IF(COUNTA('UX + Dev'!U131)&gt;0,EOMONTH('UX + Dev'!U131,0),"")))</f>
      </c>
    </row>
    <row r="132">
      <c r="A132" s="305" t="n">
        <v>132</v>
      </c>
      <c r="B132" s="305">
        <f>IF(TRIM('UX + Dev'!E132)="","",TRIM('UX + Dev'!E132))</f>
      </c>
      <c r="C132" s="305">
        <f>IF($B132="","",'UX + Dev'!B132)</f>
      </c>
      <c r="D132" s="305">
        <f>IF($B132="","",IF(TRIM('UX + Dev'!C132)="","(No theme assigned)",TRIM('UX + Dev'!C132)))</f>
      </c>
      <c r="E132" s="305">
        <f>IF($B132="","",TRIM('UX + Dev'!F132))</f>
      </c>
      <c r="F132" s="305">
        <f>IF($B132="","",'UX + Dev'!G132)</f>
      </c>
      <c r="G132" s="306">
        <f t="array" ref="G132">IF($B132="","",IF($T132=0,"",IFERROR(MIN(IF('UX + Dev'!$AB132:$DN132&lt;&gt;"",'UX + Dev'!$AB$1:$DN$1)),"")))</f>
      </c>
      <c r="H132" s="306">
        <f t="array" ref="H132">IF($B132="","",IF($T132=0,"",IFERROR(MAX(IF('UX + Dev'!$AB132:$DN132&lt;&gt;"",'UX + Dev'!$AB$1:$DN$1)),"")))</f>
      </c>
      <c r="I132" s="307">
        <f>IF($R132&lt;&gt;"",$R132,IF($S132&lt;&gt;"",$S132,""))</f>
      </c>
      <c r="J132" s="307">
        <f>IF($S132&lt;&gt;"",EOMONTH($S132,0),IF($R132&lt;&gt;"",EOMONTH($R132,0),""))</f>
      </c>
      <c r="K132" s="305">
        <f>IF($B132="","",IF(COUNTA('UX + Dev'!AA132)=0,"",TRIM('UX + Dev'!AA132)))</f>
      </c>
      <c r="L132" s="305">
        <f>IF($B132="","",IFERROR(MATCH($D132,Control!$E$4:$E$30,0),99))</f>
      </c>
      <c r="M132" s="305">
        <f>IF($B132="","",IFERROR(MATCH($F132,Control!$B$4:$B$30,0),99))</f>
      </c>
      <c r="N132" s="305">
        <f>IF($V132&lt;&gt;1,"",IF('Roadmap (Auto)'!$D$3="Status, then Theme",$M132*1000000+$L132*10000+ROW(),IF('Roadmap (Auto)'!$D$3="Dev start (earliest)",IF($I132="",99999999,$I132)*10000+ROW(),IF('Roadmap (Auto)'!$D$3="UX start (earliest)",IF($G132="",99999999,$G132)*10000+ROW(),IF('Roadmap (Auto)'!$D$3="Deliverable A-Z",$W132*10000+ROW(),$L132*1000000+$M132*10000+ROW())))))</f>
      </c>
      <c r="O132" s="305">
        <f>IF($N132="","",COUNTIF($N$2:$N$151,"&lt;"&amp;$N132)+1)</f>
      </c>
      <c r="P132" s="305">
        <f>IF($B132="","",IF(COUNTA('UX + Dev'!X132)=0,"",'UX + Dev'!X132))</f>
      </c>
      <c r="Q132" s="305">
        <f>IF($B132="","",IF(COUNTA('UX + Dev'!Y132)=0,"",'UX + Dev'!Y132))</f>
      </c>
      <c r="R132" s="307">
        <f>IF($P132="","",IF(ISNUMBER($P132),DATE(YEAR($P132),MONTH($P132),1),IFERROR(DATE(IFERROR(VALUE(RIGHT(TRIM($P132),4)),YEAR(TODAY())),(SEARCH(LEFT(TRIM($P132),3),"JanFebMarAprMayJunJulAugSepOctNovDec")+2)/3,1),"")))</f>
      </c>
      <c r="S132" s="307">
        <f>IF($Q132="","",IF(ISNUMBER($Q132),DATE(YEAR($Q132),MONTH($Q132),1),IFERROR(DATE(IFERROR(VALUE(RIGHT(TRIM($Q132),4)),YEAR(TODAY())),(SEARCH(LEFT(TRIM($Q132),3),"JanFebMarAprMayJunJulAugSepOctNovDec")+2)/3,1),"")))</f>
      </c>
      <c r="T132" s="305">
        <f>IF($B132="","",COUNTA('UX + Dev'!$AB132:$DN132))</f>
      </c>
      <c r="U132" s="305">
        <f>IF($B132="","",IFERROR(MATCH($D132,Control!$E$4:$E$30,0)+3,0))</f>
      </c>
      <c r="V132" s="305">
        <f>IF($B132="","",IF(AND(OR('Roadmap (Auto)'!$A$3="",'Roadmap (Auto)'!$A$3="(All)",ISNUMBER(SEARCH('Roadmap (Auto)'!$A$3,$C132&amp;""))),OR('Roadmap (Auto)'!$B$3="",'Roadmap (Auto)'!$B$3="(All)",$D132='Roadmap (Auto)'!$B$3,$X132='Roadmap (Auto)'!$B$3),OR('Roadmap (Auto)'!$C$3="",'Roadmap (Auto)'!$C$3="(All)",$F132='Roadmap (Auto)'!$C$3)),1,0))</f>
      </c>
      <c r="W132" s="305">
        <f>IF($B132="","",COUNTIF($Y$2:$Y$151,"&lt;"&amp;$Y132)+1)</f>
      </c>
      <c r="X132" s="305">
        <f>IF($B132="","",IF(TRIM('UX + Dev'!D132)="","",TRIM('UX + Dev'!D132)))</f>
      </c>
      <c r="Y132" s="305">
        <f>IF($B132="","",SUBSTITUTE(SUBSTITUTE(SUBSTITUTE(SUBSTITUTE(SUBSTITUTE(SUBSTITUTE(SUBSTITUTE(SUBSTITUTE(SUBSTITUTE(SUBSTITUTE(SUBSTITUTE(SUBSTITUTE(SUBSTITUTE(SUBSTITUTE(SUBSTITUTE(SUBSTITUTE(SUBSTITUTE(SUBSTITUTE(SUBSTITUTE(SUBSTITUTE(SUBSTITUTE(SUBSTITUTE(SUBSTITUTE(SUBSTITUTE(SUBSTITUTE(UPPER($B132)," ",""),"-",""),":",""),"/",""),"&amp;",""),"|",""),"'",""),"’",""),"&lt;",""),"&gt;",""),",",""),"$",""),".",""),"(",""),")",""),"*",""),"?",""),"~",""),"_",""),"+",""),"#",""),";",""),"!",""),"%",""),"@",""))</f>
      </c>
      <c r="AA132">
        <f>IF($B132="",0,COUNTIFS('UX + Dev'!$AB$1:$DN$1,"&gt;="&amp;AA$1,'UX + Dev'!$AB$1:$DN$1,"&lt;="&amp;EOMONTH(AA$1,0),'UX + Dev'!$AB132:$DN132,"&lt;&gt;"))</f>
      </c>
      <c r="AB132">
        <f>IF($B132="",0,COUNTIFS('UX + Dev'!$AB$1:$DN$1,"&gt;="&amp;AB$1,'UX + Dev'!$AB$1:$DN$1,"&lt;="&amp;EOMONTH(AB$1,0),'UX + Dev'!$AB132:$DN132,"&lt;&gt;"))</f>
      </c>
      <c r="AC132">
        <f>IF($B132="",0,COUNTIFS('UX + Dev'!$AB$1:$DN$1,"&gt;="&amp;AC$1,'UX + Dev'!$AB$1:$DN$1,"&lt;="&amp;EOMONTH(AC$1,0),'UX + Dev'!$AB132:$DN132,"&lt;&gt;"))</f>
      </c>
      <c r="AD132">
        <f>IF($B132="",0,COUNTIFS('UX + Dev'!$AB$1:$DN$1,"&gt;="&amp;AD$1,'UX + Dev'!$AB$1:$DN$1,"&lt;="&amp;EOMONTH(AD$1,0),'UX + Dev'!$AB132:$DN132,"&lt;&gt;"))</f>
      </c>
      <c r="AE132">
        <f>IF($B132="",0,COUNTIFS('UX + Dev'!$AB$1:$DN$1,"&gt;="&amp;AE$1,'UX + Dev'!$AB$1:$DN$1,"&lt;="&amp;EOMONTH(AE$1,0),'UX + Dev'!$AB132:$DN132,"&lt;&gt;"))</f>
      </c>
      <c r="AF132">
        <f>IF($B132="",0,COUNTIFS('UX + Dev'!$AB$1:$DN$1,"&gt;="&amp;AF$1,'UX + Dev'!$AB$1:$DN$1,"&lt;="&amp;EOMONTH(AF$1,0),'UX + Dev'!$AB132:$DN132,"&lt;&gt;"))</f>
      </c>
      <c r="AG132">
        <f>IF($B132="",0,COUNTIFS('UX + Dev'!$AB$1:$DN$1,"&gt;="&amp;AG$1,'UX + Dev'!$AB$1:$DN$1,"&lt;="&amp;EOMONTH(AG$1,0),'UX + Dev'!$AB132:$DN132,"&lt;&gt;"))</f>
      </c>
      <c r="AH132">
        <f>IF($B132="",0,COUNTIFS('UX + Dev'!$AB$1:$DN$1,"&gt;="&amp;AH$1,'UX + Dev'!$AB$1:$DN$1,"&lt;="&amp;EOMONTH(AH$1,0),'UX + Dev'!$AB132:$DN132,"&lt;&gt;"))</f>
      </c>
      <c r="AI132">
        <f>IF($B132="",0,COUNTIFS('UX + Dev'!$AB$1:$DN$1,"&gt;="&amp;AI$1,'UX + Dev'!$AB$1:$DN$1,"&lt;="&amp;EOMONTH(AI$1,0),'UX + Dev'!$AB132:$DN132,"&lt;&gt;"))</f>
      </c>
      <c r="AJ132">
        <f>IF($B132="",0,COUNTIFS('UX + Dev'!$AB$1:$DN$1,"&gt;="&amp;AJ$1,'UX + Dev'!$AB$1:$DN$1,"&lt;="&amp;EOMONTH(AJ$1,0),'UX + Dev'!$AB132:$DN132,"&lt;&gt;"))</f>
      </c>
      <c r="AK132">
        <f>IF($B132="",0,COUNTIFS('UX + Dev'!$AB$1:$DN$1,"&gt;="&amp;AK$1,'UX + Dev'!$AB$1:$DN$1,"&lt;="&amp;EOMONTH(AK$1,0),'UX + Dev'!$AB132:$DN132,"&lt;&gt;"))</f>
      </c>
      <c r="AL132">
        <f>IF($B132="",0,COUNTIFS('UX + Dev'!$AB$1:$DN$1,"&gt;="&amp;AL$1,'UX + Dev'!$AB$1:$DN$1,"&lt;="&amp;EOMONTH(AL$1,0),'UX + Dev'!$AB132:$DN132,"&lt;&gt;"))</f>
      </c>
      <c r="AM132">
        <f>IF($B132="",0,COUNTIFS('UX + Dev'!$AB$1:$DN$1,"&gt;="&amp;AM$1,'UX + Dev'!$AB$1:$DN$1,"&lt;="&amp;EOMONTH(AM$1,0),'UX + Dev'!$AB132:$DN132,"&lt;&gt;"))</f>
      </c>
      <c r="AN132">
        <f>IF($B132="",0,COUNTIFS('UX + Dev'!$AB$1:$DN$1,"&gt;="&amp;AN$1,'UX + Dev'!$AB$1:$DN$1,"&lt;="&amp;EOMONTH(AN$1,0),'UX + Dev'!$AB132:$DN132,"&lt;&gt;"))</f>
      </c>
      <c r="AO132">
        <f>IF($B132="",0,COUNTIFS('UX + Dev'!$AB$1:$DN$1,"&gt;="&amp;AO$1,'UX + Dev'!$AB$1:$DN$1,"&lt;="&amp;EOMONTH(AO$1,0),'UX + Dev'!$AB132:$DN132,"&lt;&gt;"))</f>
      </c>
      <c r="AP132">
        <f>IF($B132="",0,COUNTIFS('UX + Dev'!$AB$1:$DN$1,"&gt;="&amp;AP$1,'UX + Dev'!$AB$1:$DN$1,"&lt;="&amp;EOMONTH(AP$1,0),'UX + Dev'!$AB132:$DN132,"&lt;&gt;"))</f>
      </c>
      <c r="AQ132">
        <f>IF($B132="",0,COUNTIFS('UX + Dev'!$AB$1:$DN$1,"&gt;="&amp;AQ$1,'UX + Dev'!$AB$1:$DN$1,"&lt;="&amp;EOMONTH(AQ$1,0),'UX + Dev'!$AB132:$DN132,"&lt;&gt;"))</f>
      </c>
      <c r="AR132">
        <f>IF($B132="",0,COUNTIFS('UX + Dev'!$AB$1:$DN$1,"&gt;="&amp;AR$1,'UX + Dev'!$AB$1:$DN$1,"&lt;="&amp;EOMONTH(AR$1,0),'UX + Dev'!$AB132:$DN132,"&lt;&gt;"))</f>
      </c>
      <c r="AS132">
        <f>IF($B132="",0,COUNTIFS('UX + Dev'!$AB$1:$DN$1,"&gt;="&amp;AS$1,'UX + Dev'!$AB$1:$DN$1,"&lt;="&amp;EOMONTH(AS$1,0),'UX + Dev'!$AB132:$DN132,"&lt;&gt;"))</f>
      </c>
      <c r="AT132">
        <f>IF($B132="",0,COUNTIFS('UX + Dev'!$AB$1:$DN$1,"&gt;="&amp;AT$1,'UX + Dev'!$AB$1:$DN$1,"&lt;="&amp;EOMONTH(AT$1,0),'UX + Dev'!$AB132:$DN132,"&lt;&gt;"))</f>
      </c>
      <c r="AU132">
        <f>IF($B132="",0,COUNTIFS('UX + Dev'!$AB$1:$DN$1,"&gt;="&amp;AU$1,'UX + Dev'!$AB$1:$DN$1,"&lt;="&amp;EOMONTH(AU$1,0),'UX + Dev'!$AB132:$DN132,"&lt;&gt;"))</f>
      </c>
      <c r="AV132">
        <f>IF($B132="",0,COUNTIFS('UX + Dev'!$AB$1:$DN$1,"&gt;="&amp;AV$1,'UX + Dev'!$AB$1:$DN$1,"&lt;="&amp;EOMONTH(AV$1,0),'UX + Dev'!$AB132:$DN132,"&lt;&gt;"))</f>
      </c>
      <c r="AW132">
        <f>IF($B132="",0,COUNTIFS('UX + Dev'!$AB$1:$DN$1,"&gt;="&amp;AW$1,'UX + Dev'!$AB$1:$DN$1,"&lt;="&amp;EOMONTH(AW$1,0),'UX + Dev'!$AB132:$DN132,"&lt;&gt;"))</f>
      </c>
      <c r="AX132">
        <f>IF($B132="",0,COUNTIFS('UX + Dev'!$AB$1:$DN$1,"&gt;="&amp;AX$1,'UX + Dev'!$AB$1:$DN$1,"&lt;="&amp;EOMONTH(AX$1,0),'UX + Dev'!$AB132:$DN132,"&lt;&gt;"))</f>
      </c>
      <c r="BB132" s="308">
        <f>IF($B132="","",IF(COUNTA('UX + Dev'!U132)&gt;0,DATE(YEAR('UX + Dev'!U132),MONTH('UX + Dev'!U132),1),IF(COUNTA('UX + Dev'!V132)&gt;0,DATE(YEAR('UX + Dev'!V132),MONTH('UX + Dev'!V132),1),"")))</f>
      </c>
      <c r="BC132" s="308">
        <f>IF($B132="","",IF(COUNTA('UX + Dev'!V132)&gt;0,EOMONTH('UX + Dev'!V132,0),IF(COUNTA('UX + Dev'!U132)&gt;0,EOMONTH('UX + Dev'!U132,0),"")))</f>
      </c>
    </row>
    <row r="133">
      <c r="A133" s="305" t="n">
        <v>133</v>
      </c>
      <c r="B133" s="305">
        <f>IF(TRIM('UX + Dev'!E133)="","",TRIM('UX + Dev'!E133))</f>
      </c>
      <c r="C133" s="305">
        <f>IF($B133="","",'UX + Dev'!B133)</f>
      </c>
      <c r="D133" s="305">
        <f>IF($B133="","",IF(TRIM('UX + Dev'!C133)="","(No theme assigned)",TRIM('UX + Dev'!C133)))</f>
      </c>
      <c r="E133" s="305">
        <f>IF($B133="","",TRIM('UX + Dev'!F133))</f>
      </c>
      <c r="F133" s="305">
        <f>IF($B133="","",'UX + Dev'!G133)</f>
      </c>
      <c r="G133" s="306">
        <f t="array" ref="G133">IF($B133="","",IF($T133=0,"",IFERROR(MIN(IF('UX + Dev'!$AB133:$DN133&lt;&gt;"",'UX + Dev'!$AB$1:$DN$1)),"")))</f>
      </c>
      <c r="H133" s="306">
        <f t="array" ref="H133">IF($B133="","",IF($T133=0,"",IFERROR(MAX(IF('UX + Dev'!$AB133:$DN133&lt;&gt;"",'UX + Dev'!$AB$1:$DN$1)),"")))</f>
      </c>
      <c r="I133" s="307">
        <f>IF($R133&lt;&gt;"",$R133,IF($S133&lt;&gt;"",$S133,""))</f>
      </c>
      <c r="J133" s="307">
        <f>IF($S133&lt;&gt;"",EOMONTH($S133,0),IF($R133&lt;&gt;"",EOMONTH($R133,0),""))</f>
      </c>
      <c r="K133" s="305">
        <f>IF($B133="","",IF(COUNTA('UX + Dev'!AA133)=0,"",TRIM('UX + Dev'!AA133)))</f>
      </c>
      <c r="L133" s="305">
        <f>IF($B133="","",IFERROR(MATCH($D133,Control!$E$4:$E$30,0),99))</f>
      </c>
      <c r="M133" s="305">
        <f>IF($B133="","",IFERROR(MATCH($F133,Control!$B$4:$B$30,0),99))</f>
      </c>
      <c r="N133" s="305">
        <f>IF($V133&lt;&gt;1,"",IF('Roadmap (Auto)'!$D$3="Status, then Theme",$M133*1000000+$L133*10000+ROW(),IF('Roadmap (Auto)'!$D$3="Dev start (earliest)",IF($I133="",99999999,$I133)*10000+ROW(),IF('Roadmap (Auto)'!$D$3="UX start (earliest)",IF($G133="",99999999,$G133)*10000+ROW(),IF('Roadmap (Auto)'!$D$3="Deliverable A-Z",$W133*10000+ROW(),$L133*1000000+$M133*10000+ROW())))))</f>
      </c>
      <c r="O133" s="305">
        <f>IF($N133="","",COUNTIF($N$2:$N$151,"&lt;"&amp;$N133)+1)</f>
      </c>
      <c r="P133" s="305">
        <f>IF($B133="","",IF(COUNTA('UX + Dev'!X133)=0,"",'UX + Dev'!X133))</f>
      </c>
      <c r="Q133" s="305">
        <f>IF($B133="","",IF(COUNTA('UX + Dev'!Y133)=0,"",'UX + Dev'!Y133))</f>
      </c>
      <c r="R133" s="307">
        <f>IF($P133="","",IF(ISNUMBER($P133),DATE(YEAR($P133),MONTH($P133),1),IFERROR(DATE(IFERROR(VALUE(RIGHT(TRIM($P133),4)),YEAR(TODAY())),(SEARCH(LEFT(TRIM($P133),3),"JanFebMarAprMayJunJulAugSepOctNovDec")+2)/3,1),"")))</f>
      </c>
      <c r="S133" s="307">
        <f>IF($Q133="","",IF(ISNUMBER($Q133),DATE(YEAR($Q133),MONTH($Q133),1),IFERROR(DATE(IFERROR(VALUE(RIGHT(TRIM($Q133),4)),YEAR(TODAY())),(SEARCH(LEFT(TRIM($Q133),3),"JanFebMarAprMayJunJulAugSepOctNovDec")+2)/3,1),"")))</f>
      </c>
      <c r="T133" s="305">
        <f>IF($B133="","",COUNTA('UX + Dev'!$AB133:$DN133))</f>
      </c>
      <c r="U133" s="305">
        <f>IF($B133="","",IFERROR(MATCH($D133,Control!$E$4:$E$30,0)+3,0))</f>
      </c>
      <c r="V133" s="305">
        <f>IF($B133="","",IF(AND(OR('Roadmap (Auto)'!$A$3="",'Roadmap (Auto)'!$A$3="(All)",ISNUMBER(SEARCH('Roadmap (Auto)'!$A$3,$C133&amp;""))),OR('Roadmap (Auto)'!$B$3="",'Roadmap (Auto)'!$B$3="(All)",$D133='Roadmap (Auto)'!$B$3,$X133='Roadmap (Auto)'!$B$3),OR('Roadmap (Auto)'!$C$3="",'Roadmap (Auto)'!$C$3="(All)",$F133='Roadmap (Auto)'!$C$3)),1,0))</f>
      </c>
      <c r="W133" s="305">
        <f>IF($B133="","",COUNTIF($Y$2:$Y$151,"&lt;"&amp;$Y133)+1)</f>
      </c>
      <c r="X133" s="305">
        <f>IF($B133="","",IF(TRIM('UX + Dev'!D133)="","",TRIM('UX + Dev'!D133)))</f>
      </c>
      <c r="Y133" s="305">
        <f>IF($B133="","",SUBSTITUTE(SUBSTITUTE(SUBSTITUTE(SUBSTITUTE(SUBSTITUTE(SUBSTITUTE(SUBSTITUTE(SUBSTITUTE(SUBSTITUTE(SUBSTITUTE(SUBSTITUTE(SUBSTITUTE(SUBSTITUTE(SUBSTITUTE(SUBSTITUTE(SUBSTITUTE(SUBSTITUTE(SUBSTITUTE(SUBSTITUTE(SUBSTITUTE(SUBSTITUTE(SUBSTITUTE(SUBSTITUTE(SUBSTITUTE(SUBSTITUTE(UPPER($B133)," ",""),"-",""),":",""),"/",""),"&amp;",""),"|",""),"'",""),"’",""),"&lt;",""),"&gt;",""),",",""),"$",""),".",""),"(",""),")",""),"*",""),"?",""),"~",""),"_",""),"+",""),"#",""),";",""),"!",""),"%",""),"@",""))</f>
      </c>
      <c r="AA133">
        <f>IF($B133="",0,COUNTIFS('UX + Dev'!$AB$1:$DN$1,"&gt;="&amp;AA$1,'UX + Dev'!$AB$1:$DN$1,"&lt;="&amp;EOMONTH(AA$1,0),'UX + Dev'!$AB133:$DN133,"&lt;&gt;"))</f>
      </c>
      <c r="AB133">
        <f>IF($B133="",0,COUNTIFS('UX + Dev'!$AB$1:$DN$1,"&gt;="&amp;AB$1,'UX + Dev'!$AB$1:$DN$1,"&lt;="&amp;EOMONTH(AB$1,0),'UX + Dev'!$AB133:$DN133,"&lt;&gt;"))</f>
      </c>
      <c r="AC133">
        <f>IF($B133="",0,COUNTIFS('UX + Dev'!$AB$1:$DN$1,"&gt;="&amp;AC$1,'UX + Dev'!$AB$1:$DN$1,"&lt;="&amp;EOMONTH(AC$1,0),'UX + Dev'!$AB133:$DN133,"&lt;&gt;"))</f>
      </c>
      <c r="AD133">
        <f>IF($B133="",0,COUNTIFS('UX + Dev'!$AB$1:$DN$1,"&gt;="&amp;AD$1,'UX + Dev'!$AB$1:$DN$1,"&lt;="&amp;EOMONTH(AD$1,0),'UX + Dev'!$AB133:$DN133,"&lt;&gt;"))</f>
      </c>
      <c r="AE133">
        <f>IF($B133="",0,COUNTIFS('UX + Dev'!$AB$1:$DN$1,"&gt;="&amp;AE$1,'UX + Dev'!$AB$1:$DN$1,"&lt;="&amp;EOMONTH(AE$1,0),'UX + Dev'!$AB133:$DN133,"&lt;&gt;"))</f>
      </c>
      <c r="AF133">
        <f>IF($B133="",0,COUNTIFS('UX + Dev'!$AB$1:$DN$1,"&gt;="&amp;AF$1,'UX + Dev'!$AB$1:$DN$1,"&lt;="&amp;EOMONTH(AF$1,0),'UX + Dev'!$AB133:$DN133,"&lt;&gt;"))</f>
      </c>
      <c r="AG133">
        <f>IF($B133="",0,COUNTIFS('UX + Dev'!$AB$1:$DN$1,"&gt;="&amp;AG$1,'UX + Dev'!$AB$1:$DN$1,"&lt;="&amp;EOMONTH(AG$1,0),'UX + Dev'!$AB133:$DN133,"&lt;&gt;"))</f>
      </c>
      <c r="AH133">
        <f>IF($B133="",0,COUNTIFS('UX + Dev'!$AB$1:$DN$1,"&gt;="&amp;AH$1,'UX + Dev'!$AB$1:$DN$1,"&lt;="&amp;EOMONTH(AH$1,0),'UX + Dev'!$AB133:$DN133,"&lt;&gt;"))</f>
      </c>
      <c r="AI133">
        <f>IF($B133="",0,COUNTIFS('UX + Dev'!$AB$1:$DN$1,"&gt;="&amp;AI$1,'UX + Dev'!$AB$1:$DN$1,"&lt;="&amp;EOMONTH(AI$1,0),'UX + Dev'!$AB133:$DN133,"&lt;&gt;"))</f>
      </c>
      <c r="AJ133">
        <f>IF($B133="",0,COUNTIFS('UX + Dev'!$AB$1:$DN$1,"&gt;="&amp;AJ$1,'UX + Dev'!$AB$1:$DN$1,"&lt;="&amp;EOMONTH(AJ$1,0),'UX + Dev'!$AB133:$DN133,"&lt;&gt;"))</f>
      </c>
      <c r="AK133">
        <f>IF($B133="",0,COUNTIFS('UX + Dev'!$AB$1:$DN$1,"&gt;="&amp;AK$1,'UX + Dev'!$AB$1:$DN$1,"&lt;="&amp;EOMONTH(AK$1,0),'UX + Dev'!$AB133:$DN133,"&lt;&gt;"))</f>
      </c>
      <c r="AL133">
        <f>IF($B133="",0,COUNTIFS('UX + Dev'!$AB$1:$DN$1,"&gt;="&amp;AL$1,'UX + Dev'!$AB$1:$DN$1,"&lt;="&amp;EOMONTH(AL$1,0),'UX + Dev'!$AB133:$DN133,"&lt;&gt;"))</f>
      </c>
      <c r="AM133">
        <f>IF($B133="",0,COUNTIFS('UX + Dev'!$AB$1:$DN$1,"&gt;="&amp;AM$1,'UX + Dev'!$AB$1:$DN$1,"&lt;="&amp;EOMONTH(AM$1,0),'UX + Dev'!$AB133:$DN133,"&lt;&gt;"))</f>
      </c>
      <c r="AN133">
        <f>IF($B133="",0,COUNTIFS('UX + Dev'!$AB$1:$DN$1,"&gt;="&amp;AN$1,'UX + Dev'!$AB$1:$DN$1,"&lt;="&amp;EOMONTH(AN$1,0),'UX + Dev'!$AB133:$DN133,"&lt;&gt;"))</f>
      </c>
      <c r="AO133">
        <f>IF($B133="",0,COUNTIFS('UX + Dev'!$AB$1:$DN$1,"&gt;="&amp;AO$1,'UX + Dev'!$AB$1:$DN$1,"&lt;="&amp;EOMONTH(AO$1,0),'UX + Dev'!$AB133:$DN133,"&lt;&gt;"))</f>
      </c>
      <c r="AP133">
        <f>IF($B133="",0,COUNTIFS('UX + Dev'!$AB$1:$DN$1,"&gt;="&amp;AP$1,'UX + Dev'!$AB$1:$DN$1,"&lt;="&amp;EOMONTH(AP$1,0),'UX + Dev'!$AB133:$DN133,"&lt;&gt;"))</f>
      </c>
      <c r="AQ133">
        <f>IF($B133="",0,COUNTIFS('UX + Dev'!$AB$1:$DN$1,"&gt;="&amp;AQ$1,'UX + Dev'!$AB$1:$DN$1,"&lt;="&amp;EOMONTH(AQ$1,0),'UX + Dev'!$AB133:$DN133,"&lt;&gt;"))</f>
      </c>
      <c r="AR133">
        <f>IF($B133="",0,COUNTIFS('UX + Dev'!$AB$1:$DN$1,"&gt;="&amp;AR$1,'UX + Dev'!$AB$1:$DN$1,"&lt;="&amp;EOMONTH(AR$1,0),'UX + Dev'!$AB133:$DN133,"&lt;&gt;"))</f>
      </c>
      <c r="AS133">
        <f>IF($B133="",0,COUNTIFS('UX + Dev'!$AB$1:$DN$1,"&gt;="&amp;AS$1,'UX + Dev'!$AB$1:$DN$1,"&lt;="&amp;EOMONTH(AS$1,0),'UX + Dev'!$AB133:$DN133,"&lt;&gt;"))</f>
      </c>
      <c r="AT133">
        <f>IF($B133="",0,COUNTIFS('UX + Dev'!$AB$1:$DN$1,"&gt;="&amp;AT$1,'UX + Dev'!$AB$1:$DN$1,"&lt;="&amp;EOMONTH(AT$1,0),'UX + Dev'!$AB133:$DN133,"&lt;&gt;"))</f>
      </c>
      <c r="AU133">
        <f>IF($B133="",0,COUNTIFS('UX + Dev'!$AB$1:$DN$1,"&gt;="&amp;AU$1,'UX + Dev'!$AB$1:$DN$1,"&lt;="&amp;EOMONTH(AU$1,0),'UX + Dev'!$AB133:$DN133,"&lt;&gt;"))</f>
      </c>
      <c r="AV133">
        <f>IF($B133="",0,COUNTIFS('UX + Dev'!$AB$1:$DN$1,"&gt;="&amp;AV$1,'UX + Dev'!$AB$1:$DN$1,"&lt;="&amp;EOMONTH(AV$1,0),'UX + Dev'!$AB133:$DN133,"&lt;&gt;"))</f>
      </c>
      <c r="AW133">
        <f>IF($B133="",0,COUNTIFS('UX + Dev'!$AB$1:$DN$1,"&gt;="&amp;AW$1,'UX + Dev'!$AB$1:$DN$1,"&lt;="&amp;EOMONTH(AW$1,0),'UX + Dev'!$AB133:$DN133,"&lt;&gt;"))</f>
      </c>
      <c r="AX133">
        <f>IF($B133="",0,COUNTIFS('UX + Dev'!$AB$1:$DN$1,"&gt;="&amp;AX$1,'UX + Dev'!$AB$1:$DN$1,"&lt;="&amp;EOMONTH(AX$1,0),'UX + Dev'!$AB133:$DN133,"&lt;&gt;"))</f>
      </c>
      <c r="BB133" s="308">
        <f>IF($B133="","",IF(COUNTA('UX + Dev'!U133)&gt;0,DATE(YEAR('UX + Dev'!U133),MONTH('UX + Dev'!U133),1),IF(COUNTA('UX + Dev'!V133)&gt;0,DATE(YEAR('UX + Dev'!V133),MONTH('UX + Dev'!V133),1),"")))</f>
      </c>
      <c r="BC133" s="308">
        <f>IF($B133="","",IF(COUNTA('UX + Dev'!V133)&gt;0,EOMONTH('UX + Dev'!V133,0),IF(COUNTA('UX + Dev'!U133)&gt;0,EOMONTH('UX + Dev'!U133,0),"")))</f>
      </c>
    </row>
    <row r="134">
      <c r="A134" s="305" t="n">
        <v>134</v>
      </c>
      <c r="B134" s="305">
        <f>IF(TRIM('UX + Dev'!E134)="","",TRIM('UX + Dev'!E134))</f>
      </c>
      <c r="C134" s="305">
        <f>IF($B134="","",'UX + Dev'!B134)</f>
      </c>
      <c r="D134" s="305">
        <f>IF($B134="","",IF(TRIM('UX + Dev'!C134)="","(No theme assigned)",TRIM('UX + Dev'!C134)))</f>
      </c>
      <c r="E134" s="305">
        <f>IF($B134="","",TRIM('UX + Dev'!F134))</f>
      </c>
      <c r="F134" s="305">
        <f>IF($B134="","",'UX + Dev'!G134)</f>
      </c>
      <c r="G134" s="306">
        <f t="array" ref="G134">IF($B134="","",IF($T134=0,"",IFERROR(MIN(IF('UX + Dev'!$AB134:$DN134&lt;&gt;"",'UX + Dev'!$AB$1:$DN$1)),"")))</f>
      </c>
      <c r="H134" s="306">
        <f t="array" ref="H134">IF($B134="","",IF($T134=0,"",IFERROR(MAX(IF('UX + Dev'!$AB134:$DN134&lt;&gt;"",'UX + Dev'!$AB$1:$DN$1)),"")))</f>
      </c>
      <c r="I134" s="307">
        <f>IF($R134&lt;&gt;"",$R134,IF($S134&lt;&gt;"",$S134,""))</f>
      </c>
      <c r="J134" s="307">
        <f>IF($S134&lt;&gt;"",EOMONTH($S134,0),IF($R134&lt;&gt;"",EOMONTH($R134,0),""))</f>
      </c>
      <c r="K134" s="305">
        <f>IF($B134="","",IF(COUNTA('UX + Dev'!AA134)=0,"",TRIM('UX + Dev'!AA134)))</f>
      </c>
      <c r="L134" s="305">
        <f>IF($B134="","",IFERROR(MATCH($D134,Control!$E$4:$E$30,0),99))</f>
      </c>
      <c r="M134" s="305">
        <f>IF($B134="","",IFERROR(MATCH($F134,Control!$B$4:$B$30,0),99))</f>
      </c>
      <c r="N134" s="305">
        <f>IF($V134&lt;&gt;1,"",IF('Roadmap (Auto)'!$D$3="Status, then Theme",$M134*1000000+$L134*10000+ROW(),IF('Roadmap (Auto)'!$D$3="Dev start (earliest)",IF($I134="",99999999,$I134)*10000+ROW(),IF('Roadmap (Auto)'!$D$3="UX start (earliest)",IF($G134="",99999999,$G134)*10000+ROW(),IF('Roadmap (Auto)'!$D$3="Deliverable A-Z",$W134*10000+ROW(),$L134*1000000+$M134*10000+ROW())))))</f>
      </c>
      <c r="O134" s="305">
        <f>IF($N134="","",COUNTIF($N$2:$N$151,"&lt;"&amp;$N134)+1)</f>
      </c>
      <c r="P134" s="305">
        <f>IF($B134="","",IF(COUNTA('UX + Dev'!X134)=0,"",'UX + Dev'!X134))</f>
      </c>
      <c r="Q134" s="305">
        <f>IF($B134="","",IF(COUNTA('UX + Dev'!Y134)=0,"",'UX + Dev'!Y134))</f>
      </c>
      <c r="R134" s="307">
        <f>IF($P134="","",IF(ISNUMBER($P134),DATE(YEAR($P134),MONTH($P134),1),IFERROR(DATE(IFERROR(VALUE(RIGHT(TRIM($P134),4)),YEAR(TODAY())),(SEARCH(LEFT(TRIM($P134),3),"JanFebMarAprMayJunJulAugSepOctNovDec")+2)/3,1),"")))</f>
      </c>
      <c r="S134" s="307">
        <f>IF($Q134="","",IF(ISNUMBER($Q134),DATE(YEAR($Q134),MONTH($Q134),1),IFERROR(DATE(IFERROR(VALUE(RIGHT(TRIM($Q134),4)),YEAR(TODAY())),(SEARCH(LEFT(TRIM($Q134),3),"JanFebMarAprMayJunJulAugSepOctNovDec")+2)/3,1),"")))</f>
      </c>
      <c r="T134" s="305">
        <f>IF($B134="","",COUNTA('UX + Dev'!$AB134:$DN134))</f>
      </c>
      <c r="U134" s="305">
        <f>IF($B134="","",IFERROR(MATCH($D134,Control!$E$4:$E$30,0)+3,0))</f>
      </c>
      <c r="V134" s="305">
        <f>IF($B134="","",IF(AND(OR('Roadmap (Auto)'!$A$3="",'Roadmap (Auto)'!$A$3="(All)",ISNUMBER(SEARCH('Roadmap (Auto)'!$A$3,$C134&amp;""))),OR('Roadmap (Auto)'!$B$3="",'Roadmap (Auto)'!$B$3="(All)",$D134='Roadmap (Auto)'!$B$3,$X134='Roadmap (Auto)'!$B$3),OR('Roadmap (Auto)'!$C$3="",'Roadmap (Auto)'!$C$3="(All)",$F134='Roadmap (Auto)'!$C$3)),1,0))</f>
      </c>
      <c r="W134" s="305">
        <f>IF($B134="","",COUNTIF($Y$2:$Y$151,"&lt;"&amp;$Y134)+1)</f>
      </c>
      <c r="X134" s="305">
        <f>IF($B134="","",IF(TRIM('UX + Dev'!D134)="","",TRIM('UX + Dev'!D134)))</f>
      </c>
      <c r="Y134" s="305">
        <f>IF($B134="","",SUBSTITUTE(SUBSTITUTE(SUBSTITUTE(SUBSTITUTE(SUBSTITUTE(SUBSTITUTE(SUBSTITUTE(SUBSTITUTE(SUBSTITUTE(SUBSTITUTE(SUBSTITUTE(SUBSTITUTE(SUBSTITUTE(SUBSTITUTE(SUBSTITUTE(SUBSTITUTE(SUBSTITUTE(SUBSTITUTE(SUBSTITUTE(SUBSTITUTE(SUBSTITUTE(SUBSTITUTE(SUBSTITUTE(SUBSTITUTE(SUBSTITUTE(UPPER($B134)," ",""),"-",""),":",""),"/",""),"&amp;",""),"|",""),"'",""),"’",""),"&lt;",""),"&gt;",""),",",""),"$",""),".",""),"(",""),")",""),"*",""),"?",""),"~",""),"_",""),"+",""),"#",""),";",""),"!",""),"%",""),"@",""))</f>
      </c>
      <c r="AA134">
        <f>IF($B134="",0,COUNTIFS('UX + Dev'!$AB$1:$DN$1,"&gt;="&amp;AA$1,'UX + Dev'!$AB$1:$DN$1,"&lt;="&amp;EOMONTH(AA$1,0),'UX + Dev'!$AB134:$DN134,"&lt;&gt;"))</f>
      </c>
      <c r="AB134">
        <f>IF($B134="",0,COUNTIFS('UX + Dev'!$AB$1:$DN$1,"&gt;="&amp;AB$1,'UX + Dev'!$AB$1:$DN$1,"&lt;="&amp;EOMONTH(AB$1,0),'UX + Dev'!$AB134:$DN134,"&lt;&gt;"))</f>
      </c>
      <c r="AC134">
        <f>IF($B134="",0,COUNTIFS('UX + Dev'!$AB$1:$DN$1,"&gt;="&amp;AC$1,'UX + Dev'!$AB$1:$DN$1,"&lt;="&amp;EOMONTH(AC$1,0),'UX + Dev'!$AB134:$DN134,"&lt;&gt;"))</f>
      </c>
      <c r="AD134">
        <f>IF($B134="",0,COUNTIFS('UX + Dev'!$AB$1:$DN$1,"&gt;="&amp;AD$1,'UX + Dev'!$AB$1:$DN$1,"&lt;="&amp;EOMONTH(AD$1,0),'UX + Dev'!$AB134:$DN134,"&lt;&gt;"))</f>
      </c>
      <c r="AE134">
        <f>IF($B134="",0,COUNTIFS('UX + Dev'!$AB$1:$DN$1,"&gt;="&amp;AE$1,'UX + Dev'!$AB$1:$DN$1,"&lt;="&amp;EOMONTH(AE$1,0),'UX + Dev'!$AB134:$DN134,"&lt;&gt;"))</f>
      </c>
      <c r="AF134">
        <f>IF($B134="",0,COUNTIFS('UX + Dev'!$AB$1:$DN$1,"&gt;="&amp;AF$1,'UX + Dev'!$AB$1:$DN$1,"&lt;="&amp;EOMONTH(AF$1,0),'UX + Dev'!$AB134:$DN134,"&lt;&gt;"))</f>
      </c>
      <c r="AG134">
        <f>IF($B134="",0,COUNTIFS('UX + Dev'!$AB$1:$DN$1,"&gt;="&amp;AG$1,'UX + Dev'!$AB$1:$DN$1,"&lt;="&amp;EOMONTH(AG$1,0),'UX + Dev'!$AB134:$DN134,"&lt;&gt;"))</f>
      </c>
      <c r="AH134">
        <f>IF($B134="",0,COUNTIFS('UX + Dev'!$AB$1:$DN$1,"&gt;="&amp;AH$1,'UX + Dev'!$AB$1:$DN$1,"&lt;="&amp;EOMONTH(AH$1,0),'UX + Dev'!$AB134:$DN134,"&lt;&gt;"))</f>
      </c>
      <c r="AI134">
        <f>IF($B134="",0,COUNTIFS('UX + Dev'!$AB$1:$DN$1,"&gt;="&amp;AI$1,'UX + Dev'!$AB$1:$DN$1,"&lt;="&amp;EOMONTH(AI$1,0),'UX + Dev'!$AB134:$DN134,"&lt;&gt;"))</f>
      </c>
      <c r="AJ134">
        <f>IF($B134="",0,COUNTIFS('UX + Dev'!$AB$1:$DN$1,"&gt;="&amp;AJ$1,'UX + Dev'!$AB$1:$DN$1,"&lt;="&amp;EOMONTH(AJ$1,0),'UX + Dev'!$AB134:$DN134,"&lt;&gt;"))</f>
      </c>
      <c r="AK134">
        <f>IF($B134="",0,COUNTIFS('UX + Dev'!$AB$1:$DN$1,"&gt;="&amp;AK$1,'UX + Dev'!$AB$1:$DN$1,"&lt;="&amp;EOMONTH(AK$1,0),'UX + Dev'!$AB134:$DN134,"&lt;&gt;"))</f>
      </c>
      <c r="AL134">
        <f>IF($B134="",0,COUNTIFS('UX + Dev'!$AB$1:$DN$1,"&gt;="&amp;AL$1,'UX + Dev'!$AB$1:$DN$1,"&lt;="&amp;EOMONTH(AL$1,0),'UX + Dev'!$AB134:$DN134,"&lt;&gt;"))</f>
      </c>
      <c r="AM134">
        <f>IF($B134="",0,COUNTIFS('UX + Dev'!$AB$1:$DN$1,"&gt;="&amp;AM$1,'UX + Dev'!$AB$1:$DN$1,"&lt;="&amp;EOMONTH(AM$1,0),'UX + Dev'!$AB134:$DN134,"&lt;&gt;"))</f>
      </c>
      <c r="AN134">
        <f>IF($B134="",0,COUNTIFS('UX + Dev'!$AB$1:$DN$1,"&gt;="&amp;AN$1,'UX + Dev'!$AB$1:$DN$1,"&lt;="&amp;EOMONTH(AN$1,0),'UX + Dev'!$AB134:$DN134,"&lt;&gt;"))</f>
      </c>
      <c r="AO134">
        <f>IF($B134="",0,COUNTIFS('UX + Dev'!$AB$1:$DN$1,"&gt;="&amp;AO$1,'UX + Dev'!$AB$1:$DN$1,"&lt;="&amp;EOMONTH(AO$1,0),'UX + Dev'!$AB134:$DN134,"&lt;&gt;"))</f>
      </c>
      <c r="AP134">
        <f>IF($B134="",0,COUNTIFS('UX + Dev'!$AB$1:$DN$1,"&gt;="&amp;AP$1,'UX + Dev'!$AB$1:$DN$1,"&lt;="&amp;EOMONTH(AP$1,0),'UX + Dev'!$AB134:$DN134,"&lt;&gt;"))</f>
      </c>
      <c r="AQ134">
        <f>IF($B134="",0,COUNTIFS('UX + Dev'!$AB$1:$DN$1,"&gt;="&amp;AQ$1,'UX + Dev'!$AB$1:$DN$1,"&lt;="&amp;EOMONTH(AQ$1,0),'UX + Dev'!$AB134:$DN134,"&lt;&gt;"))</f>
      </c>
      <c r="AR134">
        <f>IF($B134="",0,COUNTIFS('UX + Dev'!$AB$1:$DN$1,"&gt;="&amp;AR$1,'UX + Dev'!$AB$1:$DN$1,"&lt;="&amp;EOMONTH(AR$1,0),'UX + Dev'!$AB134:$DN134,"&lt;&gt;"))</f>
      </c>
      <c r="AS134">
        <f>IF($B134="",0,COUNTIFS('UX + Dev'!$AB$1:$DN$1,"&gt;="&amp;AS$1,'UX + Dev'!$AB$1:$DN$1,"&lt;="&amp;EOMONTH(AS$1,0),'UX + Dev'!$AB134:$DN134,"&lt;&gt;"))</f>
      </c>
      <c r="AT134">
        <f>IF($B134="",0,COUNTIFS('UX + Dev'!$AB$1:$DN$1,"&gt;="&amp;AT$1,'UX + Dev'!$AB$1:$DN$1,"&lt;="&amp;EOMONTH(AT$1,0),'UX + Dev'!$AB134:$DN134,"&lt;&gt;"))</f>
      </c>
      <c r="AU134">
        <f>IF($B134="",0,COUNTIFS('UX + Dev'!$AB$1:$DN$1,"&gt;="&amp;AU$1,'UX + Dev'!$AB$1:$DN$1,"&lt;="&amp;EOMONTH(AU$1,0),'UX + Dev'!$AB134:$DN134,"&lt;&gt;"))</f>
      </c>
      <c r="AV134">
        <f>IF($B134="",0,COUNTIFS('UX + Dev'!$AB$1:$DN$1,"&gt;="&amp;AV$1,'UX + Dev'!$AB$1:$DN$1,"&lt;="&amp;EOMONTH(AV$1,0),'UX + Dev'!$AB134:$DN134,"&lt;&gt;"))</f>
      </c>
      <c r="AW134">
        <f>IF($B134="",0,COUNTIFS('UX + Dev'!$AB$1:$DN$1,"&gt;="&amp;AW$1,'UX + Dev'!$AB$1:$DN$1,"&lt;="&amp;EOMONTH(AW$1,0),'UX + Dev'!$AB134:$DN134,"&lt;&gt;"))</f>
      </c>
      <c r="AX134">
        <f>IF($B134="",0,COUNTIFS('UX + Dev'!$AB$1:$DN$1,"&gt;="&amp;AX$1,'UX + Dev'!$AB$1:$DN$1,"&lt;="&amp;EOMONTH(AX$1,0),'UX + Dev'!$AB134:$DN134,"&lt;&gt;"))</f>
      </c>
      <c r="BB134" s="308">
        <f>IF($B134="","",IF(COUNTA('UX + Dev'!U134)&gt;0,DATE(YEAR('UX + Dev'!U134),MONTH('UX + Dev'!U134),1),IF(COUNTA('UX + Dev'!V134)&gt;0,DATE(YEAR('UX + Dev'!V134),MONTH('UX + Dev'!V134),1),"")))</f>
      </c>
      <c r="BC134" s="308">
        <f>IF($B134="","",IF(COUNTA('UX + Dev'!V134)&gt;0,EOMONTH('UX + Dev'!V134,0),IF(COUNTA('UX + Dev'!U134)&gt;0,EOMONTH('UX + Dev'!U134,0),"")))</f>
      </c>
    </row>
    <row r="135">
      <c r="A135" s="305" t="n">
        <v>135</v>
      </c>
      <c r="B135" s="305">
        <f>IF(TRIM('UX + Dev'!E135)="","",TRIM('UX + Dev'!E135))</f>
      </c>
      <c r="C135" s="305">
        <f>IF($B135="","",'UX + Dev'!B135)</f>
      </c>
      <c r="D135" s="305">
        <f>IF($B135="","",IF(TRIM('UX + Dev'!C135)="","(No theme assigned)",TRIM('UX + Dev'!C135)))</f>
      </c>
      <c r="E135" s="305">
        <f>IF($B135="","",TRIM('UX + Dev'!F135))</f>
      </c>
      <c r="F135" s="305">
        <f>IF($B135="","",'UX + Dev'!G135)</f>
      </c>
      <c r="G135" s="306">
        <f t="array" ref="G135">IF($B135="","",IF($T135=0,"",IFERROR(MIN(IF('UX + Dev'!$AB135:$DN135&lt;&gt;"",'UX + Dev'!$AB$1:$DN$1)),"")))</f>
      </c>
      <c r="H135" s="306">
        <f t="array" ref="H135">IF($B135="","",IF($T135=0,"",IFERROR(MAX(IF('UX + Dev'!$AB135:$DN135&lt;&gt;"",'UX + Dev'!$AB$1:$DN$1)),"")))</f>
      </c>
      <c r="I135" s="307">
        <f>IF($R135&lt;&gt;"",$R135,IF($S135&lt;&gt;"",$S135,""))</f>
      </c>
      <c r="J135" s="307">
        <f>IF($S135&lt;&gt;"",EOMONTH($S135,0),IF($R135&lt;&gt;"",EOMONTH($R135,0),""))</f>
      </c>
      <c r="K135" s="305">
        <f>IF($B135="","",IF(COUNTA('UX + Dev'!AA135)=0,"",TRIM('UX + Dev'!AA135)))</f>
      </c>
      <c r="L135" s="305">
        <f>IF($B135="","",IFERROR(MATCH($D135,Control!$E$4:$E$30,0),99))</f>
      </c>
      <c r="M135" s="305">
        <f>IF($B135="","",IFERROR(MATCH($F135,Control!$B$4:$B$30,0),99))</f>
      </c>
      <c r="N135" s="305">
        <f>IF($V135&lt;&gt;1,"",IF('Roadmap (Auto)'!$D$3="Status, then Theme",$M135*1000000+$L135*10000+ROW(),IF('Roadmap (Auto)'!$D$3="Dev start (earliest)",IF($I135="",99999999,$I135)*10000+ROW(),IF('Roadmap (Auto)'!$D$3="UX start (earliest)",IF($G135="",99999999,$G135)*10000+ROW(),IF('Roadmap (Auto)'!$D$3="Deliverable A-Z",$W135*10000+ROW(),$L135*1000000+$M135*10000+ROW())))))</f>
      </c>
      <c r="O135" s="305">
        <f>IF($N135="","",COUNTIF($N$2:$N$151,"&lt;"&amp;$N135)+1)</f>
      </c>
      <c r="P135" s="305">
        <f>IF($B135="","",IF(COUNTA('UX + Dev'!X135)=0,"",'UX + Dev'!X135))</f>
      </c>
      <c r="Q135" s="305">
        <f>IF($B135="","",IF(COUNTA('UX + Dev'!Y135)=0,"",'UX + Dev'!Y135))</f>
      </c>
      <c r="R135" s="307">
        <f>IF($P135="","",IF(ISNUMBER($P135),DATE(YEAR($P135),MONTH($P135),1),IFERROR(DATE(IFERROR(VALUE(RIGHT(TRIM($P135),4)),YEAR(TODAY())),(SEARCH(LEFT(TRIM($P135),3),"JanFebMarAprMayJunJulAugSepOctNovDec")+2)/3,1),"")))</f>
      </c>
      <c r="S135" s="307">
        <f>IF($Q135="","",IF(ISNUMBER($Q135),DATE(YEAR($Q135),MONTH($Q135),1),IFERROR(DATE(IFERROR(VALUE(RIGHT(TRIM($Q135),4)),YEAR(TODAY())),(SEARCH(LEFT(TRIM($Q135),3),"JanFebMarAprMayJunJulAugSepOctNovDec")+2)/3,1),"")))</f>
      </c>
      <c r="T135" s="305">
        <f>IF($B135="","",COUNTA('UX + Dev'!$AB135:$DN135))</f>
      </c>
      <c r="U135" s="305">
        <f>IF($B135="","",IFERROR(MATCH($D135,Control!$E$4:$E$30,0)+3,0))</f>
      </c>
      <c r="V135" s="305">
        <f>IF($B135="","",IF(AND(OR('Roadmap (Auto)'!$A$3="",'Roadmap (Auto)'!$A$3="(All)",ISNUMBER(SEARCH('Roadmap (Auto)'!$A$3,$C135&amp;""))),OR('Roadmap (Auto)'!$B$3="",'Roadmap (Auto)'!$B$3="(All)",$D135='Roadmap (Auto)'!$B$3,$X135='Roadmap (Auto)'!$B$3),OR('Roadmap (Auto)'!$C$3="",'Roadmap (Auto)'!$C$3="(All)",$F135='Roadmap (Auto)'!$C$3)),1,0))</f>
      </c>
      <c r="W135" s="305">
        <f>IF($B135="","",COUNTIF($Y$2:$Y$151,"&lt;"&amp;$Y135)+1)</f>
      </c>
      <c r="X135" s="305">
        <f>IF($B135="","",IF(TRIM('UX + Dev'!D135)="","",TRIM('UX + Dev'!D135)))</f>
      </c>
      <c r="Y135" s="305">
        <f>IF($B135="","",SUBSTITUTE(SUBSTITUTE(SUBSTITUTE(SUBSTITUTE(SUBSTITUTE(SUBSTITUTE(SUBSTITUTE(SUBSTITUTE(SUBSTITUTE(SUBSTITUTE(SUBSTITUTE(SUBSTITUTE(SUBSTITUTE(SUBSTITUTE(SUBSTITUTE(SUBSTITUTE(SUBSTITUTE(SUBSTITUTE(SUBSTITUTE(SUBSTITUTE(SUBSTITUTE(SUBSTITUTE(SUBSTITUTE(SUBSTITUTE(SUBSTITUTE(UPPER($B135)," ",""),"-",""),":",""),"/",""),"&amp;",""),"|",""),"'",""),"’",""),"&lt;",""),"&gt;",""),",",""),"$",""),".",""),"(",""),")",""),"*",""),"?",""),"~",""),"_",""),"+",""),"#",""),";",""),"!",""),"%",""),"@",""))</f>
      </c>
      <c r="AA135">
        <f>IF($B135="",0,COUNTIFS('UX + Dev'!$AB$1:$DN$1,"&gt;="&amp;AA$1,'UX + Dev'!$AB$1:$DN$1,"&lt;="&amp;EOMONTH(AA$1,0),'UX + Dev'!$AB135:$DN135,"&lt;&gt;"))</f>
      </c>
      <c r="AB135">
        <f>IF($B135="",0,COUNTIFS('UX + Dev'!$AB$1:$DN$1,"&gt;="&amp;AB$1,'UX + Dev'!$AB$1:$DN$1,"&lt;="&amp;EOMONTH(AB$1,0),'UX + Dev'!$AB135:$DN135,"&lt;&gt;"))</f>
      </c>
      <c r="AC135">
        <f>IF($B135="",0,COUNTIFS('UX + Dev'!$AB$1:$DN$1,"&gt;="&amp;AC$1,'UX + Dev'!$AB$1:$DN$1,"&lt;="&amp;EOMONTH(AC$1,0),'UX + Dev'!$AB135:$DN135,"&lt;&gt;"))</f>
      </c>
      <c r="AD135">
        <f>IF($B135="",0,COUNTIFS('UX + Dev'!$AB$1:$DN$1,"&gt;="&amp;AD$1,'UX + Dev'!$AB$1:$DN$1,"&lt;="&amp;EOMONTH(AD$1,0),'UX + Dev'!$AB135:$DN135,"&lt;&gt;"))</f>
      </c>
      <c r="AE135">
        <f>IF($B135="",0,COUNTIFS('UX + Dev'!$AB$1:$DN$1,"&gt;="&amp;AE$1,'UX + Dev'!$AB$1:$DN$1,"&lt;="&amp;EOMONTH(AE$1,0),'UX + Dev'!$AB135:$DN135,"&lt;&gt;"))</f>
      </c>
      <c r="AF135">
        <f>IF($B135="",0,COUNTIFS('UX + Dev'!$AB$1:$DN$1,"&gt;="&amp;AF$1,'UX + Dev'!$AB$1:$DN$1,"&lt;="&amp;EOMONTH(AF$1,0),'UX + Dev'!$AB135:$DN135,"&lt;&gt;"))</f>
      </c>
      <c r="AG135">
        <f>IF($B135="",0,COUNTIFS('UX + Dev'!$AB$1:$DN$1,"&gt;="&amp;AG$1,'UX + Dev'!$AB$1:$DN$1,"&lt;="&amp;EOMONTH(AG$1,0),'UX + Dev'!$AB135:$DN135,"&lt;&gt;"))</f>
      </c>
      <c r="AH135">
        <f>IF($B135="",0,COUNTIFS('UX + Dev'!$AB$1:$DN$1,"&gt;="&amp;AH$1,'UX + Dev'!$AB$1:$DN$1,"&lt;="&amp;EOMONTH(AH$1,0),'UX + Dev'!$AB135:$DN135,"&lt;&gt;"))</f>
      </c>
      <c r="AI135">
        <f>IF($B135="",0,COUNTIFS('UX + Dev'!$AB$1:$DN$1,"&gt;="&amp;AI$1,'UX + Dev'!$AB$1:$DN$1,"&lt;="&amp;EOMONTH(AI$1,0),'UX + Dev'!$AB135:$DN135,"&lt;&gt;"))</f>
      </c>
      <c r="AJ135">
        <f>IF($B135="",0,COUNTIFS('UX + Dev'!$AB$1:$DN$1,"&gt;="&amp;AJ$1,'UX + Dev'!$AB$1:$DN$1,"&lt;="&amp;EOMONTH(AJ$1,0),'UX + Dev'!$AB135:$DN135,"&lt;&gt;"))</f>
      </c>
      <c r="AK135">
        <f>IF($B135="",0,COUNTIFS('UX + Dev'!$AB$1:$DN$1,"&gt;="&amp;AK$1,'UX + Dev'!$AB$1:$DN$1,"&lt;="&amp;EOMONTH(AK$1,0),'UX + Dev'!$AB135:$DN135,"&lt;&gt;"))</f>
      </c>
      <c r="AL135">
        <f>IF($B135="",0,COUNTIFS('UX + Dev'!$AB$1:$DN$1,"&gt;="&amp;AL$1,'UX + Dev'!$AB$1:$DN$1,"&lt;="&amp;EOMONTH(AL$1,0),'UX + Dev'!$AB135:$DN135,"&lt;&gt;"))</f>
      </c>
      <c r="AM135">
        <f>IF($B135="",0,COUNTIFS('UX + Dev'!$AB$1:$DN$1,"&gt;="&amp;AM$1,'UX + Dev'!$AB$1:$DN$1,"&lt;="&amp;EOMONTH(AM$1,0),'UX + Dev'!$AB135:$DN135,"&lt;&gt;"))</f>
      </c>
      <c r="AN135">
        <f>IF($B135="",0,COUNTIFS('UX + Dev'!$AB$1:$DN$1,"&gt;="&amp;AN$1,'UX + Dev'!$AB$1:$DN$1,"&lt;="&amp;EOMONTH(AN$1,0),'UX + Dev'!$AB135:$DN135,"&lt;&gt;"))</f>
      </c>
      <c r="AO135">
        <f>IF($B135="",0,COUNTIFS('UX + Dev'!$AB$1:$DN$1,"&gt;="&amp;AO$1,'UX + Dev'!$AB$1:$DN$1,"&lt;="&amp;EOMONTH(AO$1,0),'UX + Dev'!$AB135:$DN135,"&lt;&gt;"))</f>
      </c>
      <c r="AP135">
        <f>IF($B135="",0,COUNTIFS('UX + Dev'!$AB$1:$DN$1,"&gt;="&amp;AP$1,'UX + Dev'!$AB$1:$DN$1,"&lt;="&amp;EOMONTH(AP$1,0),'UX + Dev'!$AB135:$DN135,"&lt;&gt;"))</f>
      </c>
      <c r="AQ135">
        <f>IF($B135="",0,COUNTIFS('UX + Dev'!$AB$1:$DN$1,"&gt;="&amp;AQ$1,'UX + Dev'!$AB$1:$DN$1,"&lt;="&amp;EOMONTH(AQ$1,0),'UX + Dev'!$AB135:$DN135,"&lt;&gt;"))</f>
      </c>
      <c r="AR135">
        <f>IF($B135="",0,COUNTIFS('UX + Dev'!$AB$1:$DN$1,"&gt;="&amp;AR$1,'UX + Dev'!$AB$1:$DN$1,"&lt;="&amp;EOMONTH(AR$1,0),'UX + Dev'!$AB135:$DN135,"&lt;&gt;"))</f>
      </c>
      <c r="AS135">
        <f>IF($B135="",0,COUNTIFS('UX + Dev'!$AB$1:$DN$1,"&gt;="&amp;AS$1,'UX + Dev'!$AB$1:$DN$1,"&lt;="&amp;EOMONTH(AS$1,0),'UX + Dev'!$AB135:$DN135,"&lt;&gt;"))</f>
      </c>
      <c r="AT135">
        <f>IF($B135="",0,COUNTIFS('UX + Dev'!$AB$1:$DN$1,"&gt;="&amp;AT$1,'UX + Dev'!$AB$1:$DN$1,"&lt;="&amp;EOMONTH(AT$1,0),'UX + Dev'!$AB135:$DN135,"&lt;&gt;"))</f>
      </c>
      <c r="AU135">
        <f>IF($B135="",0,COUNTIFS('UX + Dev'!$AB$1:$DN$1,"&gt;="&amp;AU$1,'UX + Dev'!$AB$1:$DN$1,"&lt;="&amp;EOMONTH(AU$1,0),'UX + Dev'!$AB135:$DN135,"&lt;&gt;"))</f>
      </c>
      <c r="AV135">
        <f>IF($B135="",0,COUNTIFS('UX + Dev'!$AB$1:$DN$1,"&gt;="&amp;AV$1,'UX + Dev'!$AB$1:$DN$1,"&lt;="&amp;EOMONTH(AV$1,0),'UX + Dev'!$AB135:$DN135,"&lt;&gt;"))</f>
      </c>
      <c r="AW135">
        <f>IF($B135="",0,COUNTIFS('UX + Dev'!$AB$1:$DN$1,"&gt;="&amp;AW$1,'UX + Dev'!$AB$1:$DN$1,"&lt;="&amp;EOMONTH(AW$1,0),'UX + Dev'!$AB135:$DN135,"&lt;&gt;"))</f>
      </c>
      <c r="AX135">
        <f>IF($B135="",0,COUNTIFS('UX + Dev'!$AB$1:$DN$1,"&gt;="&amp;AX$1,'UX + Dev'!$AB$1:$DN$1,"&lt;="&amp;EOMONTH(AX$1,0),'UX + Dev'!$AB135:$DN135,"&lt;&gt;"))</f>
      </c>
      <c r="BB135" s="308">
        <f>IF($B135="","",IF(COUNTA('UX + Dev'!U135)&gt;0,DATE(YEAR('UX + Dev'!U135),MONTH('UX + Dev'!U135),1),IF(COUNTA('UX + Dev'!V135)&gt;0,DATE(YEAR('UX + Dev'!V135),MONTH('UX + Dev'!V135),1),"")))</f>
      </c>
      <c r="BC135" s="308">
        <f>IF($B135="","",IF(COUNTA('UX + Dev'!V135)&gt;0,EOMONTH('UX + Dev'!V135,0),IF(COUNTA('UX + Dev'!U135)&gt;0,EOMONTH('UX + Dev'!U135,0),"")))</f>
      </c>
    </row>
    <row r="136">
      <c r="A136" s="305" t="n">
        <v>136</v>
      </c>
      <c r="B136" s="305">
        <f>IF(TRIM('UX + Dev'!E136)="","",TRIM('UX + Dev'!E136))</f>
      </c>
      <c r="C136" s="305">
        <f>IF($B136="","",'UX + Dev'!B136)</f>
      </c>
      <c r="D136" s="305">
        <f>IF($B136="","",IF(TRIM('UX + Dev'!C136)="","(No theme assigned)",TRIM('UX + Dev'!C136)))</f>
      </c>
      <c r="E136" s="305">
        <f>IF($B136="","",TRIM('UX + Dev'!F136))</f>
      </c>
      <c r="F136" s="305">
        <f>IF($B136="","",'UX + Dev'!G136)</f>
      </c>
      <c r="G136" s="306">
        <f t="array" ref="G136">IF($B136="","",IF($T136=0,"",IFERROR(MIN(IF('UX + Dev'!$AB136:$DN136&lt;&gt;"",'UX + Dev'!$AB$1:$DN$1)),"")))</f>
      </c>
      <c r="H136" s="306">
        <f t="array" ref="H136">IF($B136="","",IF($T136=0,"",IFERROR(MAX(IF('UX + Dev'!$AB136:$DN136&lt;&gt;"",'UX + Dev'!$AB$1:$DN$1)),"")))</f>
      </c>
      <c r="I136" s="307">
        <f>IF($R136&lt;&gt;"",$R136,IF($S136&lt;&gt;"",$S136,""))</f>
      </c>
      <c r="J136" s="307">
        <f>IF($S136&lt;&gt;"",EOMONTH($S136,0),IF($R136&lt;&gt;"",EOMONTH($R136,0),""))</f>
      </c>
      <c r="K136" s="305">
        <f>IF($B136="","",IF(COUNTA('UX + Dev'!AA136)=0,"",TRIM('UX + Dev'!AA136)))</f>
      </c>
      <c r="L136" s="305">
        <f>IF($B136="","",IFERROR(MATCH($D136,Control!$E$4:$E$30,0),99))</f>
      </c>
      <c r="M136" s="305">
        <f>IF($B136="","",IFERROR(MATCH($F136,Control!$B$4:$B$30,0),99))</f>
      </c>
      <c r="N136" s="305">
        <f>IF($V136&lt;&gt;1,"",IF('Roadmap (Auto)'!$D$3="Status, then Theme",$M136*1000000+$L136*10000+ROW(),IF('Roadmap (Auto)'!$D$3="Dev start (earliest)",IF($I136="",99999999,$I136)*10000+ROW(),IF('Roadmap (Auto)'!$D$3="UX start (earliest)",IF($G136="",99999999,$G136)*10000+ROW(),IF('Roadmap (Auto)'!$D$3="Deliverable A-Z",$W136*10000+ROW(),$L136*1000000+$M136*10000+ROW())))))</f>
      </c>
      <c r="O136" s="305">
        <f>IF($N136="","",COUNTIF($N$2:$N$151,"&lt;"&amp;$N136)+1)</f>
      </c>
      <c r="P136" s="305">
        <f>IF($B136="","",IF(COUNTA('UX + Dev'!X136)=0,"",'UX + Dev'!X136))</f>
      </c>
      <c r="Q136" s="305">
        <f>IF($B136="","",IF(COUNTA('UX + Dev'!Y136)=0,"",'UX + Dev'!Y136))</f>
      </c>
      <c r="R136" s="307">
        <f>IF($P136="","",IF(ISNUMBER($P136),DATE(YEAR($P136),MONTH($P136),1),IFERROR(DATE(IFERROR(VALUE(RIGHT(TRIM($P136),4)),YEAR(TODAY())),(SEARCH(LEFT(TRIM($P136),3),"JanFebMarAprMayJunJulAugSepOctNovDec")+2)/3,1),"")))</f>
      </c>
      <c r="S136" s="307">
        <f>IF($Q136="","",IF(ISNUMBER($Q136),DATE(YEAR($Q136),MONTH($Q136),1),IFERROR(DATE(IFERROR(VALUE(RIGHT(TRIM($Q136),4)),YEAR(TODAY())),(SEARCH(LEFT(TRIM($Q136),3),"JanFebMarAprMayJunJulAugSepOctNovDec")+2)/3,1),"")))</f>
      </c>
      <c r="T136" s="305">
        <f>IF($B136="","",COUNTA('UX + Dev'!$AB136:$DN136))</f>
      </c>
      <c r="U136" s="305">
        <f>IF($B136="","",IFERROR(MATCH($D136,Control!$E$4:$E$30,0)+3,0))</f>
      </c>
      <c r="V136" s="305">
        <f>IF($B136="","",IF(AND(OR('Roadmap (Auto)'!$A$3="",'Roadmap (Auto)'!$A$3="(All)",ISNUMBER(SEARCH('Roadmap (Auto)'!$A$3,$C136&amp;""))),OR('Roadmap (Auto)'!$B$3="",'Roadmap (Auto)'!$B$3="(All)",$D136='Roadmap (Auto)'!$B$3,$X136='Roadmap (Auto)'!$B$3),OR('Roadmap (Auto)'!$C$3="",'Roadmap (Auto)'!$C$3="(All)",$F136='Roadmap (Auto)'!$C$3)),1,0))</f>
      </c>
      <c r="W136" s="305">
        <f>IF($B136="","",COUNTIF($Y$2:$Y$151,"&lt;"&amp;$Y136)+1)</f>
      </c>
      <c r="X136" s="305">
        <f>IF($B136="","",IF(TRIM('UX + Dev'!D136)="","",TRIM('UX + Dev'!D136)))</f>
      </c>
      <c r="Y136" s="305">
        <f>IF($B136="","",SUBSTITUTE(SUBSTITUTE(SUBSTITUTE(SUBSTITUTE(SUBSTITUTE(SUBSTITUTE(SUBSTITUTE(SUBSTITUTE(SUBSTITUTE(SUBSTITUTE(SUBSTITUTE(SUBSTITUTE(SUBSTITUTE(SUBSTITUTE(SUBSTITUTE(SUBSTITUTE(SUBSTITUTE(SUBSTITUTE(SUBSTITUTE(SUBSTITUTE(SUBSTITUTE(SUBSTITUTE(SUBSTITUTE(SUBSTITUTE(SUBSTITUTE(UPPER($B136)," ",""),"-",""),":",""),"/",""),"&amp;",""),"|",""),"'",""),"’",""),"&lt;",""),"&gt;",""),",",""),"$",""),".",""),"(",""),")",""),"*",""),"?",""),"~",""),"_",""),"+",""),"#",""),";",""),"!",""),"%",""),"@",""))</f>
      </c>
      <c r="AA136">
        <f>IF($B136="",0,COUNTIFS('UX + Dev'!$AB$1:$DN$1,"&gt;="&amp;AA$1,'UX + Dev'!$AB$1:$DN$1,"&lt;="&amp;EOMONTH(AA$1,0),'UX + Dev'!$AB136:$DN136,"&lt;&gt;"))</f>
      </c>
      <c r="AB136">
        <f>IF($B136="",0,COUNTIFS('UX + Dev'!$AB$1:$DN$1,"&gt;="&amp;AB$1,'UX + Dev'!$AB$1:$DN$1,"&lt;="&amp;EOMONTH(AB$1,0),'UX + Dev'!$AB136:$DN136,"&lt;&gt;"))</f>
      </c>
      <c r="AC136">
        <f>IF($B136="",0,COUNTIFS('UX + Dev'!$AB$1:$DN$1,"&gt;="&amp;AC$1,'UX + Dev'!$AB$1:$DN$1,"&lt;="&amp;EOMONTH(AC$1,0),'UX + Dev'!$AB136:$DN136,"&lt;&gt;"))</f>
      </c>
      <c r="AD136">
        <f>IF($B136="",0,COUNTIFS('UX + Dev'!$AB$1:$DN$1,"&gt;="&amp;AD$1,'UX + Dev'!$AB$1:$DN$1,"&lt;="&amp;EOMONTH(AD$1,0),'UX + Dev'!$AB136:$DN136,"&lt;&gt;"))</f>
      </c>
      <c r="AE136">
        <f>IF($B136="",0,COUNTIFS('UX + Dev'!$AB$1:$DN$1,"&gt;="&amp;AE$1,'UX + Dev'!$AB$1:$DN$1,"&lt;="&amp;EOMONTH(AE$1,0),'UX + Dev'!$AB136:$DN136,"&lt;&gt;"))</f>
      </c>
      <c r="AF136">
        <f>IF($B136="",0,COUNTIFS('UX + Dev'!$AB$1:$DN$1,"&gt;="&amp;AF$1,'UX + Dev'!$AB$1:$DN$1,"&lt;="&amp;EOMONTH(AF$1,0),'UX + Dev'!$AB136:$DN136,"&lt;&gt;"))</f>
      </c>
      <c r="AG136">
        <f>IF($B136="",0,COUNTIFS('UX + Dev'!$AB$1:$DN$1,"&gt;="&amp;AG$1,'UX + Dev'!$AB$1:$DN$1,"&lt;="&amp;EOMONTH(AG$1,0),'UX + Dev'!$AB136:$DN136,"&lt;&gt;"))</f>
      </c>
      <c r="AH136">
        <f>IF($B136="",0,COUNTIFS('UX + Dev'!$AB$1:$DN$1,"&gt;="&amp;AH$1,'UX + Dev'!$AB$1:$DN$1,"&lt;="&amp;EOMONTH(AH$1,0),'UX + Dev'!$AB136:$DN136,"&lt;&gt;"))</f>
      </c>
      <c r="AI136">
        <f>IF($B136="",0,COUNTIFS('UX + Dev'!$AB$1:$DN$1,"&gt;="&amp;AI$1,'UX + Dev'!$AB$1:$DN$1,"&lt;="&amp;EOMONTH(AI$1,0),'UX + Dev'!$AB136:$DN136,"&lt;&gt;"))</f>
      </c>
      <c r="AJ136">
        <f>IF($B136="",0,COUNTIFS('UX + Dev'!$AB$1:$DN$1,"&gt;="&amp;AJ$1,'UX + Dev'!$AB$1:$DN$1,"&lt;="&amp;EOMONTH(AJ$1,0),'UX + Dev'!$AB136:$DN136,"&lt;&gt;"))</f>
      </c>
      <c r="AK136">
        <f>IF($B136="",0,COUNTIFS('UX + Dev'!$AB$1:$DN$1,"&gt;="&amp;AK$1,'UX + Dev'!$AB$1:$DN$1,"&lt;="&amp;EOMONTH(AK$1,0),'UX + Dev'!$AB136:$DN136,"&lt;&gt;"))</f>
      </c>
      <c r="AL136">
        <f>IF($B136="",0,COUNTIFS('UX + Dev'!$AB$1:$DN$1,"&gt;="&amp;AL$1,'UX + Dev'!$AB$1:$DN$1,"&lt;="&amp;EOMONTH(AL$1,0),'UX + Dev'!$AB136:$DN136,"&lt;&gt;"))</f>
      </c>
      <c r="AM136">
        <f>IF($B136="",0,COUNTIFS('UX + Dev'!$AB$1:$DN$1,"&gt;="&amp;AM$1,'UX + Dev'!$AB$1:$DN$1,"&lt;="&amp;EOMONTH(AM$1,0),'UX + Dev'!$AB136:$DN136,"&lt;&gt;"))</f>
      </c>
      <c r="AN136">
        <f>IF($B136="",0,COUNTIFS('UX + Dev'!$AB$1:$DN$1,"&gt;="&amp;AN$1,'UX + Dev'!$AB$1:$DN$1,"&lt;="&amp;EOMONTH(AN$1,0),'UX + Dev'!$AB136:$DN136,"&lt;&gt;"))</f>
      </c>
      <c r="AO136">
        <f>IF($B136="",0,COUNTIFS('UX + Dev'!$AB$1:$DN$1,"&gt;="&amp;AO$1,'UX + Dev'!$AB$1:$DN$1,"&lt;="&amp;EOMONTH(AO$1,0),'UX + Dev'!$AB136:$DN136,"&lt;&gt;"))</f>
      </c>
      <c r="AP136">
        <f>IF($B136="",0,COUNTIFS('UX + Dev'!$AB$1:$DN$1,"&gt;="&amp;AP$1,'UX + Dev'!$AB$1:$DN$1,"&lt;="&amp;EOMONTH(AP$1,0),'UX + Dev'!$AB136:$DN136,"&lt;&gt;"))</f>
      </c>
      <c r="AQ136">
        <f>IF($B136="",0,COUNTIFS('UX + Dev'!$AB$1:$DN$1,"&gt;="&amp;AQ$1,'UX + Dev'!$AB$1:$DN$1,"&lt;="&amp;EOMONTH(AQ$1,0),'UX + Dev'!$AB136:$DN136,"&lt;&gt;"))</f>
      </c>
      <c r="AR136">
        <f>IF($B136="",0,COUNTIFS('UX + Dev'!$AB$1:$DN$1,"&gt;="&amp;AR$1,'UX + Dev'!$AB$1:$DN$1,"&lt;="&amp;EOMONTH(AR$1,0),'UX + Dev'!$AB136:$DN136,"&lt;&gt;"))</f>
      </c>
      <c r="AS136">
        <f>IF($B136="",0,COUNTIFS('UX + Dev'!$AB$1:$DN$1,"&gt;="&amp;AS$1,'UX + Dev'!$AB$1:$DN$1,"&lt;="&amp;EOMONTH(AS$1,0),'UX + Dev'!$AB136:$DN136,"&lt;&gt;"))</f>
      </c>
      <c r="AT136">
        <f>IF($B136="",0,COUNTIFS('UX + Dev'!$AB$1:$DN$1,"&gt;="&amp;AT$1,'UX + Dev'!$AB$1:$DN$1,"&lt;="&amp;EOMONTH(AT$1,0),'UX + Dev'!$AB136:$DN136,"&lt;&gt;"))</f>
      </c>
      <c r="AU136">
        <f>IF($B136="",0,COUNTIFS('UX + Dev'!$AB$1:$DN$1,"&gt;="&amp;AU$1,'UX + Dev'!$AB$1:$DN$1,"&lt;="&amp;EOMONTH(AU$1,0),'UX + Dev'!$AB136:$DN136,"&lt;&gt;"))</f>
      </c>
      <c r="AV136">
        <f>IF($B136="",0,COUNTIFS('UX + Dev'!$AB$1:$DN$1,"&gt;="&amp;AV$1,'UX + Dev'!$AB$1:$DN$1,"&lt;="&amp;EOMONTH(AV$1,0),'UX + Dev'!$AB136:$DN136,"&lt;&gt;"))</f>
      </c>
      <c r="AW136">
        <f>IF($B136="",0,COUNTIFS('UX + Dev'!$AB$1:$DN$1,"&gt;="&amp;AW$1,'UX + Dev'!$AB$1:$DN$1,"&lt;="&amp;EOMONTH(AW$1,0),'UX + Dev'!$AB136:$DN136,"&lt;&gt;"))</f>
      </c>
      <c r="AX136">
        <f>IF($B136="",0,COUNTIFS('UX + Dev'!$AB$1:$DN$1,"&gt;="&amp;AX$1,'UX + Dev'!$AB$1:$DN$1,"&lt;="&amp;EOMONTH(AX$1,0),'UX + Dev'!$AB136:$DN136,"&lt;&gt;"))</f>
      </c>
      <c r="BB136" s="308">
        <f>IF($B136="","",IF(COUNTA('UX + Dev'!U136)&gt;0,DATE(YEAR('UX + Dev'!U136),MONTH('UX + Dev'!U136),1),IF(COUNTA('UX + Dev'!V136)&gt;0,DATE(YEAR('UX + Dev'!V136),MONTH('UX + Dev'!V136),1),"")))</f>
      </c>
      <c r="BC136" s="308">
        <f>IF($B136="","",IF(COUNTA('UX + Dev'!V136)&gt;0,EOMONTH('UX + Dev'!V136,0),IF(COUNTA('UX + Dev'!U136)&gt;0,EOMONTH('UX + Dev'!U136,0),"")))</f>
      </c>
    </row>
    <row r="137">
      <c r="A137" s="305" t="n">
        <v>137</v>
      </c>
      <c r="B137" s="305">
        <f>IF(TRIM('UX + Dev'!E137)="","",TRIM('UX + Dev'!E137))</f>
      </c>
      <c r="C137" s="305">
        <f>IF($B137="","",'UX + Dev'!B137)</f>
      </c>
      <c r="D137" s="305">
        <f>IF($B137="","",IF(TRIM('UX + Dev'!C137)="","(No theme assigned)",TRIM('UX + Dev'!C137)))</f>
      </c>
      <c r="E137" s="305">
        <f>IF($B137="","",TRIM('UX + Dev'!F137))</f>
      </c>
      <c r="F137" s="305">
        <f>IF($B137="","",'UX + Dev'!G137)</f>
      </c>
      <c r="G137" s="306">
        <f t="array" ref="G137">IF($B137="","",IF($T137=0,"",IFERROR(MIN(IF('UX + Dev'!$AB137:$DN137&lt;&gt;"",'UX + Dev'!$AB$1:$DN$1)),"")))</f>
      </c>
      <c r="H137" s="306">
        <f t="array" ref="H137">IF($B137="","",IF($T137=0,"",IFERROR(MAX(IF('UX + Dev'!$AB137:$DN137&lt;&gt;"",'UX + Dev'!$AB$1:$DN$1)),"")))</f>
      </c>
      <c r="I137" s="307">
        <f>IF($R137&lt;&gt;"",$R137,IF($S137&lt;&gt;"",$S137,""))</f>
      </c>
      <c r="J137" s="307">
        <f>IF($S137&lt;&gt;"",EOMONTH($S137,0),IF($R137&lt;&gt;"",EOMONTH($R137,0),""))</f>
      </c>
      <c r="K137" s="305">
        <f>IF($B137="","",IF(COUNTA('UX + Dev'!AA137)=0,"",TRIM('UX + Dev'!AA137)))</f>
      </c>
      <c r="L137" s="305">
        <f>IF($B137="","",IFERROR(MATCH($D137,Control!$E$4:$E$30,0),99))</f>
      </c>
      <c r="M137" s="305">
        <f>IF($B137="","",IFERROR(MATCH($F137,Control!$B$4:$B$30,0),99))</f>
      </c>
      <c r="N137" s="305">
        <f>IF($V137&lt;&gt;1,"",IF('Roadmap (Auto)'!$D$3="Status, then Theme",$M137*1000000+$L137*10000+ROW(),IF('Roadmap (Auto)'!$D$3="Dev start (earliest)",IF($I137="",99999999,$I137)*10000+ROW(),IF('Roadmap (Auto)'!$D$3="UX start (earliest)",IF($G137="",99999999,$G137)*10000+ROW(),IF('Roadmap (Auto)'!$D$3="Deliverable A-Z",$W137*10000+ROW(),$L137*1000000+$M137*10000+ROW())))))</f>
      </c>
      <c r="O137" s="305">
        <f>IF($N137="","",COUNTIF($N$2:$N$151,"&lt;"&amp;$N137)+1)</f>
      </c>
      <c r="P137" s="305">
        <f>IF($B137="","",IF(COUNTA('UX + Dev'!X137)=0,"",'UX + Dev'!X137))</f>
      </c>
      <c r="Q137" s="305">
        <f>IF($B137="","",IF(COUNTA('UX + Dev'!Y137)=0,"",'UX + Dev'!Y137))</f>
      </c>
      <c r="R137" s="307">
        <f>IF($P137="","",IF(ISNUMBER($P137),DATE(YEAR($P137),MONTH($P137),1),IFERROR(DATE(IFERROR(VALUE(RIGHT(TRIM($P137),4)),YEAR(TODAY())),(SEARCH(LEFT(TRIM($P137),3),"JanFebMarAprMayJunJulAugSepOctNovDec")+2)/3,1),"")))</f>
      </c>
      <c r="S137" s="307">
        <f>IF($Q137="","",IF(ISNUMBER($Q137),DATE(YEAR($Q137),MONTH($Q137),1),IFERROR(DATE(IFERROR(VALUE(RIGHT(TRIM($Q137),4)),YEAR(TODAY())),(SEARCH(LEFT(TRIM($Q137),3),"JanFebMarAprMayJunJulAugSepOctNovDec")+2)/3,1),"")))</f>
      </c>
      <c r="T137" s="305">
        <f>IF($B137="","",COUNTA('UX + Dev'!$AB137:$DN137))</f>
      </c>
      <c r="U137" s="305">
        <f>IF($B137="","",IFERROR(MATCH($D137,Control!$E$4:$E$30,0)+3,0))</f>
      </c>
      <c r="V137" s="305">
        <f>IF($B137="","",IF(AND(OR('Roadmap (Auto)'!$A$3="",'Roadmap (Auto)'!$A$3="(All)",ISNUMBER(SEARCH('Roadmap (Auto)'!$A$3,$C137&amp;""))),OR('Roadmap (Auto)'!$B$3="",'Roadmap (Auto)'!$B$3="(All)",$D137='Roadmap (Auto)'!$B$3,$X137='Roadmap (Auto)'!$B$3),OR('Roadmap (Auto)'!$C$3="",'Roadmap (Auto)'!$C$3="(All)",$F137='Roadmap (Auto)'!$C$3)),1,0))</f>
      </c>
      <c r="W137" s="305">
        <f>IF($B137="","",COUNTIF($Y$2:$Y$151,"&lt;"&amp;$Y137)+1)</f>
      </c>
      <c r="X137" s="305">
        <f>IF($B137="","",IF(TRIM('UX + Dev'!D137)="","",TRIM('UX + Dev'!D137)))</f>
      </c>
      <c r="Y137" s="305">
        <f>IF($B137="","",SUBSTITUTE(SUBSTITUTE(SUBSTITUTE(SUBSTITUTE(SUBSTITUTE(SUBSTITUTE(SUBSTITUTE(SUBSTITUTE(SUBSTITUTE(SUBSTITUTE(SUBSTITUTE(SUBSTITUTE(SUBSTITUTE(SUBSTITUTE(SUBSTITUTE(SUBSTITUTE(SUBSTITUTE(SUBSTITUTE(SUBSTITUTE(SUBSTITUTE(SUBSTITUTE(SUBSTITUTE(SUBSTITUTE(SUBSTITUTE(SUBSTITUTE(UPPER($B137)," ",""),"-",""),":",""),"/",""),"&amp;",""),"|",""),"'",""),"’",""),"&lt;",""),"&gt;",""),",",""),"$",""),".",""),"(",""),")",""),"*",""),"?",""),"~",""),"_",""),"+",""),"#",""),";",""),"!",""),"%",""),"@",""))</f>
      </c>
      <c r="AA137">
        <f>IF($B137="",0,COUNTIFS('UX + Dev'!$AB$1:$DN$1,"&gt;="&amp;AA$1,'UX + Dev'!$AB$1:$DN$1,"&lt;="&amp;EOMONTH(AA$1,0),'UX + Dev'!$AB137:$DN137,"&lt;&gt;"))</f>
      </c>
      <c r="AB137">
        <f>IF($B137="",0,COUNTIFS('UX + Dev'!$AB$1:$DN$1,"&gt;="&amp;AB$1,'UX + Dev'!$AB$1:$DN$1,"&lt;="&amp;EOMONTH(AB$1,0),'UX + Dev'!$AB137:$DN137,"&lt;&gt;"))</f>
      </c>
      <c r="AC137">
        <f>IF($B137="",0,COUNTIFS('UX + Dev'!$AB$1:$DN$1,"&gt;="&amp;AC$1,'UX + Dev'!$AB$1:$DN$1,"&lt;="&amp;EOMONTH(AC$1,0),'UX + Dev'!$AB137:$DN137,"&lt;&gt;"))</f>
      </c>
      <c r="AD137">
        <f>IF($B137="",0,COUNTIFS('UX + Dev'!$AB$1:$DN$1,"&gt;="&amp;AD$1,'UX + Dev'!$AB$1:$DN$1,"&lt;="&amp;EOMONTH(AD$1,0),'UX + Dev'!$AB137:$DN137,"&lt;&gt;"))</f>
      </c>
      <c r="AE137">
        <f>IF($B137="",0,COUNTIFS('UX + Dev'!$AB$1:$DN$1,"&gt;="&amp;AE$1,'UX + Dev'!$AB$1:$DN$1,"&lt;="&amp;EOMONTH(AE$1,0),'UX + Dev'!$AB137:$DN137,"&lt;&gt;"))</f>
      </c>
      <c r="AF137">
        <f>IF($B137="",0,COUNTIFS('UX + Dev'!$AB$1:$DN$1,"&gt;="&amp;AF$1,'UX + Dev'!$AB$1:$DN$1,"&lt;="&amp;EOMONTH(AF$1,0),'UX + Dev'!$AB137:$DN137,"&lt;&gt;"))</f>
      </c>
      <c r="AG137">
        <f>IF($B137="",0,COUNTIFS('UX + Dev'!$AB$1:$DN$1,"&gt;="&amp;AG$1,'UX + Dev'!$AB$1:$DN$1,"&lt;="&amp;EOMONTH(AG$1,0),'UX + Dev'!$AB137:$DN137,"&lt;&gt;"))</f>
      </c>
      <c r="AH137">
        <f>IF($B137="",0,COUNTIFS('UX + Dev'!$AB$1:$DN$1,"&gt;="&amp;AH$1,'UX + Dev'!$AB$1:$DN$1,"&lt;="&amp;EOMONTH(AH$1,0),'UX + Dev'!$AB137:$DN137,"&lt;&gt;"))</f>
      </c>
      <c r="AI137">
        <f>IF($B137="",0,COUNTIFS('UX + Dev'!$AB$1:$DN$1,"&gt;="&amp;AI$1,'UX + Dev'!$AB$1:$DN$1,"&lt;="&amp;EOMONTH(AI$1,0),'UX + Dev'!$AB137:$DN137,"&lt;&gt;"))</f>
      </c>
      <c r="AJ137">
        <f>IF($B137="",0,COUNTIFS('UX + Dev'!$AB$1:$DN$1,"&gt;="&amp;AJ$1,'UX + Dev'!$AB$1:$DN$1,"&lt;="&amp;EOMONTH(AJ$1,0),'UX + Dev'!$AB137:$DN137,"&lt;&gt;"))</f>
      </c>
      <c r="AK137">
        <f>IF($B137="",0,COUNTIFS('UX + Dev'!$AB$1:$DN$1,"&gt;="&amp;AK$1,'UX + Dev'!$AB$1:$DN$1,"&lt;="&amp;EOMONTH(AK$1,0),'UX + Dev'!$AB137:$DN137,"&lt;&gt;"))</f>
      </c>
      <c r="AL137">
        <f>IF($B137="",0,COUNTIFS('UX + Dev'!$AB$1:$DN$1,"&gt;="&amp;AL$1,'UX + Dev'!$AB$1:$DN$1,"&lt;="&amp;EOMONTH(AL$1,0),'UX + Dev'!$AB137:$DN137,"&lt;&gt;"))</f>
      </c>
      <c r="AM137">
        <f>IF($B137="",0,COUNTIFS('UX + Dev'!$AB$1:$DN$1,"&gt;="&amp;AM$1,'UX + Dev'!$AB$1:$DN$1,"&lt;="&amp;EOMONTH(AM$1,0),'UX + Dev'!$AB137:$DN137,"&lt;&gt;"))</f>
      </c>
      <c r="AN137">
        <f>IF($B137="",0,COUNTIFS('UX + Dev'!$AB$1:$DN$1,"&gt;="&amp;AN$1,'UX + Dev'!$AB$1:$DN$1,"&lt;="&amp;EOMONTH(AN$1,0),'UX + Dev'!$AB137:$DN137,"&lt;&gt;"))</f>
      </c>
      <c r="AO137">
        <f>IF($B137="",0,COUNTIFS('UX + Dev'!$AB$1:$DN$1,"&gt;="&amp;AO$1,'UX + Dev'!$AB$1:$DN$1,"&lt;="&amp;EOMONTH(AO$1,0),'UX + Dev'!$AB137:$DN137,"&lt;&gt;"))</f>
      </c>
      <c r="AP137">
        <f>IF($B137="",0,COUNTIFS('UX + Dev'!$AB$1:$DN$1,"&gt;="&amp;AP$1,'UX + Dev'!$AB$1:$DN$1,"&lt;="&amp;EOMONTH(AP$1,0),'UX + Dev'!$AB137:$DN137,"&lt;&gt;"))</f>
      </c>
      <c r="AQ137">
        <f>IF($B137="",0,COUNTIFS('UX + Dev'!$AB$1:$DN$1,"&gt;="&amp;AQ$1,'UX + Dev'!$AB$1:$DN$1,"&lt;="&amp;EOMONTH(AQ$1,0),'UX + Dev'!$AB137:$DN137,"&lt;&gt;"))</f>
      </c>
      <c r="AR137">
        <f>IF($B137="",0,COUNTIFS('UX + Dev'!$AB$1:$DN$1,"&gt;="&amp;AR$1,'UX + Dev'!$AB$1:$DN$1,"&lt;="&amp;EOMONTH(AR$1,0),'UX + Dev'!$AB137:$DN137,"&lt;&gt;"))</f>
      </c>
      <c r="AS137">
        <f>IF($B137="",0,COUNTIFS('UX + Dev'!$AB$1:$DN$1,"&gt;="&amp;AS$1,'UX + Dev'!$AB$1:$DN$1,"&lt;="&amp;EOMONTH(AS$1,0),'UX + Dev'!$AB137:$DN137,"&lt;&gt;"))</f>
      </c>
      <c r="AT137">
        <f>IF($B137="",0,COUNTIFS('UX + Dev'!$AB$1:$DN$1,"&gt;="&amp;AT$1,'UX + Dev'!$AB$1:$DN$1,"&lt;="&amp;EOMONTH(AT$1,0),'UX + Dev'!$AB137:$DN137,"&lt;&gt;"))</f>
      </c>
      <c r="AU137">
        <f>IF($B137="",0,COUNTIFS('UX + Dev'!$AB$1:$DN$1,"&gt;="&amp;AU$1,'UX + Dev'!$AB$1:$DN$1,"&lt;="&amp;EOMONTH(AU$1,0),'UX + Dev'!$AB137:$DN137,"&lt;&gt;"))</f>
      </c>
      <c r="AV137">
        <f>IF($B137="",0,COUNTIFS('UX + Dev'!$AB$1:$DN$1,"&gt;="&amp;AV$1,'UX + Dev'!$AB$1:$DN$1,"&lt;="&amp;EOMONTH(AV$1,0),'UX + Dev'!$AB137:$DN137,"&lt;&gt;"))</f>
      </c>
      <c r="AW137">
        <f>IF($B137="",0,COUNTIFS('UX + Dev'!$AB$1:$DN$1,"&gt;="&amp;AW$1,'UX + Dev'!$AB$1:$DN$1,"&lt;="&amp;EOMONTH(AW$1,0),'UX + Dev'!$AB137:$DN137,"&lt;&gt;"))</f>
      </c>
      <c r="AX137">
        <f>IF($B137="",0,COUNTIFS('UX + Dev'!$AB$1:$DN$1,"&gt;="&amp;AX$1,'UX + Dev'!$AB$1:$DN$1,"&lt;="&amp;EOMONTH(AX$1,0),'UX + Dev'!$AB137:$DN137,"&lt;&gt;"))</f>
      </c>
      <c r="BB137" s="308">
        <f>IF($B137="","",IF(COUNTA('UX + Dev'!U137)&gt;0,DATE(YEAR('UX + Dev'!U137),MONTH('UX + Dev'!U137),1),IF(COUNTA('UX + Dev'!V137)&gt;0,DATE(YEAR('UX + Dev'!V137),MONTH('UX + Dev'!V137),1),"")))</f>
      </c>
      <c r="BC137" s="308">
        <f>IF($B137="","",IF(COUNTA('UX + Dev'!V137)&gt;0,EOMONTH('UX + Dev'!V137,0),IF(COUNTA('UX + Dev'!U137)&gt;0,EOMONTH('UX + Dev'!U137,0),"")))</f>
      </c>
    </row>
    <row r="138">
      <c r="A138" s="305" t="n">
        <v>138</v>
      </c>
      <c r="B138" s="305">
        <f>IF(TRIM('UX + Dev'!E138)="","",TRIM('UX + Dev'!E138))</f>
      </c>
      <c r="C138" s="305">
        <f>IF($B138="","",'UX + Dev'!B138)</f>
      </c>
      <c r="D138" s="305">
        <f>IF($B138="","",IF(TRIM('UX + Dev'!C138)="","(No theme assigned)",TRIM('UX + Dev'!C138)))</f>
      </c>
      <c r="E138" s="305">
        <f>IF($B138="","",TRIM('UX + Dev'!F138))</f>
      </c>
      <c r="F138" s="305">
        <f>IF($B138="","",'UX + Dev'!G138)</f>
      </c>
      <c r="G138" s="306">
        <f t="array" ref="G138">IF($B138="","",IF($T138=0,"",IFERROR(MIN(IF('UX + Dev'!$AB138:$DN138&lt;&gt;"",'UX + Dev'!$AB$1:$DN$1)),"")))</f>
      </c>
      <c r="H138" s="306">
        <f t="array" ref="H138">IF($B138="","",IF($T138=0,"",IFERROR(MAX(IF('UX + Dev'!$AB138:$DN138&lt;&gt;"",'UX + Dev'!$AB$1:$DN$1)),"")))</f>
      </c>
      <c r="I138" s="307">
        <f>IF($R138&lt;&gt;"",$R138,IF($S138&lt;&gt;"",$S138,""))</f>
      </c>
      <c r="J138" s="307">
        <f>IF($S138&lt;&gt;"",EOMONTH($S138,0),IF($R138&lt;&gt;"",EOMONTH($R138,0),""))</f>
      </c>
      <c r="K138" s="305">
        <f>IF($B138="","",IF(COUNTA('UX + Dev'!AA138)=0,"",TRIM('UX + Dev'!AA138)))</f>
      </c>
      <c r="L138" s="305">
        <f>IF($B138="","",IFERROR(MATCH($D138,Control!$E$4:$E$30,0),99))</f>
      </c>
      <c r="M138" s="305">
        <f>IF($B138="","",IFERROR(MATCH($F138,Control!$B$4:$B$30,0),99))</f>
      </c>
      <c r="N138" s="305">
        <f>IF($V138&lt;&gt;1,"",IF('Roadmap (Auto)'!$D$3="Status, then Theme",$M138*1000000+$L138*10000+ROW(),IF('Roadmap (Auto)'!$D$3="Dev start (earliest)",IF($I138="",99999999,$I138)*10000+ROW(),IF('Roadmap (Auto)'!$D$3="UX start (earliest)",IF($G138="",99999999,$G138)*10000+ROW(),IF('Roadmap (Auto)'!$D$3="Deliverable A-Z",$W138*10000+ROW(),$L138*1000000+$M138*10000+ROW())))))</f>
      </c>
      <c r="O138" s="305">
        <f>IF($N138="","",COUNTIF($N$2:$N$151,"&lt;"&amp;$N138)+1)</f>
      </c>
      <c r="P138" s="305">
        <f>IF($B138="","",IF(COUNTA('UX + Dev'!X138)=0,"",'UX + Dev'!X138))</f>
      </c>
      <c r="Q138" s="305">
        <f>IF($B138="","",IF(COUNTA('UX + Dev'!Y138)=0,"",'UX + Dev'!Y138))</f>
      </c>
      <c r="R138" s="307">
        <f>IF($P138="","",IF(ISNUMBER($P138),DATE(YEAR($P138),MONTH($P138),1),IFERROR(DATE(IFERROR(VALUE(RIGHT(TRIM($P138),4)),YEAR(TODAY())),(SEARCH(LEFT(TRIM($P138),3),"JanFebMarAprMayJunJulAugSepOctNovDec")+2)/3,1),"")))</f>
      </c>
      <c r="S138" s="307">
        <f>IF($Q138="","",IF(ISNUMBER($Q138),DATE(YEAR($Q138),MONTH($Q138),1),IFERROR(DATE(IFERROR(VALUE(RIGHT(TRIM($Q138),4)),YEAR(TODAY())),(SEARCH(LEFT(TRIM($Q138),3),"JanFebMarAprMayJunJulAugSepOctNovDec")+2)/3,1),"")))</f>
      </c>
      <c r="T138" s="305">
        <f>IF($B138="","",COUNTA('UX + Dev'!$AB138:$DN138))</f>
      </c>
      <c r="U138" s="305">
        <f>IF($B138="","",IFERROR(MATCH($D138,Control!$E$4:$E$30,0)+3,0))</f>
      </c>
      <c r="V138" s="305">
        <f>IF($B138="","",IF(AND(OR('Roadmap (Auto)'!$A$3="",'Roadmap (Auto)'!$A$3="(All)",ISNUMBER(SEARCH('Roadmap (Auto)'!$A$3,$C138&amp;""))),OR('Roadmap (Auto)'!$B$3="",'Roadmap (Auto)'!$B$3="(All)",$D138='Roadmap (Auto)'!$B$3,$X138='Roadmap (Auto)'!$B$3),OR('Roadmap (Auto)'!$C$3="",'Roadmap (Auto)'!$C$3="(All)",$F138='Roadmap (Auto)'!$C$3)),1,0))</f>
      </c>
      <c r="W138" s="305">
        <f>IF($B138="","",COUNTIF($Y$2:$Y$151,"&lt;"&amp;$Y138)+1)</f>
      </c>
      <c r="X138" s="305">
        <f>IF($B138="","",IF(TRIM('UX + Dev'!D138)="","",TRIM('UX + Dev'!D138)))</f>
      </c>
      <c r="Y138" s="305">
        <f>IF($B138="","",SUBSTITUTE(SUBSTITUTE(SUBSTITUTE(SUBSTITUTE(SUBSTITUTE(SUBSTITUTE(SUBSTITUTE(SUBSTITUTE(SUBSTITUTE(SUBSTITUTE(SUBSTITUTE(SUBSTITUTE(SUBSTITUTE(SUBSTITUTE(SUBSTITUTE(SUBSTITUTE(SUBSTITUTE(SUBSTITUTE(SUBSTITUTE(SUBSTITUTE(SUBSTITUTE(SUBSTITUTE(SUBSTITUTE(SUBSTITUTE(SUBSTITUTE(UPPER($B138)," ",""),"-",""),":",""),"/",""),"&amp;",""),"|",""),"'",""),"’",""),"&lt;",""),"&gt;",""),",",""),"$",""),".",""),"(",""),")",""),"*",""),"?",""),"~",""),"_",""),"+",""),"#",""),";",""),"!",""),"%",""),"@",""))</f>
      </c>
      <c r="AA138">
        <f>IF($B138="",0,COUNTIFS('UX + Dev'!$AB$1:$DN$1,"&gt;="&amp;AA$1,'UX + Dev'!$AB$1:$DN$1,"&lt;="&amp;EOMONTH(AA$1,0),'UX + Dev'!$AB138:$DN138,"&lt;&gt;"))</f>
      </c>
      <c r="AB138">
        <f>IF($B138="",0,COUNTIFS('UX + Dev'!$AB$1:$DN$1,"&gt;="&amp;AB$1,'UX + Dev'!$AB$1:$DN$1,"&lt;="&amp;EOMONTH(AB$1,0),'UX + Dev'!$AB138:$DN138,"&lt;&gt;"))</f>
      </c>
      <c r="AC138">
        <f>IF($B138="",0,COUNTIFS('UX + Dev'!$AB$1:$DN$1,"&gt;="&amp;AC$1,'UX + Dev'!$AB$1:$DN$1,"&lt;="&amp;EOMONTH(AC$1,0),'UX + Dev'!$AB138:$DN138,"&lt;&gt;"))</f>
      </c>
      <c r="AD138">
        <f>IF($B138="",0,COUNTIFS('UX + Dev'!$AB$1:$DN$1,"&gt;="&amp;AD$1,'UX + Dev'!$AB$1:$DN$1,"&lt;="&amp;EOMONTH(AD$1,0),'UX + Dev'!$AB138:$DN138,"&lt;&gt;"))</f>
      </c>
      <c r="AE138">
        <f>IF($B138="",0,COUNTIFS('UX + Dev'!$AB$1:$DN$1,"&gt;="&amp;AE$1,'UX + Dev'!$AB$1:$DN$1,"&lt;="&amp;EOMONTH(AE$1,0),'UX + Dev'!$AB138:$DN138,"&lt;&gt;"))</f>
      </c>
      <c r="AF138">
        <f>IF($B138="",0,COUNTIFS('UX + Dev'!$AB$1:$DN$1,"&gt;="&amp;AF$1,'UX + Dev'!$AB$1:$DN$1,"&lt;="&amp;EOMONTH(AF$1,0),'UX + Dev'!$AB138:$DN138,"&lt;&gt;"))</f>
      </c>
      <c r="AG138">
        <f>IF($B138="",0,COUNTIFS('UX + Dev'!$AB$1:$DN$1,"&gt;="&amp;AG$1,'UX + Dev'!$AB$1:$DN$1,"&lt;="&amp;EOMONTH(AG$1,0),'UX + Dev'!$AB138:$DN138,"&lt;&gt;"))</f>
      </c>
      <c r="AH138">
        <f>IF($B138="",0,COUNTIFS('UX + Dev'!$AB$1:$DN$1,"&gt;="&amp;AH$1,'UX + Dev'!$AB$1:$DN$1,"&lt;="&amp;EOMONTH(AH$1,0),'UX + Dev'!$AB138:$DN138,"&lt;&gt;"))</f>
      </c>
      <c r="AI138">
        <f>IF($B138="",0,COUNTIFS('UX + Dev'!$AB$1:$DN$1,"&gt;="&amp;AI$1,'UX + Dev'!$AB$1:$DN$1,"&lt;="&amp;EOMONTH(AI$1,0),'UX + Dev'!$AB138:$DN138,"&lt;&gt;"))</f>
      </c>
      <c r="AJ138">
        <f>IF($B138="",0,COUNTIFS('UX + Dev'!$AB$1:$DN$1,"&gt;="&amp;AJ$1,'UX + Dev'!$AB$1:$DN$1,"&lt;="&amp;EOMONTH(AJ$1,0),'UX + Dev'!$AB138:$DN138,"&lt;&gt;"))</f>
      </c>
      <c r="AK138">
        <f>IF($B138="",0,COUNTIFS('UX + Dev'!$AB$1:$DN$1,"&gt;="&amp;AK$1,'UX + Dev'!$AB$1:$DN$1,"&lt;="&amp;EOMONTH(AK$1,0),'UX + Dev'!$AB138:$DN138,"&lt;&gt;"))</f>
      </c>
      <c r="AL138">
        <f>IF($B138="",0,COUNTIFS('UX + Dev'!$AB$1:$DN$1,"&gt;="&amp;AL$1,'UX + Dev'!$AB$1:$DN$1,"&lt;="&amp;EOMONTH(AL$1,0),'UX + Dev'!$AB138:$DN138,"&lt;&gt;"))</f>
      </c>
      <c r="AM138">
        <f>IF($B138="",0,COUNTIFS('UX + Dev'!$AB$1:$DN$1,"&gt;="&amp;AM$1,'UX + Dev'!$AB$1:$DN$1,"&lt;="&amp;EOMONTH(AM$1,0),'UX + Dev'!$AB138:$DN138,"&lt;&gt;"))</f>
      </c>
      <c r="AN138">
        <f>IF($B138="",0,COUNTIFS('UX + Dev'!$AB$1:$DN$1,"&gt;="&amp;AN$1,'UX + Dev'!$AB$1:$DN$1,"&lt;="&amp;EOMONTH(AN$1,0),'UX + Dev'!$AB138:$DN138,"&lt;&gt;"))</f>
      </c>
      <c r="AO138">
        <f>IF($B138="",0,COUNTIFS('UX + Dev'!$AB$1:$DN$1,"&gt;="&amp;AO$1,'UX + Dev'!$AB$1:$DN$1,"&lt;="&amp;EOMONTH(AO$1,0),'UX + Dev'!$AB138:$DN138,"&lt;&gt;"))</f>
      </c>
      <c r="AP138">
        <f>IF($B138="",0,COUNTIFS('UX + Dev'!$AB$1:$DN$1,"&gt;="&amp;AP$1,'UX + Dev'!$AB$1:$DN$1,"&lt;="&amp;EOMONTH(AP$1,0),'UX + Dev'!$AB138:$DN138,"&lt;&gt;"))</f>
      </c>
      <c r="AQ138">
        <f>IF($B138="",0,COUNTIFS('UX + Dev'!$AB$1:$DN$1,"&gt;="&amp;AQ$1,'UX + Dev'!$AB$1:$DN$1,"&lt;="&amp;EOMONTH(AQ$1,0),'UX + Dev'!$AB138:$DN138,"&lt;&gt;"))</f>
      </c>
      <c r="AR138">
        <f>IF($B138="",0,COUNTIFS('UX + Dev'!$AB$1:$DN$1,"&gt;="&amp;AR$1,'UX + Dev'!$AB$1:$DN$1,"&lt;="&amp;EOMONTH(AR$1,0),'UX + Dev'!$AB138:$DN138,"&lt;&gt;"))</f>
      </c>
      <c r="AS138">
        <f>IF($B138="",0,COUNTIFS('UX + Dev'!$AB$1:$DN$1,"&gt;="&amp;AS$1,'UX + Dev'!$AB$1:$DN$1,"&lt;="&amp;EOMONTH(AS$1,0),'UX + Dev'!$AB138:$DN138,"&lt;&gt;"))</f>
      </c>
      <c r="AT138">
        <f>IF($B138="",0,COUNTIFS('UX + Dev'!$AB$1:$DN$1,"&gt;="&amp;AT$1,'UX + Dev'!$AB$1:$DN$1,"&lt;="&amp;EOMONTH(AT$1,0),'UX + Dev'!$AB138:$DN138,"&lt;&gt;"))</f>
      </c>
      <c r="AU138">
        <f>IF($B138="",0,COUNTIFS('UX + Dev'!$AB$1:$DN$1,"&gt;="&amp;AU$1,'UX + Dev'!$AB$1:$DN$1,"&lt;="&amp;EOMONTH(AU$1,0),'UX + Dev'!$AB138:$DN138,"&lt;&gt;"))</f>
      </c>
      <c r="AV138">
        <f>IF($B138="",0,COUNTIFS('UX + Dev'!$AB$1:$DN$1,"&gt;="&amp;AV$1,'UX + Dev'!$AB$1:$DN$1,"&lt;="&amp;EOMONTH(AV$1,0),'UX + Dev'!$AB138:$DN138,"&lt;&gt;"))</f>
      </c>
      <c r="AW138">
        <f>IF($B138="",0,COUNTIFS('UX + Dev'!$AB$1:$DN$1,"&gt;="&amp;AW$1,'UX + Dev'!$AB$1:$DN$1,"&lt;="&amp;EOMONTH(AW$1,0),'UX + Dev'!$AB138:$DN138,"&lt;&gt;"))</f>
      </c>
      <c r="AX138">
        <f>IF($B138="",0,COUNTIFS('UX + Dev'!$AB$1:$DN$1,"&gt;="&amp;AX$1,'UX + Dev'!$AB$1:$DN$1,"&lt;="&amp;EOMONTH(AX$1,0),'UX + Dev'!$AB138:$DN138,"&lt;&gt;"))</f>
      </c>
      <c r="BB138" s="308">
        <f>IF($B138="","",IF(COUNTA('UX + Dev'!U138)&gt;0,DATE(YEAR('UX + Dev'!U138),MONTH('UX + Dev'!U138),1),IF(COUNTA('UX + Dev'!V138)&gt;0,DATE(YEAR('UX + Dev'!V138),MONTH('UX + Dev'!V138),1),"")))</f>
      </c>
      <c r="BC138" s="308">
        <f>IF($B138="","",IF(COUNTA('UX + Dev'!V138)&gt;0,EOMONTH('UX + Dev'!V138,0),IF(COUNTA('UX + Dev'!U138)&gt;0,EOMONTH('UX + Dev'!U138,0),"")))</f>
      </c>
    </row>
    <row r="139">
      <c r="A139" s="305" t="n">
        <v>139</v>
      </c>
      <c r="B139" s="305">
        <f>IF(TRIM('UX + Dev'!E139)="","",TRIM('UX + Dev'!E139))</f>
      </c>
      <c r="C139" s="305">
        <f>IF($B139="","",'UX + Dev'!B139)</f>
      </c>
      <c r="D139" s="305">
        <f>IF($B139="","",IF(TRIM('UX + Dev'!C139)="","(No theme assigned)",TRIM('UX + Dev'!C139)))</f>
      </c>
      <c r="E139" s="305">
        <f>IF($B139="","",TRIM('UX + Dev'!F139))</f>
      </c>
      <c r="F139" s="305">
        <f>IF($B139="","",'UX + Dev'!G139)</f>
      </c>
      <c r="G139" s="306">
        <f t="array" ref="G139">IF($B139="","",IF($T139=0,"",IFERROR(MIN(IF('UX + Dev'!$AB139:$DN139&lt;&gt;"",'UX + Dev'!$AB$1:$DN$1)),"")))</f>
      </c>
      <c r="H139" s="306">
        <f t="array" ref="H139">IF($B139="","",IF($T139=0,"",IFERROR(MAX(IF('UX + Dev'!$AB139:$DN139&lt;&gt;"",'UX + Dev'!$AB$1:$DN$1)),"")))</f>
      </c>
      <c r="I139" s="307">
        <f>IF($R139&lt;&gt;"",$R139,IF($S139&lt;&gt;"",$S139,""))</f>
      </c>
      <c r="J139" s="307">
        <f>IF($S139&lt;&gt;"",EOMONTH($S139,0),IF($R139&lt;&gt;"",EOMONTH($R139,0),""))</f>
      </c>
      <c r="K139" s="305">
        <f>IF($B139="","",IF(COUNTA('UX + Dev'!AA139)=0,"",TRIM('UX + Dev'!AA139)))</f>
      </c>
      <c r="L139" s="305">
        <f>IF($B139="","",IFERROR(MATCH($D139,Control!$E$4:$E$30,0),99))</f>
      </c>
      <c r="M139" s="305">
        <f>IF($B139="","",IFERROR(MATCH($F139,Control!$B$4:$B$30,0),99))</f>
      </c>
      <c r="N139" s="305">
        <f>IF($V139&lt;&gt;1,"",IF('Roadmap (Auto)'!$D$3="Status, then Theme",$M139*1000000+$L139*10000+ROW(),IF('Roadmap (Auto)'!$D$3="Dev start (earliest)",IF($I139="",99999999,$I139)*10000+ROW(),IF('Roadmap (Auto)'!$D$3="UX start (earliest)",IF($G139="",99999999,$G139)*10000+ROW(),IF('Roadmap (Auto)'!$D$3="Deliverable A-Z",$W139*10000+ROW(),$L139*1000000+$M139*10000+ROW())))))</f>
      </c>
      <c r="O139" s="305">
        <f>IF($N139="","",COUNTIF($N$2:$N$151,"&lt;"&amp;$N139)+1)</f>
      </c>
      <c r="P139" s="305">
        <f>IF($B139="","",IF(COUNTA('UX + Dev'!X139)=0,"",'UX + Dev'!X139))</f>
      </c>
      <c r="Q139" s="305">
        <f>IF($B139="","",IF(COUNTA('UX + Dev'!Y139)=0,"",'UX + Dev'!Y139))</f>
      </c>
      <c r="R139" s="307">
        <f>IF($P139="","",IF(ISNUMBER($P139),DATE(YEAR($P139),MONTH($P139),1),IFERROR(DATE(IFERROR(VALUE(RIGHT(TRIM($P139),4)),YEAR(TODAY())),(SEARCH(LEFT(TRIM($P139),3),"JanFebMarAprMayJunJulAugSepOctNovDec")+2)/3,1),"")))</f>
      </c>
      <c r="S139" s="307">
        <f>IF($Q139="","",IF(ISNUMBER($Q139),DATE(YEAR($Q139),MONTH($Q139),1),IFERROR(DATE(IFERROR(VALUE(RIGHT(TRIM($Q139),4)),YEAR(TODAY())),(SEARCH(LEFT(TRIM($Q139),3),"JanFebMarAprMayJunJulAugSepOctNovDec")+2)/3,1),"")))</f>
      </c>
      <c r="T139" s="305">
        <f>IF($B139="","",COUNTA('UX + Dev'!$AB139:$DN139))</f>
      </c>
      <c r="U139" s="305">
        <f>IF($B139="","",IFERROR(MATCH($D139,Control!$E$4:$E$30,0)+3,0))</f>
      </c>
      <c r="V139" s="305">
        <f>IF($B139="","",IF(AND(OR('Roadmap (Auto)'!$A$3="",'Roadmap (Auto)'!$A$3="(All)",ISNUMBER(SEARCH('Roadmap (Auto)'!$A$3,$C139&amp;""))),OR('Roadmap (Auto)'!$B$3="",'Roadmap (Auto)'!$B$3="(All)",$D139='Roadmap (Auto)'!$B$3,$X139='Roadmap (Auto)'!$B$3),OR('Roadmap (Auto)'!$C$3="",'Roadmap (Auto)'!$C$3="(All)",$F139='Roadmap (Auto)'!$C$3)),1,0))</f>
      </c>
      <c r="W139" s="305">
        <f>IF($B139="","",COUNTIF($Y$2:$Y$151,"&lt;"&amp;$Y139)+1)</f>
      </c>
      <c r="X139" s="305">
        <f>IF($B139="","",IF(TRIM('UX + Dev'!D139)="","",TRIM('UX + Dev'!D139)))</f>
      </c>
      <c r="Y139" s="305">
        <f>IF($B139="","",SUBSTITUTE(SUBSTITUTE(SUBSTITUTE(SUBSTITUTE(SUBSTITUTE(SUBSTITUTE(SUBSTITUTE(SUBSTITUTE(SUBSTITUTE(SUBSTITUTE(SUBSTITUTE(SUBSTITUTE(SUBSTITUTE(SUBSTITUTE(SUBSTITUTE(SUBSTITUTE(SUBSTITUTE(SUBSTITUTE(SUBSTITUTE(SUBSTITUTE(SUBSTITUTE(SUBSTITUTE(SUBSTITUTE(SUBSTITUTE(SUBSTITUTE(UPPER($B139)," ",""),"-",""),":",""),"/",""),"&amp;",""),"|",""),"'",""),"’",""),"&lt;",""),"&gt;",""),",",""),"$",""),".",""),"(",""),")",""),"*",""),"?",""),"~",""),"_",""),"+",""),"#",""),";",""),"!",""),"%",""),"@",""))</f>
      </c>
      <c r="AA139">
        <f>IF($B139="",0,COUNTIFS('UX + Dev'!$AB$1:$DN$1,"&gt;="&amp;AA$1,'UX + Dev'!$AB$1:$DN$1,"&lt;="&amp;EOMONTH(AA$1,0),'UX + Dev'!$AB139:$DN139,"&lt;&gt;"))</f>
      </c>
      <c r="AB139">
        <f>IF($B139="",0,COUNTIFS('UX + Dev'!$AB$1:$DN$1,"&gt;="&amp;AB$1,'UX + Dev'!$AB$1:$DN$1,"&lt;="&amp;EOMONTH(AB$1,0),'UX + Dev'!$AB139:$DN139,"&lt;&gt;"))</f>
      </c>
      <c r="AC139">
        <f>IF($B139="",0,COUNTIFS('UX + Dev'!$AB$1:$DN$1,"&gt;="&amp;AC$1,'UX + Dev'!$AB$1:$DN$1,"&lt;="&amp;EOMONTH(AC$1,0),'UX + Dev'!$AB139:$DN139,"&lt;&gt;"))</f>
      </c>
      <c r="AD139">
        <f>IF($B139="",0,COUNTIFS('UX + Dev'!$AB$1:$DN$1,"&gt;="&amp;AD$1,'UX + Dev'!$AB$1:$DN$1,"&lt;="&amp;EOMONTH(AD$1,0),'UX + Dev'!$AB139:$DN139,"&lt;&gt;"))</f>
      </c>
      <c r="AE139">
        <f>IF($B139="",0,COUNTIFS('UX + Dev'!$AB$1:$DN$1,"&gt;="&amp;AE$1,'UX + Dev'!$AB$1:$DN$1,"&lt;="&amp;EOMONTH(AE$1,0),'UX + Dev'!$AB139:$DN139,"&lt;&gt;"))</f>
      </c>
      <c r="AF139">
        <f>IF($B139="",0,COUNTIFS('UX + Dev'!$AB$1:$DN$1,"&gt;="&amp;AF$1,'UX + Dev'!$AB$1:$DN$1,"&lt;="&amp;EOMONTH(AF$1,0),'UX + Dev'!$AB139:$DN139,"&lt;&gt;"))</f>
      </c>
      <c r="AG139">
        <f>IF($B139="",0,COUNTIFS('UX + Dev'!$AB$1:$DN$1,"&gt;="&amp;AG$1,'UX + Dev'!$AB$1:$DN$1,"&lt;="&amp;EOMONTH(AG$1,0),'UX + Dev'!$AB139:$DN139,"&lt;&gt;"))</f>
      </c>
      <c r="AH139">
        <f>IF($B139="",0,COUNTIFS('UX + Dev'!$AB$1:$DN$1,"&gt;="&amp;AH$1,'UX + Dev'!$AB$1:$DN$1,"&lt;="&amp;EOMONTH(AH$1,0),'UX + Dev'!$AB139:$DN139,"&lt;&gt;"))</f>
      </c>
      <c r="AI139">
        <f>IF($B139="",0,COUNTIFS('UX + Dev'!$AB$1:$DN$1,"&gt;="&amp;AI$1,'UX + Dev'!$AB$1:$DN$1,"&lt;="&amp;EOMONTH(AI$1,0),'UX + Dev'!$AB139:$DN139,"&lt;&gt;"))</f>
      </c>
      <c r="AJ139">
        <f>IF($B139="",0,COUNTIFS('UX + Dev'!$AB$1:$DN$1,"&gt;="&amp;AJ$1,'UX + Dev'!$AB$1:$DN$1,"&lt;="&amp;EOMONTH(AJ$1,0),'UX + Dev'!$AB139:$DN139,"&lt;&gt;"))</f>
      </c>
      <c r="AK139">
        <f>IF($B139="",0,COUNTIFS('UX + Dev'!$AB$1:$DN$1,"&gt;="&amp;AK$1,'UX + Dev'!$AB$1:$DN$1,"&lt;="&amp;EOMONTH(AK$1,0),'UX + Dev'!$AB139:$DN139,"&lt;&gt;"))</f>
      </c>
      <c r="AL139">
        <f>IF($B139="",0,COUNTIFS('UX + Dev'!$AB$1:$DN$1,"&gt;="&amp;AL$1,'UX + Dev'!$AB$1:$DN$1,"&lt;="&amp;EOMONTH(AL$1,0),'UX + Dev'!$AB139:$DN139,"&lt;&gt;"))</f>
      </c>
      <c r="AM139">
        <f>IF($B139="",0,COUNTIFS('UX + Dev'!$AB$1:$DN$1,"&gt;="&amp;AM$1,'UX + Dev'!$AB$1:$DN$1,"&lt;="&amp;EOMONTH(AM$1,0),'UX + Dev'!$AB139:$DN139,"&lt;&gt;"))</f>
      </c>
      <c r="AN139">
        <f>IF($B139="",0,COUNTIFS('UX + Dev'!$AB$1:$DN$1,"&gt;="&amp;AN$1,'UX + Dev'!$AB$1:$DN$1,"&lt;="&amp;EOMONTH(AN$1,0),'UX + Dev'!$AB139:$DN139,"&lt;&gt;"))</f>
      </c>
      <c r="AO139">
        <f>IF($B139="",0,COUNTIFS('UX + Dev'!$AB$1:$DN$1,"&gt;="&amp;AO$1,'UX + Dev'!$AB$1:$DN$1,"&lt;="&amp;EOMONTH(AO$1,0),'UX + Dev'!$AB139:$DN139,"&lt;&gt;"))</f>
      </c>
      <c r="AP139">
        <f>IF($B139="",0,COUNTIFS('UX + Dev'!$AB$1:$DN$1,"&gt;="&amp;AP$1,'UX + Dev'!$AB$1:$DN$1,"&lt;="&amp;EOMONTH(AP$1,0),'UX + Dev'!$AB139:$DN139,"&lt;&gt;"))</f>
      </c>
      <c r="AQ139">
        <f>IF($B139="",0,COUNTIFS('UX + Dev'!$AB$1:$DN$1,"&gt;="&amp;AQ$1,'UX + Dev'!$AB$1:$DN$1,"&lt;="&amp;EOMONTH(AQ$1,0),'UX + Dev'!$AB139:$DN139,"&lt;&gt;"))</f>
      </c>
      <c r="AR139">
        <f>IF($B139="",0,COUNTIFS('UX + Dev'!$AB$1:$DN$1,"&gt;="&amp;AR$1,'UX + Dev'!$AB$1:$DN$1,"&lt;="&amp;EOMONTH(AR$1,0),'UX + Dev'!$AB139:$DN139,"&lt;&gt;"))</f>
      </c>
      <c r="AS139">
        <f>IF($B139="",0,COUNTIFS('UX + Dev'!$AB$1:$DN$1,"&gt;="&amp;AS$1,'UX + Dev'!$AB$1:$DN$1,"&lt;="&amp;EOMONTH(AS$1,0),'UX + Dev'!$AB139:$DN139,"&lt;&gt;"))</f>
      </c>
      <c r="AT139">
        <f>IF($B139="",0,COUNTIFS('UX + Dev'!$AB$1:$DN$1,"&gt;="&amp;AT$1,'UX + Dev'!$AB$1:$DN$1,"&lt;="&amp;EOMONTH(AT$1,0),'UX + Dev'!$AB139:$DN139,"&lt;&gt;"))</f>
      </c>
      <c r="AU139">
        <f>IF($B139="",0,COUNTIFS('UX + Dev'!$AB$1:$DN$1,"&gt;="&amp;AU$1,'UX + Dev'!$AB$1:$DN$1,"&lt;="&amp;EOMONTH(AU$1,0),'UX + Dev'!$AB139:$DN139,"&lt;&gt;"))</f>
      </c>
      <c r="AV139">
        <f>IF($B139="",0,COUNTIFS('UX + Dev'!$AB$1:$DN$1,"&gt;="&amp;AV$1,'UX + Dev'!$AB$1:$DN$1,"&lt;="&amp;EOMONTH(AV$1,0),'UX + Dev'!$AB139:$DN139,"&lt;&gt;"))</f>
      </c>
      <c r="AW139">
        <f>IF($B139="",0,COUNTIFS('UX + Dev'!$AB$1:$DN$1,"&gt;="&amp;AW$1,'UX + Dev'!$AB$1:$DN$1,"&lt;="&amp;EOMONTH(AW$1,0),'UX + Dev'!$AB139:$DN139,"&lt;&gt;"))</f>
      </c>
      <c r="AX139">
        <f>IF($B139="",0,COUNTIFS('UX + Dev'!$AB$1:$DN$1,"&gt;="&amp;AX$1,'UX + Dev'!$AB$1:$DN$1,"&lt;="&amp;EOMONTH(AX$1,0),'UX + Dev'!$AB139:$DN139,"&lt;&gt;"))</f>
      </c>
      <c r="BB139" s="308">
        <f>IF($B139="","",IF(COUNTA('UX + Dev'!U139)&gt;0,DATE(YEAR('UX + Dev'!U139),MONTH('UX + Dev'!U139),1),IF(COUNTA('UX + Dev'!V139)&gt;0,DATE(YEAR('UX + Dev'!V139),MONTH('UX + Dev'!V139),1),"")))</f>
      </c>
      <c r="BC139" s="308">
        <f>IF($B139="","",IF(COUNTA('UX + Dev'!V139)&gt;0,EOMONTH('UX + Dev'!V139,0),IF(COUNTA('UX + Dev'!U139)&gt;0,EOMONTH('UX + Dev'!U139,0),"")))</f>
      </c>
    </row>
    <row r="140">
      <c r="A140" s="305" t="n">
        <v>140</v>
      </c>
      <c r="B140" s="305">
        <f>IF(TRIM('UX + Dev'!E140)="","",TRIM('UX + Dev'!E140))</f>
      </c>
      <c r="C140" s="305">
        <f>IF($B140="","",'UX + Dev'!B140)</f>
      </c>
      <c r="D140" s="305">
        <f>IF($B140="","",IF(TRIM('UX + Dev'!C140)="","(No theme assigned)",TRIM('UX + Dev'!C140)))</f>
      </c>
      <c r="E140" s="305">
        <f>IF($B140="","",TRIM('UX + Dev'!F140))</f>
      </c>
      <c r="F140" s="305">
        <f>IF($B140="","",'UX + Dev'!G140)</f>
      </c>
      <c r="G140" s="306">
        <f t="array" ref="G140">IF($B140="","",IF($T140=0,"",IFERROR(MIN(IF('UX + Dev'!$AB140:$DN140&lt;&gt;"",'UX + Dev'!$AB$1:$DN$1)),"")))</f>
      </c>
      <c r="H140" s="306">
        <f t="array" ref="H140">IF($B140="","",IF($T140=0,"",IFERROR(MAX(IF('UX + Dev'!$AB140:$DN140&lt;&gt;"",'UX + Dev'!$AB$1:$DN$1)),"")))</f>
      </c>
      <c r="I140" s="307">
        <f>IF($R140&lt;&gt;"",$R140,IF($S140&lt;&gt;"",$S140,""))</f>
      </c>
      <c r="J140" s="307">
        <f>IF($S140&lt;&gt;"",EOMONTH($S140,0),IF($R140&lt;&gt;"",EOMONTH($R140,0),""))</f>
      </c>
      <c r="K140" s="305">
        <f>IF($B140="","",IF(COUNTA('UX + Dev'!AA140)=0,"",TRIM('UX + Dev'!AA140)))</f>
      </c>
      <c r="L140" s="305">
        <f>IF($B140="","",IFERROR(MATCH($D140,Control!$E$4:$E$30,0),99))</f>
      </c>
      <c r="M140" s="305">
        <f>IF($B140="","",IFERROR(MATCH($F140,Control!$B$4:$B$30,0),99))</f>
      </c>
      <c r="N140" s="305">
        <f>IF($V140&lt;&gt;1,"",IF('Roadmap (Auto)'!$D$3="Status, then Theme",$M140*1000000+$L140*10000+ROW(),IF('Roadmap (Auto)'!$D$3="Dev start (earliest)",IF($I140="",99999999,$I140)*10000+ROW(),IF('Roadmap (Auto)'!$D$3="UX start (earliest)",IF($G140="",99999999,$G140)*10000+ROW(),IF('Roadmap (Auto)'!$D$3="Deliverable A-Z",$W140*10000+ROW(),$L140*1000000+$M140*10000+ROW())))))</f>
      </c>
      <c r="O140" s="305">
        <f>IF($N140="","",COUNTIF($N$2:$N$151,"&lt;"&amp;$N140)+1)</f>
      </c>
      <c r="P140" s="305">
        <f>IF($B140="","",IF(COUNTA('UX + Dev'!X140)=0,"",'UX + Dev'!X140))</f>
      </c>
      <c r="Q140" s="305">
        <f>IF($B140="","",IF(COUNTA('UX + Dev'!Y140)=0,"",'UX + Dev'!Y140))</f>
      </c>
      <c r="R140" s="307">
        <f>IF($P140="","",IF(ISNUMBER($P140),DATE(YEAR($P140),MONTH($P140),1),IFERROR(DATE(IFERROR(VALUE(RIGHT(TRIM($P140),4)),YEAR(TODAY())),(SEARCH(LEFT(TRIM($P140),3),"JanFebMarAprMayJunJulAugSepOctNovDec")+2)/3,1),"")))</f>
      </c>
      <c r="S140" s="307">
        <f>IF($Q140="","",IF(ISNUMBER($Q140),DATE(YEAR($Q140),MONTH($Q140),1),IFERROR(DATE(IFERROR(VALUE(RIGHT(TRIM($Q140),4)),YEAR(TODAY())),(SEARCH(LEFT(TRIM($Q140),3),"JanFebMarAprMayJunJulAugSepOctNovDec")+2)/3,1),"")))</f>
      </c>
      <c r="T140" s="305">
        <f>IF($B140="","",COUNTA('UX + Dev'!$AB140:$DN140))</f>
      </c>
      <c r="U140" s="305">
        <f>IF($B140="","",IFERROR(MATCH($D140,Control!$E$4:$E$30,0)+3,0))</f>
      </c>
      <c r="V140" s="305">
        <f>IF($B140="","",IF(AND(OR('Roadmap (Auto)'!$A$3="",'Roadmap (Auto)'!$A$3="(All)",ISNUMBER(SEARCH('Roadmap (Auto)'!$A$3,$C140&amp;""))),OR('Roadmap (Auto)'!$B$3="",'Roadmap (Auto)'!$B$3="(All)",$D140='Roadmap (Auto)'!$B$3,$X140='Roadmap (Auto)'!$B$3),OR('Roadmap (Auto)'!$C$3="",'Roadmap (Auto)'!$C$3="(All)",$F140='Roadmap (Auto)'!$C$3)),1,0))</f>
      </c>
      <c r="W140" s="305">
        <f>IF($B140="","",COUNTIF($Y$2:$Y$151,"&lt;"&amp;$Y140)+1)</f>
      </c>
      <c r="X140" s="305">
        <f>IF($B140="","",IF(TRIM('UX + Dev'!D140)="","",TRIM('UX + Dev'!D140)))</f>
      </c>
      <c r="Y140" s="305">
        <f>IF($B140="","",SUBSTITUTE(SUBSTITUTE(SUBSTITUTE(SUBSTITUTE(SUBSTITUTE(SUBSTITUTE(SUBSTITUTE(SUBSTITUTE(SUBSTITUTE(SUBSTITUTE(SUBSTITUTE(SUBSTITUTE(SUBSTITUTE(SUBSTITUTE(SUBSTITUTE(SUBSTITUTE(SUBSTITUTE(SUBSTITUTE(SUBSTITUTE(SUBSTITUTE(SUBSTITUTE(SUBSTITUTE(SUBSTITUTE(SUBSTITUTE(SUBSTITUTE(UPPER($B140)," ",""),"-",""),":",""),"/",""),"&amp;",""),"|",""),"'",""),"’",""),"&lt;",""),"&gt;",""),",",""),"$",""),".",""),"(",""),")",""),"*",""),"?",""),"~",""),"_",""),"+",""),"#",""),";",""),"!",""),"%",""),"@",""))</f>
      </c>
      <c r="AA140">
        <f>IF($B140="",0,COUNTIFS('UX + Dev'!$AB$1:$DN$1,"&gt;="&amp;AA$1,'UX + Dev'!$AB$1:$DN$1,"&lt;="&amp;EOMONTH(AA$1,0),'UX + Dev'!$AB140:$DN140,"&lt;&gt;"))</f>
      </c>
      <c r="AB140">
        <f>IF($B140="",0,COUNTIFS('UX + Dev'!$AB$1:$DN$1,"&gt;="&amp;AB$1,'UX + Dev'!$AB$1:$DN$1,"&lt;="&amp;EOMONTH(AB$1,0),'UX + Dev'!$AB140:$DN140,"&lt;&gt;"))</f>
      </c>
      <c r="AC140">
        <f>IF($B140="",0,COUNTIFS('UX + Dev'!$AB$1:$DN$1,"&gt;="&amp;AC$1,'UX + Dev'!$AB$1:$DN$1,"&lt;="&amp;EOMONTH(AC$1,0),'UX + Dev'!$AB140:$DN140,"&lt;&gt;"))</f>
      </c>
      <c r="AD140">
        <f>IF($B140="",0,COUNTIFS('UX + Dev'!$AB$1:$DN$1,"&gt;="&amp;AD$1,'UX + Dev'!$AB$1:$DN$1,"&lt;="&amp;EOMONTH(AD$1,0),'UX + Dev'!$AB140:$DN140,"&lt;&gt;"))</f>
      </c>
      <c r="AE140">
        <f>IF($B140="",0,COUNTIFS('UX + Dev'!$AB$1:$DN$1,"&gt;="&amp;AE$1,'UX + Dev'!$AB$1:$DN$1,"&lt;="&amp;EOMONTH(AE$1,0),'UX + Dev'!$AB140:$DN140,"&lt;&gt;"))</f>
      </c>
      <c r="AF140">
        <f>IF($B140="",0,COUNTIFS('UX + Dev'!$AB$1:$DN$1,"&gt;="&amp;AF$1,'UX + Dev'!$AB$1:$DN$1,"&lt;="&amp;EOMONTH(AF$1,0),'UX + Dev'!$AB140:$DN140,"&lt;&gt;"))</f>
      </c>
      <c r="AG140">
        <f>IF($B140="",0,COUNTIFS('UX + Dev'!$AB$1:$DN$1,"&gt;="&amp;AG$1,'UX + Dev'!$AB$1:$DN$1,"&lt;="&amp;EOMONTH(AG$1,0),'UX + Dev'!$AB140:$DN140,"&lt;&gt;"))</f>
      </c>
      <c r="AH140">
        <f>IF($B140="",0,COUNTIFS('UX + Dev'!$AB$1:$DN$1,"&gt;="&amp;AH$1,'UX + Dev'!$AB$1:$DN$1,"&lt;="&amp;EOMONTH(AH$1,0),'UX + Dev'!$AB140:$DN140,"&lt;&gt;"))</f>
      </c>
      <c r="AI140">
        <f>IF($B140="",0,COUNTIFS('UX + Dev'!$AB$1:$DN$1,"&gt;="&amp;AI$1,'UX + Dev'!$AB$1:$DN$1,"&lt;="&amp;EOMONTH(AI$1,0),'UX + Dev'!$AB140:$DN140,"&lt;&gt;"))</f>
      </c>
      <c r="AJ140">
        <f>IF($B140="",0,COUNTIFS('UX + Dev'!$AB$1:$DN$1,"&gt;="&amp;AJ$1,'UX + Dev'!$AB$1:$DN$1,"&lt;="&amp;EOMONTH(AJ$1,0),'UX + Dev'!$AB140:$DN140,"&lt;&gt;"))</f>
      </c>
      <c r="AK140">
        <f>IF($B140="",0,COUNTIFS('UX + Dev'!$AB$1:$DN$1,"&gt;="&amp;AK$1,'UX + Dev'!$AB$1:$DN$1,"&lt;="&amp;EOMONTH(AK$1,0),'UX + Dev'!$AB140:$DN140,"&lt;&gt;"))</f>
      </c>
      <c r="AL140">
        <f>IF($B140="",0,COUNTIFS('UX + Dev'!$AB$1:$DN$1,"&gt;="&amp;AL$1,'UX + Dev'!$AB$1:$DN$1,"&lt;="&amp;EOMONTH(AL$1,0),'UX + Dev'!$AB140:$DN140,"&lt;&gt;"))</f>
      </c>
      <c r="AM140">
        <f>IF($B140="",0,COUNTIFS('UX + Dev'!$AB$1:$DN$1,"&gt;="&amp;AM$1,'UX + Dev'!$AB$1:$DN$1,"&lt;="&amp;EOMONTH(AM$1,0),'UX + Dev'!$AB140:$DN140,"&lt;&gt;"))</f>
      </c>
      <c r="AN140">
        <f>IF($B140="",0,COUNTIFS('UX + Dev'!$AB$1:$DN$1,"&gt;="&amp;AN$1,'UX + Dev'!$AB$1:$DN$1,"&lt;="&amp;EOMONTH(AN$1,0),'UX + Dev'!$AB140:$DN140,"&lt;&gt;"))</f>
      </c>
      <c r="AO140">
        <f>IF($B140="",0,COUNTIFS('UX + Dev'!$AB$1:$DN$1,"&gt;="&amp;AO$1,'UX + Dev'!$AB$1:$DN$1,"&lt;="&amp;EOMONTH(AO$1,0),'UX + Dev'!$AB140:$DN140,"&lt;&gt;"))</f>
      </c>
      <c r="AP140">
        <f>IF($B140="",0,COUNTIFS('UX + Dev'!$AB$1:$DN$1,"&gt;="&amp;AP$1,'UX + Dev'!$AB$1:$DN$1,"&lt;="&amp;EOMONTH(AP$1,0),'UX + Dev'!$AB140:$DN140,"&lt;&gt;"))</f>
      </c>
      <c r="AQ140">
        <f>IF($B140="",0,COUNTIFS('UX + Dev'!$AB$1:$DN$1,"&gt;="&amp;AQ$1,'UX + Dev'!$AB$1:$DN$1,"&lt;="&amp;EOMONTH(AQ$1,0),'UX + Dev'!$AB140:$DN140,"&lt;&gt;"))</f>
      </c>
      <c r="AR140">
        <f>IF($B140="",0,COUNTIFS('UX + Dev'!$AB$1:$DN$1,"&gt;="&amp;AR$1,'UX + Dev'!$AB$1:$DN$1,"&lt;="&amp;EOMONTH(AR$1,0),'UX + Dev'!$AB140:$DN140,"&lt;&gt;"))</f>
      </c>
      <c r="AS140">
        <f>IF($B140="",0,COUNTIFS('UX + Dev'!$AB$1:$DN$1,"&gt;="&amp;AS$1,'UX + Dev'!$AB$1:$DN$1,"&lt;="&amp;EOMONTH(AS$1,0),'UX + Dev'!$AB140:$DN140,"&lt;&gt;"))</f>
      </c>
      <c r="AT140">
        <f>IF($B140="",0,COUNTIFS('UX + Dev'!$AB$1:$DN$1,"&gt;="&amp;AT$1,'UX + Dev'!$AB$1:$DN$1,"&lt;="&amp;EOMONTH(AT$1,0),'UX + Dev'!$AB140:$DN140,"&lt;&gt;"))</f>
      </c>
      <c r="AU140">
        <f>IF($B140="",0,COUNTIFS('UX + Dev'!$AB$1:$DN$1,"&gt;="&amp;AU$1,'UX + Dev'!$AB$1:$DN$1,"&lt;="&amp;EOMONTH(AU$1,0),'UX + Dev'!$AB140:$DN140,"&lt;&gt;"))</f>
      </c>
      <c r="AV140">
        <f>IF($B140="",0,COUNTIFS('UX + Dev'!$AB$1:$DN$1,"&gt;="&amp;AV$1,'UX + Dev'!$AB$1:$DN$1,"&lt;="&amp;EOMONTH(AV$1,0),'UX + Dev'!$AB140:$DN140,"&lt;&gt;"))</f>
      </c>
      <c r="AW140">
        <f>IF($B140="",0,COUNTIFS('UX + Dev'!$AB$1:$DN$1,"&gt;="&amp;AW$1,'UX + Dev'!$AB$1:$DN$1,"&lt;="&amp;EOMONTH(AW$1,0),'UX + Dev'!$AB140:$DN140,"&lt;&gt;"))</f>
      </c>
      <c r="AX140">
        <f>IF($B140="",0,COUNTIFS('UX + Dev'!$AB$1:$DN$1,"&gt;="&amp;AX$1,'UX + Dev'!$AB$1:$DN$1,"&lt;="&amp;EOMONTH(AX$1,0),'UX + Dev'!$AB140:$DN140,"&lt;&gt;"))</f>
      </c>
      <c r="BB140" s="308">
        <f>IF($B140="","",IF(COUNTA('UX + Dev'!U140)&gt;0,DATE(YEAR('UX + Dev'!U140),MONTH('UX + Dev'!U140),1),IF(COUNTA('UX + Dev'!V140)&gt;0,DATE(YEAR('UX + Dev'!V140),MONTH('UX + Dev'!V140),1),"")))</f>
      </c>
      <c r="BC140" s="308">
        <f>IF($B140="","",IF(COUNTA('UX + Dev'!V140)&gt;0,EOMONTH('UX + Dev'!V140,0),IF(COUNTA('UX + Dev'!U140)&gt;0,EOMONTH('UX + Dev'!U140,0),"")))</f>
      </c>
    </row>
    <row r="141">
      <c r="A141" s="305" t="n">
        <v>141</v>
      </c>
      <c r="B141" s="305">
        <f>IF(TRIM('UX + Dev'!E141)="","",TRIM('UX + Dev'!E141))</f>
      </c>
      <c r="C141" s="305">
        <f>IF($B141="","",'UX + Dev'!B141)</f>
      </c>
      <c r="D141" s="305">
        <f>IF($B141="","",IF(TRIM('UX + Dev'!C141)="","(No theme assigned)",TRIM('UX + Dev'!C141)))</f>
      </c>
      <c r="E141" s="305">
        <f>IF($B141="","",TRIM('UX + Dev'!F141))</f>
      </c>
      <c r="F141" s="305">
        <f>IF($B141="","",'UX + Dev'!G141)</f>
      </c>
      <c r="G141" s="306">
        <f t="array" ref="G141">IF($B141="","",IF($T141=0,"",IFERROR(MIN(IF('UX + Dev'!$AB141:$DN141&lt;&gt;"",'UX + Dev'!$AB$1:$DN$1)),"")))</f>
      </c>
      <c r="H141" s="306">
        <f t="array" ref="H141">IF($B141="","",IF($T141=0,"",IFERROR(MAX(IF('UX + Dev'!$AB141:$DN141&lt;&gt;"",'UX + Dev'!$AB$1:$DN$1)),"")))</f>
      </c>
      <c r="I141" s="307">
        <f>IF($R141&lt;&gt;"",$R141,IF($S141&lt;&gt;"",$S141,""))</f>
      </c>
      <c r="J141" s="307">
        <f>IF($S141&lt;&gt;"",EOMONTH($S141,0),IF($R141&lt;&gt;"",EOMONTH($R141,0),""))</f>
      </c>
      <c r="K141" s="305">
        <f>IF($B141="","",IF(COUNTA('UX + Dev'!AA141)=0,"",TRIM('UX + Dev'!AA141)))</f>
      </c>
      <c r="L141" s="305">
        <f>IF($B141="","",IFERROR(MATCH($D141,Control!$E$4:$E$30,0),99))</f>
      </c>
      <c r="M141" s="305">
        <f>IF($B141="","",IFERROR(MATCH($F141,Control!$B$4:$B$30,0),99))</f>
      </c>
      <c r="N141" s="305">
        <f>IF($V141&lt;&gt;1,"",IF('Roadmap (Auto)'!$D$3="Status, then Theme",$M141*1000000+$L141*10000+ROW(),IF('Roadmap (Auto)'!$D$3="Dev start (earliest)",IF($I141="",99999999,$I141)*10000+ROW(),IF('Roadmap (Auto)'!$D$3="UX start (earliest)",IF($G141="",99999999,$G141)*10000+ROW(),IF('Roadmap (Auto)'!$D$3="Deliverable A-Z",$W141*10000+ROW(),$L141*1000000+$M141*10000+ROW())))))</f>
      </c>
      <c r="O141" s="305">
        <f>IF($N141="","",COUNTIF($N$2:$N$151,"&lt;"&amp;$N141)+1)</f>
      </c>
      <c r="P141" s="305">
        <f>IF($B141="","",IF(COUNTA('UX + Dev'!X141)=0,"",'UX + Dev'!X141))</f>
      </c>
      <c r="Q141" s="305">
        <f>IF($B141="","",IF(COUNTA('UX + Dev'!Y141)=0,"",'UX + Dev'!Y141))</f>
      </c>
      <c r="R141" s="307">
        <f>IF($P141="","",IF(ISNUMBER($P141),DATE(YEAR($P141),MONTH($P141),1),IFERROR(DATE(IFERROR(VALUE(RIGHT(TRIM($P141),4)),YEAR(TODAY())),(SEARCH(LEFT(TRIM($P141),3),"JanFebMarAprMayJunJulAugSepOctNovDec")+2)/3,1),"")))</f>
      </c>
      <c r="S141" s="307">
        <f>IF($Q141="","",IF(ISNUMBER($Q141),DATE(YEAR($Q141),MONTH($Q141),1),IFERROR(DATE(IFERROR(VALUE(RIGHT(TRIM($Q141),4)),YEAR(TODAY())),(SEARCH(LEFT(TRIM($Q141),3),"JanFebMarAprMayJunJulAugSepOctNovDec")+2)/3,1),"")))</f>
      </c>
      <c r="T141" s="305">
        <f>IF($B141="","",COUNTA('UX + Dev'!$AB141:$DN141))</f>
      </c>
      <c r="U141" s="305">
        <f>IF($B141="","",IFERROR(MATCH($D141,Control!$E$4:$E$30,0)+3,0))</f>
      </c>
      <c r="V141" s="305">
        <f>IF($B141="","",IF(AND(OR('Roadmap (Auto)'!$A$3="",'Roadmap (Auto)'!$A$3="(All)",ISNUMBER(SEARCH('Roadmap (Auto)'!$A$3,$C141&amp;""))),OR('Roadmap (Auto)'!$B$3="",'Roadmap (Auto)'!$B$3="(All)",$D141='Roadmap (Auto)'!$B$3,$X141='Roadmap (Auto)'!$B$3),OR('Roadmap (Auto)'!$C$3="",'Roadmap (Auto)'!$C$3="(All)",$F141='Roadmap (Auto)'!$C$3)),1,0))</f>
      </c>
      <c r="W141" s="305">
        <f>IF($B141="","",COUNTIF($Y$2:$Y$151,"&lt;"&amp;$Y141)+1)</f>
      </c>
      <c r="X141" s="305">
        <f>IF($B141="","",IF(TRIM('UX + Dev'!D141)="","",TRIM('UX + Dev'!D141)))</f>
      </c>
      <c r="Y141" s="305">
        <f>IF($B141="","",SUBSTITUTE(SUBSTITUTE(SUBSTITUTE(SUBSTITUTE(SUBSTITUTE(SUBSTITUTE(SUBSTITUTE(SUBSTITUTE(SUBSTITUTE(SUBSTITUTE(SUBSTITUTE(SUBSTITUTE(SUBSTITUTE(SUBSTITUTE(SUBSTITUTE(SUBSTITUTE(SUBSTITUTE(SUBSTITUTE(SUBSTITUTE(SUBSTITUTE(SUBSTITUTE(SUBSTITUTE(SUBSTITUTE(SUBSTITUTE(SUBSTITUTE(UPPER($B141)," ",""),"-",""),":",""),"/",""),"&amp;",""),"|",""),"'",""),"’",""),"&lt;",""),"&gt;",""),",",""),"$",""),".",""),"(",""),")",""),"*",""),"?",""),"~",""),"_",""),"+",""),"#",""),";",""),"!",""),"%",""),"@",""))</f>
      </c>
      <c r="AA141">
        <f>IF($B141="",0,COUNTIFS('UX + Dev'!$AB$1:$DN$1,"&gt;="&amp;AA$1,'UX + Dev'!$AB$1:$DN$1,"&lt;="&amp;EOMONTH(AA$1,0),'UX + Dev'!$AB141:$DN141,"&lt;&gt;"))</f>
      </c>
      <c r="AB141">
        <f>IF($B141="",0,COUNTIFS('UX + Dev'!$AB$1:$DN$1,"&gt;="&amp;AB$1,'UX + Dev'!$AB$1:$DN$1,"&lt;="&amp;EOMONTH(AB$1,0),'UX + Dev'!$AB141:$DN141,"&lt;&gt;"))</f>
      </c>
      <c r="AC141">
        <f>IF($B141="",0,COUNTIFS('UX + Dev'!$AB$1:$DN$1,"&gt;="&amp;AC$1,'UX + Dev'!$AB$1:$DN$1,"&lt;="&amp;EOMONTH(AC$1,0),'UX + Dev'!$AB141:$DN141,"&lt;&gt;"))</f>
      </c>
      <c r="AD141">
        <f>IF($B141="",0,COUNTIFS('UX + Dev'!$AB$1:$DN$1,"&gt;="&amp;AD$1,'UX + Dev'!$AB$1:$DN$1,"&lt;="&amp;EOMONTH(AD$1,0),'UX + Dev'!$AB141:$DN141,"&lt;&gt;"))</f>
      </c>
      <c r="AE141">
        <f>IF($B141="",0,COUNTIFS('UX + Dev'!$AB$1:$DN$1,"&gt;="&amp;AE$1,'UX + Dev'!$AB$1:$DN$1,"&lt;="&amp;EOMONTH(AE$1,0),'UX + Dev'!$AB141:$DN141,"&lt;&gt;"))</f>
      </c>
      <c r="AF141">
        <f>IF($B141="",0,COUNTIFS('UX + Dev'!$AB$1:$DN$1,"&gt;="&amp;AF$1,'UX + Dev'!$AB$1:$DN$1,"&lt;="&amp;EOMONTH(AF$1,0),'UX + Dev'!$AB141:$DN141,"&lt;&gt;"))</f>
      </c>
      <c r="AG141">
        <f>IF($B141="",0,COUNTIFS('UX + Dev'!$AB$1:$DN$1,"&gt;="&amp;AG$1,'UX + Dev'!$AB$1:$DN$1,"&lt;="&amp;EOMONTH(AG$1,0),'UX + Dev'!$AB141:$DN141,"&lt;&gt;"))</f>
      </c>
      <c r="AH141">
        <f>IF($B141="",0,COUNTIFS('UX + Dev'!$AB$1:$DN$1,"&gt;="&amp;AH$1,'UX + Dev'!$AB$1:$DN$1,"&lt;="&amp;EOMONTH(AH$1,0),'UX + Dev'!$AB141:$DN141,"&lt;&gt;"))</f>
      </c>
      <c r="AI141">
        <f>IF($B141="",0,COUNTIFS('UX + Dev'!$AB$1:$DN$1,"&gt;="&amp;AI$1,'UX + Dev'!$AB$1:$DN$1,"&lt;="&amp;EOMONTH(AI$1,0),'UX + Dev'!$AB141:$DN141,"&lt;&gt;"))</f>
      </c>
      <c r="AJ141">
        <f>IF($B141="",0,COUNTIFS('UX + Dev'!$AB$1:$DN$1,"&gt;="&amp;AJ$1,'UX + Dev'!$AB$1:$DN$1,"&lt;="&amp;EOMONTH(AJ$1,0),'UX + Dev'!$AB141:$DN141,"&lt;&gt;"))</f>
      </c>
      <c r="AK141">
        <f>IF($B141="",0,COUNTIFS('UX + Dev'!$AB$1:$DN$1,"&gt;="&amp;AK$1,'UX + Dev'!$AB$1:$DN$1,"&lt;="&amp;EOMONTH(AK$1,0),'UX + Dev'!$AB141:$DN141,"&lt;&gt;"))</f>
      </c>
      <c r="AL141">
        <f>IF($B141="",0,COUNTIFS('UX + Dev'!$AB$1:$DN$1,"&gt;="&amp;AL$1,'UX + Dev'!$AB$1:$DN$1,"&lt;="&amp;EOMONTH(AL$1,0),'UX + Dev'!$AB141:$DN141,"&lt;&gt;"))</f>
      </c>
      <c r="AM141">
        <f>IF($B141="",0,COUNTIFS('UX + Dev'!$AB$1:$DN$1,"&gt;="&amp;AM$1,'UX + Dev'!$AB$1:$DN$1,"&lt;="&amp;EOMONTH(AM$1,0),'UX + Dev'!$AB141:$DN141,"&lt;&gt;"))</f>
      </c>
      <c r="AN141">
        <f>IF($B141="",0,COUNTIFS('UX + Dev'!$AB$1:$DN$1,"&gt;="&amp;AN$1,'UX + Dev'!$AB$1:$DN$1,"&lt;="&amp;EOMONTH(AN$1,0),'UX + Dev'!$AB141:$DN141,"&lt;&gt;"))</f>
      </c>
      <c r="AO141">
        <f>IF($B141="",0,COUNTIFS('UX + Dev'!$AB$1:$DN$1,"&gt;="&amp;AO$1,'UX + Dev'!$AB$1:$DN$1,"&lt;="&amp;EOMONTH(AO$1,0),'UX + Dev'!$AB141:$DN141,"&lt;&gt;"))</f>
      </c>
      <c r="AP141">
        <f>IF($B141="",0,COUNTIFS('UX + Dev'!$AB$1:$DN$1,"&gt;="&amp;AP$1,'UX + Dev'!$AB$1:$DN$1,"&lt;="&amp;EOMONTH(AP$1,0),'UX + Dev'!$AB141:$DN141,"&lt;&gt;"))</f>
      </c>
      <c r="AQ141">
        <f>IF($B141="",0,COUNTIFS('UX + Dev'!$AB$1:$DN$1,"&gt;="&amp;AQ$1,'UX + Dev'!$AB$1:$DN$1,"&lt;="&amp;EOMONTH(AQ$1,0),'UX + Dev'!$AB141:$DN141,"&lt;&gt;"))</f>
      </c>
      <c r="AR141">
        <f>IF($B141="",0,COUNTIFS('UX + Dev'!$AB$1:$DN$1,"&gt;="&amp;AR$1,'UX + Dev'!$AB$1:$DN$1,"&lt;="&amp;EOMONTH(AR$1,0),'UX + Dev'!$AB141:$DN141,"&lt;&gt;"))</f>
      </c>
      <c r="AS141">
        <f>IF($B141="",0,COUNTIFS('UX + Dev'!$AB$1:$DN$1,"&gt;="&amp;AS$1,'UX + Dev'!$AB$1:$DN$1,"&lt;="&amp;EOMONTH(AS$1,0),'UX + Dev'!$AB141:$DN141,"&lt;&gt;"))</f>
      </c>
      <c r="AT141">
        <f>IF($B141="",0,COUNTIFS('UX + Dev'!$AB$1:$DN$1,"&gt;="&amp;AT$1,'UX + Dev'!$AB$1:$DN$1,"&lt;="&amp;EOMONTH(AT$1,0),'UX + Dev'!$AB141:$DN141,"&lt;&gt;"))</f>
      </c>
      <c r="AU141">
        <f>IF($B141="",0,COUNTIFS('UX + Dev'!$AB$1:$DN$1,"&gt;="&amp;AU$1,'UX + Dev'!$AB$1:$DN$1,"&lt;="&amp;EOMONTH(AU$1,0),'UX + Dev'!$AB141:$DN141,"&lt;&gt;"))</f>
      </c>
      <c r="AV141">
        <f>IF($B141="",0,COUNTIFS('UX + Dev'!$AB$1:$DN$1,"&gt;="&amp;AV$1,'UX + Dev'!$AB$1:$DN$1,"&lt;="&amp;EOMONTH(AV$1,0),'UX + Dev'!$AB141:$DN141,"&lt;&gt;"))</f>
      </c>
      <c r="AW141">
        <f>IF($B141="",0,COUNTIFS('UX + Dev'!$AB$1:$DN$1,"&gt;="&amp;AW$1,'UX + Dev'!$AB$1:$DN$1,"&lt;="&amp;EOMONTH(AW$1,0),'UX + Dev'!$AB141:$DN141,"&lt;&gt;"))</f>
      </c>
      <c r="AX141">
        <f>IF($B141="",0,COUNTIFS('UX + Dev'!$AB$1:$DN$1,"&gt;="&amp;AX$1,'UX + Dev'!$AB$1:$DN$1,"&lt;="&amp;EOMONTH(AX$1,0),'UX + Dev'!$AB141:$DN141,"&lt;&gt;"))</f>
      </c>
      <c r="BB141" s="308">
        <f>IF($B141="","",IF(COUNTA('UX + Dev'!U141)&gt;0,DATE(YEAR('UX + Dev'!U141),MONTH('UX + Dev'!U141),1),IF(COUNTA('UX + Dev'!V141)&gt;0,DATE(YEAR('UX + Dev'!V141),MONTH('UX + Dev'!V141),1),"")))</f>
      </c>
      <c r="BC141" s="308">
        <f>IF($B141="","",IF(COUNTA('UX + Dev'!V141)&gt;0,EOMONTH('UX + Dev'!V141,0),IF(COUNTA('UX + Dev'!U141)&gt;0,EOMONTH('UX + Dev'!U141,0),"")))</f>
      </c>
    </row>
    <row r="142">
      <c r="A142" s="305" t="n">
        <v>142</v>
      </c>
      <c r="B142" s="305">
        <f>IF(TRIM('UX + Dev'!E142)="","",TRIM('UX + Dev'!E142))</f>
      </c>
      <c r="C142" s="305">
        <f>IF($B142="","",'UX + Dev'!B142)</f>
      </c>
      <c r="D142" s="305">
        <f>IF($B142="","",IF(TRIM('UX + Dev'!C142)="","(No theme assigned)",TRIM('UX + Dev'!C142)))</f>
      </c>
      <c r="E142" s="305">
        <f>IF($B142="","",TRIM('UX + Dev'!F142))</f>
      </c>
      <c r="F142" s="305">
        <f>IF($B142="","",'UX + Dev'!G142)</f>
      </c>
      <c r="G142" s="306">
        <f t="array" ref="G142">IF($B142="","",IF($T142=0,"",IFERROR(MIN(IF('UX + Dev'!$AB142:$DN142&lt;&gt;"",'UX + Dev'!$AB$1:$DN$1)),"")))</f>
      </c>
      <c r="H142" s="306">
        <f t="array" ref="H142">IF($B142="","",IF($T142=0,"",IFERROR(MAX(IF('UX + Dev'!$AB142:$DN142&lt;&gt;"",'UX + Dev'!$AB$1:$DN$1)),"")))</f>
      </c>
      <c r="I142" s="307">
        <f>IF($R142&lt;&gt;"",$R142,IF($S142&lt;&gt;"",$S142,""))</f>
      </c>
      <c r="J142" s="307">
        <f>IF($S142&lt;&gt;"",EOMONTH($S142,0),IF($R142&lt;&gt;"",EOMONTH($R142,0),""))</f>
      </c>
      <c r="K142" s="305">
        <f>IF($B142="","",IF(COUNTA('UX + Dev'!AA142)=0,"",TRIM('UX + Dev'!AA142)))</f>
      </c>
      <c r="L142" s="305">
        <f>IF($B142="","",IFERROR(MATCH($D142,Control!$E$4:$E$30,0),99))</f>
      </c>
      <c r="M142" s="305">
        <f>IF($B142="","",IFERROR(MATCH($F142,Control!$B$4:$B$30,0),99))</f>
      </c>
      <c r="N142" s="305">
        <f>IF($V142&lt;&gt;1,"",IF('Roadmap (Auto)'!$D$3="Status, then Theme",$M142*1000000+$L142*10000+ROW(),IF('Roadmap (Auto)'!$D$3="Dev start (earliest)",IF($I142="",99999999,$I142)*10000+ROW(),IF('Roadmap (Auto)'!$D$3="UX start (earliest)",IF($G142="",99999999,$G142)*10000+ROW(),IF('Roadmap (Auto)'!$D$3="Deliverable A-Z",$W142*10000+ROW(),$L142*1000000+$M142*10000+ROW())))))</f>
      </c>
      <c r="O142" s="305">
        <f>IF($N142="","",COUNTIF($N$2:$N$151,"&lt;"&amp;$N142)+1)</f>
      </c>
      <c r="P142" s="305">
        <f>IF($B142="","",IF(COUNTA('UX + Dev'!X142)=0,"",'UX + Dev'!X142))</f>
      </c>
      <c r="Q142" s="305">
        <f>IF($B142="","",IF(COUNTA('UX + Dev'!Y142)=0,"",'UX + Dev'!Y142))</f>
      </c>
      <c r="R142" s="307">
        <f>IF($P142="","",IF(ISNUMBER($P142),DATE(YEAR($P142),MONTH($P142),1),IFERROR(DATE(IFERROR(VALUE(RIGHT(TRIM($P142),4)),YEAR(TODAY())),(SEARCH(LEFT(TRIM($P142),3),"JanFebMarAprMayJunJulAugSepOctNovDec")+2)/3,1),"")))</f>
      </c>
      <c r="S142" s="307">
        <f>IF($Q142="","",IF(ISNUMBER($Q142),DATE(YEAR($Q142),MONTH($Q142),1),IFERROR(DATE(IFERROR(VALUE(RIGHT(TRIM($Q142),4)),YEAR(TODAY())),(SEARCH(LEFT(TRIM($Q142),3),"JanFebMarAprMayJunJulAugSepOctNovDec")+2)/3,1),"")))</f>
      </c>
      <c r="T142" s="305">
        <f>IF($B142="","",COUNTA('UX + Dev'!$AB142:$DN142))</f>
      </c>
      <c r="U142" s="305">
        <f>IF($B142="","",IFERROR(MATCH($D142,Control!$E$4:$E$30,0)+3,0))</f>
      </c>
      <c r="V142" s="305">
        <f>IF($B142="","",IF(AND(OR('Roadmap (Auto)'!$A$3="",'Roadmap (Auto)'!$A$3="(All)",ISNUMBER(SEARCH('Roadmap (Auto)'!$A$3,$C142&amp;""))),OR('Roadmap (Auto)'!$B$3="",'Roadmap (Auto)'!$B$3="(All)",$D142='Roadmap (Auto)'!$B$3,$X142='Roadmap (Auto)'!$B$3),OR('Roadmap (Auto)'!$C$3="",'Roadmap (Auto)'!$C$3="(All)",$F142='Roadmap (Auto)'!$C$3)),1,0))</f>
      </c>
      <c r="W142" s="305">
        <f>IF($B142="","",COUNTIF($Y$2:$Y$151,"&lt;"&amp;$Y142)+1)</f>
      </c>
      <c r="X142" s="305">
        <f>IF($B142="","",IF(TRIM('UX + Dev'!D142)="","",TRIM('UX + Dev'!D142)))</f>
      </c>
      <c r="Y142" s="305">
        <f>IF($B142="","",SUBSTITUTE(SUBSTITUTE(SUBSTITUTE(SUBSTITUTE(SUBSTITUTE(SUBSTITUTE(SUBSTITUTE(SUBSTITUTE(SUBSTITUTE(SUBSTITUTE(SUBSTITUTE(SUBSTITUTE(SUBSTITUTE(SUBSTITUTE(SUBSTITUTE(SUBSTITUTE(SUBSTITUTE(SUBSTITUTE(SUBSTITUTE(SUBSTITUTE(SUBSTITUTE(SUBSTITUTE(SUBSTITUTE(SUBSTITUTE(SUBSTITUTE(UPPER($B142)," ",""),"-",""),":",""),"/",""),"&amp;",""),"|",""),"'",""),"’",""),"&lt;",""),"&gt;",""),",",""),"$",""),".",""),"(",""),")",""),"*",""),"?",""),"~",""),"_",""),"+",""),"#",""),";",""),"!",""),"%",""),"@",""))</f>
      </c>
      <c r="AA142">
        <f>IF($B142="",0,COUNTIFS('UX + Dev'!$AB$1:$DN$1,"&gt;="&amp;AA$1,'UX + Dev'!$AB$1:$DN$1,"&lt;="&amp;EOMONTH(AA$1,0),'UX + Dev'!$AB142:$DN142,"&lt;&gt;"))</f>
      </c>
      <c r="AB142">
        <f>IF($B142="",0,COUNTIFS('UX + Dev'!$AB$1:$DN$1,"&gt;="&amp;AB$1,'UX + Dev'!$AB$1:$DN$1,"&lt;="&amp;EOMONTH(AB$1,0),'UX + Dev'!$AB142:$DN142,"&lt;&gt;"))</f>
      </c>
      <c r="AC142">
        <f>IF($B142="",0,COUNTIFS('UX + Dev'!$AB$1:$DN$1,"&gt;="&amp;AC$1,'UX + Dev'!$AB$1:$DN$1,"&lt;="&amp;EOMONTH(AC$1,0),'UX + Dev'!$AB142:$DN142,"&lt;&gt;"))</f>
      </c>
      <c r="AD142">
        <f>IF($B142="",0,COUNTIFS('UX + Dev'!$AB$1:$DN$1,"&gt;="&amp;AD$1,'UX + Dev'!$AB$1:$DN$1,"&lt;="&amp;EOMONTH(AD$1,0),'UX + Dev'!$AB142:$DN142,"&lt;&gt;"))</f>
      </c>
      <c r="AE142">
        <f>IF($B142="",0,COUNTIFS('UX + Dev'!$AB$1:$DN$1,"&gt;="&amp;AE$1,'UX + Dev'!$AB$1:$DN$1,"&lt;="&amp;EOMONTH(AE$1,0),'UX + Dev'!$AB142:$DN142,"&lt;&gt;"))</f>
      </c>
      <c r="AF142">
        <f>IF($B142="",0,COUNTIFS('UX + Dev'!$AB$1:$DN$1,"&gt;="&amp;AF$1,'UX + Dev'!$AB$1:$DN$1,"&lt;="&amp;EOMONTH(AF$1,0),'UX + Dev'!$AB142:$DN142,"&lt;&gt;"))</f>
      </c>
      <c r="AG142">
        <f>IF($B142="",0,COUNTIFS('UX + Dev'!$AB$1:$DN$1,"&gt;="&amp;AG$1,'UX + Dev'!$AB$1:$DN$1,"&lt;="&amp;EOMONTH(AG$1,0),'UX + Dev'!$AB142:$DN142,"&lt;&gt;"))</f>
      </c>
      <c r="AH142">
        <f>IF($B142="",0,COUNTIFS('UX + Dev'!$AB$1:$DN$1,"&gt;="&amp;AH$1,'UX + Dev'!$AB$1:$DN$1,"&lt;="&amp;EOMONTH(AH$1,0),'UX + Dev'!$AB142:$DN142,"&lt;&gt;"))</f>
      </c>
      <c r="AI142">
        <f>IF($B142="",0,COUNTIFS('UX + Dev'!$AB$1:$DN$1,"&gt;="&amp;AI$1,'UX + Dev'!$AB$1:$DN$1,"&lt;="&amp;EOMONTH(AI$1,0),'UX + Dev'!$AB142:$DN142,"&lt;&gt;"))</f>
      </c>
      <c r="AJ142">
        <f>IF($B142="",0,COUNTIFS('UX + Dev'!$AB$1:$DN$1,"&gt;="&amp;AJ$1,'UX + Dev'!$AB$1:$DN$1,"&lt;="&amp;EOMONTH(AJ$1,0),'UX + Dev'!$AB142:$DN142,"&lt;&gt;"))</f>
      </c>
      <c r="AK142">
        <f>IF($B142="",0,COUNTIFS('UX + Dev'!$AB$1:$DN$1,"&gt;="&amp;AK$1,'UX + Dev'!$AB$1:$DN$1,"&lt;="&amp;EOMONTH(AK$1,0),'UX + Dev'!$AB142:$DN142,"&lt;&gt;"))</f>
      </c>
      <c r="AL142">
        <f>IF($B142="",0,COUNTIFS('UX + Dev'!$AB$1:$DN$1,"&gt;="&amp;AL$1,'UX + Dev'!$AB$1:$DN$1,"&lt;="&amp;EOMONTH(AL$1,0),'UX + Dev'!$AB142:$DN142,"&lt;&gt;"))</f>
      </c>
      <c r="AM142">
        <f>IF($B142="",0,COUNTIFS('UX + Dev'!$AB$1:$DN$1,"&gt;="&amp;AM$1,'UX + Dev'!$AB$1:$DN$1,"&lt;="&amp;EOMONTH(AM$1,0),'UX + Dev'!$AB142:$DN142,"&lt;&gt;"))</f>
      </c>
      <c r="AN142">
        <f>IF($B142="",0,COUNTIFS('UX + Dev'!$AB$1:$DN$1,"&gt;="&amp;AN$1,'UX + Dev'!$AB$1:$DN$1,"&lt;="&amp;EOMONTH(AN$1,0),'UX + Dev'!$AB142:$DN142,"&lt;&gt;"))</f>
      </c>
      <c r="AO142">
        <f>IF($B142="",0,COUNTIFS('UX + Dev'!$AB$1:$DN$1,"&gt;="&amp;AO$1,'UX + Dev'!$AB$1:$DN$1,"&lt;="&amp;EOMONTH(AO$1,0),'UX + Dev'!$AB142:$DN142,"&lt;&gt;"))</f>
      </c>
      <c r="AP142">
        <f>IF($B142="",0,COUNTIFS('UX + Dev'!$AB$1:$DN$1,"&gt;="&amp;AP$1,'UX + Dev'!$AB$1:$DN$1,"&lt;="&amp;EOMONTH(AP$1,0),'UX + Dev'!$AB142:$DN142,"&lt;&gt;"))</f>
      </c>
      <c r="AQ142">
        <f>IF($B142="",0,COUNTIFS('UX + Dev'!$AB$1:$DN$1,"&gt;="&amp;AQ$1,'UX + Dev'!$AB$1:$DN$1,"&lt;="&amp;EOMONTH(AQ$1,0),'UX + Dev'!$AB142:$DN142,"&lt;&gt;"))</f>
      </c>
      <c r="AR142">
        <f>IF($B142="",0,COUNTIFS('UX + Dev'!$AB$1:$DN$1,"&gt;="&amp;AR$1,'UX + Dev'!$AB$1:$DN$1,"&lt;="&amp;EOMONTH(AR$1,0),'UX + Dev'!$AB142:$DN142,"&lt;&gt;"))</f>
      </c>
      <c r="AS142">
        <f>IF($B142="",0,COUNTIFS('UX + Dev'!$AB$1:$DN$1,"&gt;="&amp;AS$1,'UX + Dev'!$AB$1:$DN$1,"&lt;="&amp;EOMONTH(AS$1,0),'UX + Dev'!$AB142:$DN142,"&lt;&gt;"))</f>
      </c>
      <c r="AT142">
        <f>IF($B142="",0,COUNTIFS('UX + Dev'!$AB$1:$DN$1,"&gt;="&amp;AT$1,'UX + Dev'!$AB$1:$DN$1,"&lt;="&amp;EOMONTH(AT$1,0),'UX + Dev'!$AB142:$DN142,"&lt;&gt;"))</f>
      </c>
      <c r="AU142">
        <f>IF($B142="",0,COUNTIFS('UX + Dev'!$AB$1:$DN$1,"&gt;="&amp;AU$1,'UX + Dev'!$AB$1:$DN$1,"&lt;="&amp;EOMONTH(AU$1,0),'UX + Dev'!$AB142:$DN142,"&lt;&gt;"))</f>
      </c>
      <c r="AV142">
        <f>IF($B142="",0,COUNTIFS('UX + Dev'!$AB$1:$DN$1,"&gt;="&amp;AV$1,'UX + Dev'!$AB$1:$DN$1,"&lt;="&amp;EOMONTH(AV$1,0),'UX + Dev'!$AB142:$DN142,"&lt;&gt;"))</f>
      </c>
      <c r="AW142">
        <f>IF($B142="",0,COUNTIFS('UX + Dev'!$AB$1:$DN$1,"&gt;="&amp;AW$1,'UX + Dev'!$AB$1:$DN$1,"&lt;="&amp;EOMONTH(AW$1,0),'UX + Dev'!$AB142:$DN142,"&lt;&gt;"))</f>
      </c>
      <c r="AX142">
        <f>IF($B142="",0,COUNTIFS('UX + Dev'!$AB$1:$DN$1,"&gt;="&amp;AX$1,'UX + Dev'!$AB$1:$DN$1,"&lt;="&amp;EOMONTH(AX$1,0),'UX + Dev'!$AB142:$DN142,"&lt;&gt;"))</f>
      </c>
      <c r="BB142" s="308">
        <f>IF($B142="","",IF(COUNTA('UX + Dev'!U142)&gt;0,DATE(YEAR('UX + Dev'!U142),MONTH('UX + Dev'!U142),1),IF(COUNTA('UX + Dev'!V142)&gt;0,DATE(YEAR('UX + Dev'!V142),MONTH('UX + Dev'!V142),1),"")))</f>
      </c>
      <c r="BC142" s="308">
        <f>IF($B142="","",IF(COUNTA('UX + Dev'!V142)&gt;0,EOMONTH('UX + Dev'!V142,0),IF(COUNTA('UX + Dev'!U142)&gt;0,EOMONTH('UX + Dev'!U142,0),"")))</f>
      </c>
    </row>
    <row r="143">
      <c r="A143" s="305" t="n">
        <v>143</v>
      </c>
      <c r="B143" s="305">
        <f>IF(TRIM('UX + Dev'!E143)="","",TRIM('UX + Dev'!E143))</f>
      </c>
      <c r="C143" s="305">
        <f>IF($B143="","",'UX + Dev'!B143)</f>
      </c>
      <c r="D143" s="305">
        <f>IF($B143="","",IF(TRIM('UX + Dev'!C143)="","(No theme assigned)",TRIM('UX + Dev'!C143)))</f>
      </c>
      <c r="E143" s="305">
        <f>IF($B143="","",TRIM('UX + Dev'!F143))</f>
      </c>
      <c r="F143" s="305">
        <f>IF($B143="","",'UX + Dev'!G143)</f>
      </c>
      <c r="G143" s="306">
        <f t="array" ref="G143">IF($B143="","",IF($T143=0,"",IFERROR(MIN(IF('UX + Dev'!$AB143:$DN143&lt;&gt;"",'UX + Dev'!$AB$1:$DN$1)),"")))</f>
      </c>
      <c r="H143" s="306">
        <f t="array" ref="H143">IF($B143="","",IF($T143=0,"",IFERROR(MAX(IF('UX + Dev'!$AB143:$DN143&lt;&gt;"",'UX + Dev'!$AB$1:$DN$1)),"")))</f>
      </c>
      <c r="I143" s="307">
        <f>IF($R143&lt;&gt;"",$R143,IF($S143&lt;&gt;"",$S143,""))</f>
      </c>
      <c r="J143" s="307">
        <f>IF($S143&lt;&gt;"",EOMONTH($S143,0),IF($R143&lt;&gt;"",EOMONTH($R143,0),""))</f>
      </c>
      <c r="K143" s="305">
        <f>IF($B143="","",IF(COUNTA('UX + Dev'!AA143)=0,"",TRIM('UX + Dev'!AA143)))</f>
      </c>
      <c r="L143" s="305">
        <f>IF($B143="","",IFERROR(MATCH($D143,Control!$E$4:$E$30,0),99))</f>
      </c>
      <c r="M143" s="305">
        <f>IF($B143="","",IFERROR(MATCH($F143,Control!$B$4:$B$30,0),99))</f>
      </c>
      <c r="N143" s="305">
        <f>IF($V143&lt;&gt;1,"",IF('Roadmap (Auto)'!$D$3="Status, then Theme",$M143*1000000+$L143*10000+ROW(),IF('Roadmap (Auto)'!$D$3="Dev start (earliest)",IF($I143="",99999999,$I143)*10000+ROW(),IF('Roadmap (Auto)'!$D$3="UX start (earliest)",IF($G143="",99999999,$G143)*10000+ROW(),IF('Roadmap (Auto)'!$D$3="Deliverable A-Z",$W143*10000+ROW(),$L143*1000000+$M143*10000+ROW())))))</f>
      </c>
      <c r="O143" s="305">
        <f>IF($N143="","",COUNTIF($N$2:$N$151,"&lt;"&amp;$N143)+1)</f>
      </c>
      <c r="P143" s="305">
        <f>IF($B143="","",IF(COUNTA('UX + Dev'!X143)=0,"",'UX + Dev'!X143))</f>
      </c>
      <c r="Q143" s="305">
        <f>IF($B143="","",IF(COUNTA('UX + Dev'!Y143)=0,"",'UX + Dev'!Y143))</f>
      </c>
      <c r="R143" s="307">
        <f>IF($P143="","",IF(ISNUMBER($P143),DATE(YEAR($P143),MONTH($P143),1),IFERROR(DATE(IFERROR(VALUE(RIGHT(TRIM($P143),4)),YEAR(TODAY())),(SEARCH(LEFT(TRIM($P143),3),"JanFebMarAprMayJunJulAugSepOctNovDec")+2)/3,1),"")))</f>
      </c>
      <c r="S143" s="307">
        <f>IF($Q143="","",IF(ISNUMBER($Q143),DATE(YEAR($Q143),MONTH($Q143),1),IFERROR(DATE(IFERROR(VALUE(RIGHT(TRIM($Q143),4)),YEAR(TODAY())),(SEARCH(LEFT(TRIM($Q143),3),"JanFebMarAprMayJunJulAugSepOctNovDec")+2)/3,1),"")))</f>
      </c>
      <c r="T143" s="305">
        <f>IF($B143="","",COUNTA('UX + Dev'!$AB143:$DN143))</f>
      </c>
      <c r="U143" s="305">
        <f>IF($B143="","",IFERROR(MATCH($D143,Control!$E$4:$E$30,0)+3,0))</f>
      </c>
      <c r="V143" s="305">
        <f>IF($B143="","",IF(AND(OR('Roadmap (Auto)'!$A$3="",'Roadmap (Auto)'!$A$3="(All)",ISNUMBER(SEARCH('Roadmap (Auto)'!$A$3,$C143&amp;""))),OR('Roadmap (Auto)'!$B$3="",'Roadmap (Auto)'!$B$3="(All)",$D143='Roadmap (Auto)'!$B$3,$X143='Roadmap (Auto)'!$B$3),OR('Roadmap (Auto)'!$C$3="",'Roadmap (Auto)'!$C$3="(All)",$F143='Roadmap (Auto)'!$C$3)),1,0))</f>
      </c>
      <c r="W143" s="305">
        <f>IF($B143="","",COUNTIF($Y$2:$Y$151,"&lt;"&amp;$Y143)+1)</f>
      </c>
      <c r="X143" s="305">
        <f>IF($B143="","",IF(TRIM('UX + Dev'!D143)="","",TRIM('UX + Dev'!D143)))</f>
      </c>
      <c r="Y143" s="305">
        <f>IF($B143="","",SUBSTITUTE(SUBSTITUTE(SUBSTITUTE(SUBSTITUTE(SUBSTITUTE(SUBSTITUTE(SUBSTITUTE(SUBSTITUTE(SUBSTITUTE(SUBSTITUTE(SUBSTITUTE(SUBSTITUTE(SUBSTITUTE(SUBSTITUTE(SUBSTITUTE(SUBSTITUTE(SUBSTITUTE(SUBSTITUTE(SUBSTITUTE(SUBSTITUTE(SUBSTITUTE(SUBSTITUTE(SUBSTITUTE(SUBSTITUTE(SUBSTITUTE(UPPER($B143)," ",""),"-",""),":",""),"/",""),"&amp;",""),"|",""),"'",""),"’",""),"&lt;",""),"&gt;",""),",",""),"$",""),".",""),"(",""),")",""),"*",""),"?",""),"~",""),"_",""),"+",""),"#",""),";",""),"!",""),"%",""),"@",""))</f>
      </c>
      <c r="AA143">
        <f>IF($B143="",0,COUNTIFS('UX + Dev'!$AB$1:$DN$1,"&gt;="&amp;AA$1,'UX + Dev'!$AB$1:$DN$1,"&lt;="&amp;EOMONTH(AA$1,0),'UX + Dev'!$AB143:$DN143,"&lt;&gt;"))</f>
      </c>
      <c r="AB143">
        <f>IF($B143="",0,COUNTIFS('UX + Dev'!$AB$1:$DN$1,"&gt;="&amp;AB$1,'UX + Dev'!$AB$1:$DN$1,"&lt;="&amp;EOMONTH(AB$1,0),'UX + Dev'!$AB143:$DN143,"&lt;&gt;"))</f>
      </c>
      <c r="AC143">
        <f>IF($B143="",0,COUNTIFS('UX + Dev'!$AB$1:$DN$1,"&gt;="&amp;AC$1,'UX + Dev'!$AB$1:$DN$1,"&lt;="&amp;EOMONTH(AC$1,0),'UX + Dev'!$AB143:$DN143,"&lt;&gt;"))</f>
      </c>
      <c r="AD143">
        <f>IF($B143="",0,COUNTIFS('UX + Dev'!$AB$1:$DN$1,"&gt;="&amp;AD$1,'UX + Dev'!$AB$1:$DN$1,"&lt;="&amp;EOMONTH(AD$1,0),'UX + Dev'!$AB143:$DN143,"&lt;&gt;"))</f>
      </c>
      <c r="AE143">
        <f>IF($B143="",0,COUNTIFS('UX + Dev'!$AB$1:$DN$1,"&gt;="&amp;AE$1,'UX + Dev'!$AB$1:$DN$1,"&lt;="&amp;EOMONTH(AE$1,0),'UX + Dev'!$AB143:$DN143,"&lt;&gt;"))</f>
      </c>
      <c r="AF143">
        <f>IF($B143="",0,COUNTIFS('UX + Dev'!$AB$1:$DN$1,"&gt;="&amp;AF$1,'UX + Dev'!$AB$1:$DN$1,"&lt;="&amp;EOMONTH(AF$1,0),'UX + Dev'!$AB143:$DN143,"&lt;&gt;"))</f>
      </c>
      <c r="AG143">
        <f>IF($B143="",0,COUNTIFS('UX + Dev'!$AB$1:$DN$1,"&gt;="&amp;AG$1,'UX + Dev'!$AB$1:$DN$1,"&lt;="&amp;EOMONTH(AG$1,0),'UX + Dev'!$AB143:$DN143,"&lt;&gt;"))</f>
      </c>
      <c r="AH143">
        <f>IF($B143="",0,COUNTIFS('UX + Dev'!$AB$1:$DN$1,"&gt;="&amp;AH$1,'UX + Dev'!$AB$1:$DN$1,"&lt;="&amp;EOMONTH(AH$1,0),'UX + Dev'!$AB143:$DN143,"&lt;&gt;"))</f>
      </c>
      <c r="AI143">
        <f>IF($B143="",0,COUNTIFS('UX + Dev'!$AB$1:$DN$1,"&gt;="&amp;AI$1,'UX + Dev'!$AB$1:$DN$1,"&lt;="&amp;EOMONTH(AI$1,0),'UX + Dev'!$AB143:$DN143,"&lt;&gt;"))</f>
      </c>
      <c r="AJ143">
        <f>IF($B143="",0,COUNTIFS('UX + Dev'!$AB$1:$DN$1,"&gt;="&amp;AJ$1,'UX + Dev'!$AB$1:$DN$1,"&lt;="&amp;EOMONTH(AJ$1,0),'UX + Dev'!$AB143:$DN143,"&lt;&gt;"))</f>
      </c>
      <c r="AK143">
        <f>IF($B143="",0,COUNTIFS('UX + Dev'!$AB$1:$DN$1,"&gt;="&amp;AK$1,'UX + Dev'!$AB$1:$DN$1,"&lt;="&amp;EOMONTH(AK$1,0),'UX + Dev'!$AB143:$DN143,"&lt;&gt;"))</f>
      </c>
      <c r="AL143">
        <f>IF($B143="",0,COUNTIFS('UX + Dev'!$AB$1:$DN$1,"&gt;="&amp;AL$1,'UX + Dev'!$AB$1:$DN$1,"&lt;="&amp;EOMONTH(AL$1,0),'UX + Dev'!$AB143:$DN143,"&lt;&gt;"))</f>
      </c>
      <c r="AM143">
        <f>IF($B143="",0,COUNTIFS('UX + Dev'!$AB$1:$DN$1,"&gt;="&amp;AM$1,'UX + Dev'!$AB$1:$DN$1,"&lt;="&amp;EOMONTH(AM$1,0),'UX + Dev'!$AB143:$DN143,"&lt;&gt;"))</f>
      </c>
      <c r="AN143">
        <f>IF($B143="",0,COUNTIFS('UX + Dev'!$AB$1:$DN$1,"&gt;="&amp;AN$1,'UX + Dev'!$AB$1:$DN$1,"&lt;="&amp;EOMONTH(AN$1,0),'UX + Dev'!$AB143:$DN143,"&lt;&gt;"))</f>
      </c>
      <c r="AO143">
        <f>IF($B143="",0,COUNTIFS('UX + Dev'!$AB$1:$DN$1,"&gt;="&amp;AO$1,'UX + Dev'!$AB$1:$DN$1,"&lt;="&amp;EOMONTH(AO$1,0),'UX + Dev'!$AB143:$DN143,"&lt;&gt;"))</f>
      </c>
      <c r="AP143">
        <f>IF($B143="",0,COUNTIFS('UX + Dev'!$AB$1:$DN$1,"&gt;="&amp;AP$1,'UX + Dev'!$AB$1:$DN$1,"&lt;="&amp;EOMONTH(AP$1,0),'UX + Dev'!$AB143:$DN143,"&lt;&gt;"))</f>
      </c>
      <c r="AQ143">
        <f>IF($B143="",0,COUNTIFS('UX + Dev'!$AB$1:$DN$1,"&gt;="&amp;AQ$1,'UX + Dev'!$AB$1:$DN$1,"&lt;="&amp;EOMONTH(AQ$1,0),'UX + Dev'!$AB143:$DN143,"&lt;&gt;"))</f>
      </c>
      <c r="AR143">
        <f>IF($B143="",0,COUNTIFS('UX + Dev'!$AB$1:$DN$1,"&gt;="&amp;AR$1,'UX + Dev'!$AB$1:$DN$1,"&lt;="&amp;EOMONTH(AR$1,0),'UX + Dev'!$AB143:$DN143,"&lt;&gt;"))</f>
      </c>
      <c r="AS143">
        <f>IF($B143="",0,COUNTIFS('UX + Dev'!$AB$1:$DN$1,"&gt;="&amp;AS$1,'UX + Dev'!$AB$1:$DN$1,"&lt;="&amp;EOMONTH(AS$1,0),'UX + Dev'!$AB143:$DN143,"&lt;&gt;"))</f>
      </c>
      <c r="AT143">
        <f>IF($B143="",0,COUNTIFS('UX + Dev'!$AB$1:$DN$1,"&gt;="&amp;AT$1,'UX + Dev'!$AB$1:$DN$1,"&lt;="&amp;EOMONTH(AT$1,0),'UX + Dev'!$AB143:$DN143,"&lt;&gt;"))</f>
      </c>
      <c r="AU143">
        <f>IF($B143="",0,COUNTIFS('UX + Dev'!$AB$1:$DN$1,"&gt;="&amp;AU$1,'UX + Dev'!$AB$1:$DN$1,"&lt;="&amp;EOMONTH(AU$1,0),'UX + Dev'!$AB143:$DN143,"&lt;&gt;"))</f>
      </c>
      <c r="AV143">
        <f>IF($B143="",0,COUNTIFS('UX + Dev'!$AB$1:$DN$1,"&gt;="&amp;AV$1,'UX + Dev'!$AB$1:$DN$1,"&lt;="&amp;EOMONTH(AV$1,0),'UX + Dev'!$AB143:$DN143,"&lt;&gt;"))</f>
      </c>
      <c r="AW143">
        <f>IF($B143="",0,COUNTIFS('UX + Dev'!$AB$1:$DN$1,"&gt;="&amp;AW$1,'UX + Dev'!$AB$1:$DN$1,"&lt;="&amp;EOMONTH(AW$1,0),'UX + Dev'!$AB143:$DN143,"&lt;&gt;"))</f>
      </c>
      <c r="AX143">
        <f>IF($B143="",0,COUNTIFS('UX + Dev'!$AB$1:$DN$1,"&gt;="&amp;AX$1,'UX + Dev'!$AB$1:$DN$1,"&lt;="&amp;EOMONTH(AX$1,0),'UX + Dev'!$AB143:$DN143,"&lt;&gt;"))</f>
      </c>
      <c r="BB143" s="308">
        <f>IF($B143="","",IF(COUNTA('UX + Dev'!U143)&gt;0,DATE(YEAR('UX + Dev'!U143),MONTH('UX + Dev'!U143),1),IF(COUNTA('UX + Dev'!V143)&gt;0,DATE(YEAR('UX + Dev'!V143),MONTH('UX + Dev'!V143),1),"")))</f>
      </c>
      <c r="BC143" s="308">
        <f>IF($B143="","",IF(COUNTA('UX + Dev'!V143)&gt;0,EOMONTH('UX + Dev'!V143,0),IF(COUNTA('UX + Dev'!U143)&gt;0,EOMONTH('UX + Dev'!U143,0),"")))</f>
      </c>
    </row>
    <row r="144">
      <c r="A144" s="305" t="n">
        <v>144</v>
      </c>
      <c r="B144" s="305">
        <f>IF(TRIM('UX + Dev'!E144)="","",TRIM('UX + Dev'!E144))</f>
      </c>
      <c r="C144" s="305">
        <f>IF($B144="","",'UX + Dev'!B144)</f>
      </c>
      <c r="D144" s="305">
        <f>IF($B144="","",IF(TRIM('UX + Dev'!C144)="","(No theme assigned)",TRIM('UX + Dev'!C144)))</f>
      </c>
      <c r="E144" s="305">
        <f>IF($B144="","",TRIM('UX + Dev'!F144))</f>
      </c>
      <c r="F144" s="305">
        <f>IF($B144="","",'UX + Dev'!G144)</f>
      </c>
      <c r="G144" s="306">
        <f t="array" ref="G144">IF($B144="","",IF($T144=0,"",IFERROR(MIN(IF('UX + Dev'!$AB144:$DN144&lt;&gt;"",'UX + Dev'!$AB$1:$DN$1)),"")))</f>
      </c>
      <c r="H144" s="306">
        <f t="array" ref="H144">IF($B144="","",IF($T144=0,"",IFERROR(MAX(IF('UX + Dev'!$AB144:$DN144&lt;&gt;"",'UX + Dev'!$AB$1:$DN$1)),"")))</f>
      </c>
      <c r="I144" s="307">
        <f>IF($R144&lt;&gt;"",$R144,IF($S144&lt;&gt;"",$S144,""))</f>
      </c>
      <c r="J144" s="307">
        <f>IF($S144&lt;&gt;"",EOMONTH($S144,0),IF($R144&lt;&gt;"",EOMONTH($R144,0),""))</f>
      </c>
      <c r="K144" s="305">
        <f>IF($B144="","",IF(COUNTA('UX + Dev'!AA144)=0,"",TRIM('UX + Dev'!AA144)))</f>
      </c>
      <c r="L144" s="305">
        <f>IF($B144="","",IFERROR(MATCH($D144,Control!$E$4:$E$30,0),99))</f>
      </c>
      <c r="M144" s="305">
        <f>IF($B144="","",IFERROR(MATCH($F144,Control!$B$4:$B$30,0),99))</f>
      </c>
      <c r="N144" s="305">
        <f>IF($V144&lt;&gt;1,"",IF('Roadmap (Auto)'!$D$3="Status, then Theme",$M144*1000000+$L144*10000+ROW(),IF('Roadmap (Auto)'!$D$3="Dev start (earliest)",IF($I144="",99999999,$I144)*10000+ROW(),IF('Roadmap (Auto)'!$D$3="UX start (earliest)",IF($G144="",99999999,$G144)*10000+ROW(),IF('Roadmap (Auto)'!$D$3="Deliverable A-Z",$W144*10000+ROW(),$L144*1000000+$M144*10000+ROW())))))</f>
      </c>
      <c r="O144" s="305">
        <f>IF($N144="","",COUNTIF($N$2:$N$151,"&lt;"&amp;$N144)+1)</f>
      </c>
      <c r="P144" s="305">
        <f>IF($B144="","",IF(COUNTA('UX + Dev'!X144)=0,"",'UX + Dev'!X144))</f>
      </c>
      <c r="Q144" s="305">
        <f>IF($B144="","",IF(COUNTA('UX + Dev'!Y144)=0,"",'UX + Dev'!Y144))</f>
      </c>
      <c r="R144" s="307">
        <f>IF($P144="","",IF(ISNUMBER($P144),DATE(YEAR($P144),MONTH($P144),1),IFERROR(DATE(IFERROR(VALUE(RIGHT(TRIM($P144),4)),YEAR(TODAY())),(SEARCH(LEFT(TRIM($P144),3),"JanFebMarAprMayJunJulAugSepOctNovDec")+2)/3,1),"")))</f>
      </c>
      <c r="S144" s="307">
        <f>IF($Q144="","",IF(ISNUMBER($Q144),DATE(YEAR($Q144),MONTH($Q144),1),IFERROR(DATE(IFERROR(VALUE(RIGHT(TRIM($Q144),4)),YEAR(TODAY())),(SEARCH(LEFT(TRIM($Q144),3),"JanFebMarAprMayJunJulAugSepOctNovDec")+2)/3,1),"")))</f>
      </c>
      <c r="T144" s="305">
        <f>IF($B144="","",COUNTA('UX + Dev'!$AB144:$DN144))</f>
      </c>
      <c r="U144" s="305">
        <f>IF($B144="","",IFERROR(MATCH($D144,Control!$E$4:$E$30,0)+3,0))</f>
      </c>
      <c r="V144" s="305">
        <f>IF($B144="","",IF(AND(OR('Roadmap (Auto)'!$A$3="",'Roadmap (Auto)'!$A$3="(All)",ISNUMBER(SEARCH('Roadmap (Auto)'!$A$3,$C144&amp;""))),OR('Roadmap (Auto)'!$B$3="",'Roadmap (Auto)'!$B$3="(All)",$D144='Roadmap (Auto)'!$B$3,$X144='Roadmap (Auto)'!$B$3),OR('Roadmap (Auto)'!$C$3="",'Roadmap (Auto)'!$C$3="(All)",$F144='Roadmap (Auto)'!$C$3)),1,0))</f>
      </c>
      <c r="W144" s="305">
        <f>IF($B144="","",COUNTIF($Y$2:$Y$151,"&lt;"&amp;$Y144)+1)</f>
      </c>
      <c r="X144" s="305">
        <f>IF($B144="","",IF(TRIM('UX + Dev'!D144)="","",TRIM('UX + Dev'!D144)))</f>
      </c>
      <c r="Y144" s="305">
        <f>IF($B144="","",SUBSTITUTE(SUBSTITUTE(SUBSTITUTE(SUBSTITUTE(SUBSTITUTE(SUBSTITUTE(SUBSTITUTE(SUBSTITUTE(SUBSTITUTE(SUBSTITUTE(SUBSTITUTE(SUBSTITUTE(SUBSTITUTE(SUBSTITUTE(SUBSTITUTE(SUBSTITUTE(SUBSTITUTE(SUBSTITUTE(SUBSTITUTE(SUBSTITUTE(SUBSTITUTE(SUBSTITUTE(SUBSTITUTE(SUBSTITUTE(SUBSTITUTE(UPPER($B144)," ",""),"-",""),":",""),"/",""),"&amp;",""),"|",""),"'",""),"’",""),"&lt;",""),"&gt;",""),",",""),"$",""),".",""),"(",""),")",""),"*",""),"?",""),"~",""),"_",""),"+",""),"#",""),";",""),"!",""),"%",""),"@",""))</f>
      </c>
      <c r="AA144">
        <f>IF($B144="",0,COUNTIFS('UX + Dev'!$AB$1:$DN$1,"&gt;="&amp;AA$1,'UX + Dev'!$AB$1:$DN$1,"&lt;="&amp;EOMONTH(AA$1,0),'UX + Dev'!$AB144:$DN144,"&lt;&gt;"))</f>
      </c>
      <c r="AB144">
        <f>IF($B144="",0,COUNTIFS('UX + Dev'!$AB$1:$DN$1,"&gt;="&amp;AB$1,'UX + Dev'!$AB$1:$DN$1,"&lt;="&amp;EOMONTH(AB$1,0),'UX + Dev'!$AB144:$DN144,"&lt;&gt;"))</f>
      </c>
      <c r="AC144">
        <f>IF($B144="",0,COUNTIFS('UX + Dev'!$AB$1:$DN$1,"&gt;="&amp;AC$1,'UX + Dev'!$AB$1:$DN$1,"&lt;="&amp;EOMONTH(AC$1,0),'UX + Dev'!$AB144:$DN144,"&lt;&gt;"))</f>
      </c>
      <c r="AD144">
        <f>IF($B144="",0,COUNTIFS('UX + Dev'!$AB$1:$DN$1,"&gt;="&amp;AD$1,'UX + Dev'!$AB$1:$DN$1,"&lt;="&amp;EOMONTH(AD$1,0),'UX + Dev'!$AB144:$DN144,"&lt;&gt;"))</f>
      </c>
      <c r="AE144">
        <f>IF($B144="",0,COUNTIFS('UX + Dev'!$AB$1:$DN$1,"&gt;="&amp;AE$1,'UX + Dev'!$AB$1:$DN$1,"&lt;="&amp;EOMONTH(AE$1,0),'UX + Dev'!$AB144:$DN144,"&lt;&gt;"))</f>
      </c>
      <c r="AF144">
        <f>IF($B144="",0,COUNTIFS('UX + Dev'!$AB$1:$DN$1,"&gt;="&amp;AF$1,'UX + Dev'!$AB$1:$DN$1,"&lt;="&amp;EOMONTH(AF$1,0),'UX + Dev'!$AB144:$DN144,"&lt;&gt;"))</f>
      </c>
      <c r="AG144">
        <f>IF($B144="",0,COUNTIFS('UX + Dev'!$AB$1:$DN$1,"&gt;="&amp;AG$1,'UX + Dev'!$AB$1:$DN$1,"&lt;="&amp;EOMONTH(AG$1,0),'UX + Dev'!$AB144:$DN144,"&lt;&gt;"))</f>
      </c>
      <c r="AH144">
        <f>IF($B144="",0,COUNTIFS('UX + Dev'!$AB$1:$DN$1,"&gt;="&amp;AH$1,'UX + Dev'!$AB$1:$DN$1,"&lt;="&amp;EOMONTH(AH$1,0),'UX + Dev'!$AB144:$DN144,"&lt;&gt;"))</f>
      </c>
      <c r="AI144">
        <f>IF($B144="",0,COUNTIFS('UX + Dev'!$AB$1:$DN$1,"&gt;="&amp;AI$1,'UX + Dev'!$AB$1:$DN$1,"&lt;="&amp;EOMONTH(AI$1,0),'UX + Dev'!$AB144:$DN144,"&lt;&gt;"))</f>
      </c>
      <c r="AJ144">
        <f>IF($B144="",0,COUNTIFS('UX + Dev'!$AB$1:$DN$1,"&gt;="&amp;AJ$1,'UX + Dev'!$AB$1:$DN$1,"&lt;="&amp;EOMONTH(AJ$1,0),'UX + Dev'!$AB144:$DN144,"&lt;&gt;"))</f>
      </c>
      <c r="AK144">
        <f>IF($B144="",0,COUNTIFS('UX + Dev'!$AB$1:$DN$1,"&gt;="&amp;AK$1,'UX + Dev'!$AB$1:$DN$1,"&lt;="&amp;EOMONTH(AK$1,0),'UX + Dev'!$AB144:$DN144,"&lt;&gt;"))</f>
      </c>
      <c r="AL144">
        <f>IF($B144="",0,COUNTIFS('UX + Dev'!$AB$1:$DN$1,"&gt;="&amp;AL$1,'UX + Dev'!$AB$1:$DN$1,"&lt;="&amp;EOMONTH(AL$1,0),'UX + Dev'!$AB144:$DN144,"&lt;&gt;"))</f>
      </c>
      <c r="AM144">
        <f>IF($B144="",0,COUNTIFS('UX + Dev'!$AB$1:$DN$1,"&gt;="&amp;AM$1,'UX + Dev'!$AB$1:$DN$1,"&lt;="&amp;EOMONTH(AM$1,0),'UX + Dev'!$AB144:$DN144,"&lt;&gt;"))</f>
      </c>
      <c r="AN144">
        <f>IF($B144="",0,COUNTIFS('UX + Dev'!$AB$1:$DN$1,"&gt;="&amp;AN$1,'UX + Dev'!$AB$1:$DN$1,"&lt;="&amp;EOMONTH(AN$1,0),'UX + Dev'!$AB144:$DN144,"&lt;&gt;"))</f>
      </c>
      <c r="AO144">
        <f>IF($B144="",0,COUNTIFS('UX + Dev'!$AB$1:$DN$1,"&gt;="&amp;AO$1,'UX + Dev'!$AB$1:$DN$1,"&lt;="&amp;EOMONTH(AO$1,0),'UX + Dev'!$AB144:$DN144,"&lt;&gt;"))</f>
      </c>
      <c r="AP144">
        <f>IF($B144="",0,COUNTIFS('UX + Dev'!$AB$1:$DN$1,"&gt;="&amp;AP$1,'UX + Dev'!$AB$1:$DN$1,"&lt;="&amp;EOMONTH(AP$1,0),'UX + Dev'!$AB144:$DN144,"&lt;&gt;"))</f>
      </c>
      <c r="AQ144">
        <f>IF($B144="",0,COUNTIFS('UX + Dev'!$AB$1:$DN$1,"&gt;="&amp;AQ$1,'UX + Dev'!$AB$1:$DN$1,"&lt;="&amp;EOMONTH(AQ$1,0),'UX + Dev'!$AB144:$DN144,"&lt;&gt;"))</f>
      </c>
      <c r="AR144">
        <f>IF($B144="",0,COUNTIFS('UX + Dev'!$AB$1:$DN$1,"&gt;="&amp;AR$1,'UX + Dev'!$AB$1:$DN$1,"&lt;="&amp;EOMONTH(AR$1,0),'UX + Dev'!$AB144:$DN144,"&lt;&gt;"))</f>
      </c>
      <c r="AS144">
        <f>IF($B144="",0,COUNTIFS('UX + Dev'!$AB$1:$DN$1,"&gt;="&amp;AS$1,'UX + Dev'!$AB$1:$DN$1,"&lt;="&amp;EOMONTH(AS$1,0),'UX + Dev'!$AB144:$DN144,"&lt;&gt;"))</f>
      </c>
      <c r="AT144">
        <f>IF($B144="",0,COUNTIFS('UX + Dev'!$AB$1:$DN$1,"&gt;="&amp;AT$1,'UX + Dev'!$AB$1:$DN$1,"&lt;="&amp;EOMONTH(AT$1,0),'UX + Dev'!$AB144:$DN144,"&lt;&gt;"))</f>
      </c>
      <c r="AU144">
        <f>IF($B144="",0,COUNTIFS('UX + Dev'!$AB$1:$DN$1,"&gt;="&amp;AU$1,'UX + Dev'!$AB$1:$DN$1,"&lt;="&amp;EOMONTH(AU$1,0),'UX + Dev'!$AB144:$DN144,"&lt;&gt;"))</f>
      </c>
      <c r="AV144">
        <f>IF($B144="",0,COUNTIFS('UX + Dev'!$AB$1:$DN$1,"&gt;="&amp;AV$1,'UX + Dev'!$AB$1:$DN$1,"&lt;="&amp;EOMONTH(AV$1,0),'UX + Dev'!$AB144:$DN144,"&lt;&gt;"))</f>
      </c>
      <c r="AW144">
        <f>IF($B144="",0,COUNTIFS('UX + Dev'!$AB$1:$DN$1,"&gt;="&amp;AW$1,'UX + Dev'!$AB$1:$DN$1,"&lt;="&amp;EOMONTH(AW$1,0),'UX + Dev'!$AB144:$DN144,"&lt;&gt;"))</f>
      </c>
      <c r="AX144">
        <f>IF($B144="",0,COUNTIFS('UX + Dev'!$AB$1:$DN$1,"&gt;="&amp;AX$1,'UX + Dev'!$AB$1:$DN$1,"&lt;="&amp;EOMONTH(AX$1,0),'UX + Dev'!$AB144:$DN144,"&lt;&gt;"))</f>
      </c>
      <c r="BB144" s="308">
        <f>IF($B144="","",IF(COUNTA('UX + Dev'!U144)&gt;0,DATE(YEAR('UX + Dev'!U144),MONTH('UX + Dev'!U144),1),IF(COUNTA('UX + Dev'!V144)&gt;0,DATE(YEAR('UX + Dev'!V144),MONTH('UX + Dev'!V144),1),"")))</f>
      </c>
      <c r="BC144" s="308">
        <f>IF($B144="","",IF(COUNTA('UX + Dev'!V144)&gt;0,EOMONTH('UX + Dev'!V144,0),IF(COUNTA('UX + Dev'!U144)&gt;0,EOMONTH('UX + Dev'!U144,0),"")))</f>
      </c>
    </row>
    <row r="145">
      <c r="A145" s="305" t="n">
        <v>145</v>
      </c>
      <c r="B145" s="305">
        <f>IF(TRIM('UX + Dev'!E145)="","",TRIM('UX + Dev'!E145))</f>
      </c>
      <c r="C145" s="305">
        <f>IF($B145="","",'UX + Dev'!B145)</f>
      </c>
      <c r="D145" s="305">
        <f>IF($B145="","",IF(TRIM('UX + Dev'!C145)="","(No theme assigned)",TRIM('UX + Dev'!C145)))</f>
      </c>
      <c r="E145" s="305">
        <f>IF($B145="","",TRIM('UX + Dev'!F145))</f>
      </c>
      <c r="F145" s="305">
        <f>IF($B145="","",'UX + Dev'!G145)</f>
      </c>
      <c r="G145" s="306">
        <f t="array" ref="G145">IF($B145="","",IF($T145=0,"",IFERROR(MIN(IF('UX + Dev'!$AB145:$DN145&lt;&gt;"",'UX + Dev'!$AB$1:$DN$1)),"")))</f>
      </c>
      <c r="H145" s="306">
        <f t="array" ref="H145">IF($B145="","",IF($T145=0,"",IFERROR(MAX(IF('UX + Dev'!$AB145:$DN145&lt;&gt;"",'UX + Dev'!$AB$1:$DN$1)),"")))</f>
      </c>
      <c r="I145" s="307">
        <f>IF($R145&lt;&gt;"",$R145,IF($S145&lt;&gt;"",$S145,""))</f>
      </c>
      <c r="J145" s="307">
        <f>IF($S145&lt;&gt;"",EOMONTH($S145,0),IF($R145&lt;&gt;"",EOMONTH($R145,0),""))</f>
      </c>
      <c r="K145" s="305">
        <f>IF($B145="","",IF(COUNTA('UX + Dev'!AA145)=0,"",TRIM('UX + Dev'!AA145)))</f>
      </c>
      <c r="L145" s="305">
        <f>IF($B145="","",IFERROR(MATCH($D145,Control!$E$4:$E$30,0),99))</f>
      </c>
      <c r="M145" s="305">
        <f>IF($B145="","",IFERROR(MATCH($F145,Control!$B$4:$B$30,0),99))</f>
      </c>
      <c r="N145" s="305">
        <f>IF($V145&lt;&gt;1,"",IF('Roadmap (Auto)'!$D$3="Status, then Theme",$M145*1000000+$L145*10000+ROW(),IF('Roadmap (Auto)'!$D$3="Dev start (earliest)",IF($I145="",99999999,$I145)*10000+ROW(),IF('Roadmap (Auto)'!$D$3="UX start (earliest)",IF($G145="",99999999,$G145)*10000+ROW(),IF('Roadmap (Auto)'!$D$3="Deliverable A-Z",$W145*10000+ROW(),$L145*1000000+$M145*10000+ROW())))))</f>
      </c>
      <c r="O145" s="305">
        <f>IF($N145="","",COUNTIF($N$2:$N$151,"&lt;"&amp;$N145)+1)</f>
      </c>
      <c r="P145" s="305">
        <f>IF($B145="","",IF(COUNTA('UX + Dev'!X145)=0,"",'UX + Dev'!X145))</f>
      </c>
      <c r="Q145" s="305">
        <f>IF($B145="","",IF(COUNTA('UX + Dev'!Y145)=0,"",'UX + Dev'!Y145))</f>
      </c>
      <c r="R145" s="307">
        <f>IF($P145="","",IF(ISNUMBER($P145),DATE(YEAR($P145),MONTH($P145),1),IFERROR(DATE(IFERROR(VALUE(RIGHT(TRIM($P145),4)),YEAR(TODAY())),(SEARCH(LEFT(TRIM($P145),3),"JanFebMarAprMayJunJulAugSepOctNovDec")+2)/3,1),"")))</f>
      </c>
      <c r="S145" s="307">
        <f>IF($Q145="","",IF(ISNUMBER($Q145),DATE(YEAR($Q145),MONTH($Q145),1),IFERROR(DATE(IFERROR(VALUE(RIGHT(TRIM($Q145),4)),YEAR(TODAY())),(SEARCH(LEFT(TRIM($Q145),3),"JanFebMarAprMayJunJulAugSepOctNovDec")+2)/3,1),"")))</f>
      </c>
      <c r="T145" s="305">
        <f>IF($B145="","",COUNTA('UX + Dev'!$AB145:$DN145))</f>
      </c>
      <c r="U145" s="305">
        <f>IF($B145="","",IFERROR(MATCH($D145,Control!$E$4:$E$30,0)+3,0))</f>
      </c>
      <c r="V145" s="305">
        <f>IF($B145="","",IF(AND(OR('Roadmap (Auto)'!$A$3="",'Roadmap (Auto)'!$A$3="(All)",ISNUMBER(SEARCH('Roadmap (Auto)'!$A$3,$C145&amp;""))),OR('Roadmap (Auto)'!$B$3="",'Roadmap (Auto)'!$B$3="(All)",$D145='Roadmap (Auto)'!$B$3,$X145='Roadmap (Auto)'!$B$3),OR('Roadmap (Auto)'!$C$3="",'Roadmap (Auto)'!$C$3="(All)",$F145='Roadmap (Auto)'!$C$3)),1,0))</f>
      </c>
      <c r="W145" s="305">
        <f>IF($B145="","",COUNTIF($Y$2:$Y$151,"&lt;"&amp;$Y145)+1)</f>
      </c>
      <c r="X145" s="305">
        <f>IF($B145="","",IF(TRIM('UX + Dev'!D145)="","",TRIM('UX + Dev'!D145)))</f>
      </c>
      <c r="Y145" s="305">
        <f>IF($B145="","",SUBSTITUTE(SUBSTITUTE(SUBSTITUTE(SUBSTITUTE(SUBSTITUTE(SUBSTITUTE(SUBSTITUTE(SUBSTITUTE(SUBSTITUTE(SUBSTITUTE(SUBSTITUTE(SUBSTITUTE(SUBSTITUTE(SUBSTITUTE(SUBSTITUTE(SUBSTITUTE(SUBSTITUTE(SUBSTITUTE(SUBSTITUTE(SUBSTITUTE(SUBSTITUTE(SUBSTITUTE(SUBSTITUTE(SUBSTITUTE(SUBSTITUTE(UPPER($B145)," ",""),"-",""),":",""),"/",""),"&amp;",""),"|",""),"'",""),"’",""),"&lt;",""),"&gt;",""),",",""),"$",""),".",""),"(",""),")",""),"*",""),"?",""),"~",""),"_",""),"+",""),"#",""),";",""),"!",""),"%",""),"@",""))</f>
      </c>
      <c r="AA145">
        <f>IF($B145="",0,COUNTIFS('UX + Dev'!$AB$1:$DN$1,"&gt;="&amp;AA$1,'UX + Dev'!$AB$1:$DN$1,"&lt;="&amp;EOMONTH(AA$1,0),'UX + Dev'!$AB145:$DN145,"&lt;&gt;"))</f>
      </c>
      <c r="AB145">
        <f>IF($B145="",0,COUNTIFS('UX + Dev'!$AB$1:$DN$1,"&gt;="&amp;AB$1,'UX + Dev'!$AB$1:$DN$1,"&lt;="&amp;EOMONTH(AB$1,0),'UX + Dev'!$AB145:$DN145,"&lt;&gt;"))</f>
      </c>
      <c r="AC145">
        <f>IF($B145="",0,COUNTIFS('UX + Dev'!$AB$1:$DN$1,"&gt;="&amp;AC$1,'UX + Dev'!$AB$1:$DN$1,"&lt;="&amp;EOMONTH(AC$1,0),'UX + Dev'!$AB145:$DN145,"&lt;&gt;"))</f>
      </c>
      <c r="AD145">
        <f>IF($B145="",0,COUNTIFS('UX + Dev'!$AB$1:$DN$1,"&gt;="&amp;AD$1,'UX + Dev'!$AB$1:$DN$1,"&lt;="&amp;EOMONTH(AD$1,0),'UX + Dev'!$AB145:$DN145,"&lt;&gt;"))</f>
      </c>
      <c r="AE145">
        <f>IF($B145="",0,COUNTIFS('UX + Dev'!$AB$1:$DN$1,"&gt;="&amp;AE$1,'UX + Dev'!$AB$1:$DN$1,"&lt;="&amp;EOMONTH(AE$1,0),'UX + Dev'!$AB145:$DN145,"&lt;&gt;"))</f>
      </c>
      <c r="AF145">
        <f>IF($B145="",0,COUNTIFS('UX + Dev'!$AB$1:$DN$1,"&gt;="&amp;AF$1,'UX + Dev'!$AB$1:$DN$1,"&lt;="&amp;EOMONTH(AF$1,0),'UX + Dev'!$AB145:$DN145,"&lt;&gt;"))</f>
      </c>
      <c r="AG145">
        <f>IF($B145="",0,COUNTIFS('UX + Dev'!$AB$1:$DN$1,"&gt;="&amp;AG$1,'UX + Dev'!$AB$1:$DN$1,"&lt;="&amp;EOMONTH(AG$1,0),'UX + Dev'!$AB145:$DN145,"&lt;&gt;"))</f>
      </c>
      <c r="AH145">
        <f>IF($B145="",0,COUNTIFS('UX + Dev'!$AB$1:$DN$1,"&gt;="&amp;AH$1,'UX + Dev'!$AB$1:$DN$1,"&lt;="&amp;EOMONTH(AH$1,0),'UX + Dev'!$AB145:$DN145,"&lt;&gt;"))</f>
      </c>
      <c r="AI145">
        <f>IF($B145="",0,COUNTIFS('UX + Dev'!$AB$1:$DN$1,"&gt;="&amp;AI$1,'UX + Dev'!$AB$1:$DN$1,"&lt;="&amp;EOMONTH(AI$1,0),'UX + Dev'!$AB145:$DN145,"&lt;&gt;"))</f>
      </c>
      <c r="AJ145">
        <f>IF($B145="",0,COUNTIFS('UX + Dev'!$AB$1:$DN$1,"&gt;="&amp;AJ$1,'UX + Dev'!$AB$1:$DN$1,"&lt;="&amp;EOMONTH(AJ$1,0),'UX + Dev'!$AB145:$DN145,"&lt;&gt;"))</f>
      </c>
      <c r="AK145">
        <f>IF($B145="",0,COUNTIFS('UX + Dev'!$AB$1:$DN$1,"&gt;="&amp;AK$1,'UX + Dev'!$AB$1:$DN$1,"&lt;="&amp;EOMONTH(AK$1,0),'UX + Dev'!$AB145:$DN145,"&lt;&gt;"))</f>
      </c>
      <c r="AL145">
        <f>IF($B145="",0,COUNTIFS('UX + Dev'!$AB$1:$DN$1,"&gt;="&amp;AL$1,'UX + Dev'!$AB$1:$DN$1,"&lt;="&amp;EOMONTH(AL$1,0),'UX + Dev'!$AB145:$DN145,"&lt;&gt;"))</f>
      </c>
      <c r="AM145">
        <f>IF($B145="",0,COUNTIFS('UX + Dev'!$AB$1:$DN$1,"&gt;="&amp;AM$1,'UX + Dev'!$AB$1:$DN$1,"&lt;="&amp;EOMONTH(AM$1,0),'UX + Dev'!$AB145:$DN145,"&lt;&gt;"))</f>
      </c>
      <c r="AN145">
        <f>IF($B145="",0,COUNTIFS('UX + Dev'!$AB$1:$DN$1,"&gt;="&amp;AN$1,'UX + Dev'!$AB$1:$DN$1,"&lt;="&amp;EOMONTH(AN$1,0),'UX + Dev'!$AB145:$DN145,"&lt;&gt;"))</f>
      </c>
      <c r="AO145">
        <f>IF($B145="",0,COUNTIFS('UX + Dev'!$AB$1:$DN$1,"&gt;="&amp;AO$1,'UX + Dev'!$AB$1:$DN$1,"&lt;="&amp;EOMONTH(AO$1,0),'UX + Dev'!$AB145:$DN145,"&lt;&gt;"))</f>
      </c>
      <c r="AP145">
        <f>IF($B145="",0,COUNTIFS('UX + Dev'!$AB$1:$DN$1,"&gt;="&amp;AP$1,'UX + Dev'!$AB$1:$DN$1,"&lt;="&amp;EOMONTH(AP$1,0),'UX + Dev'!$AB145:$DN145,"&lt;&gt;"))</f>
      </c>
      <c r="AQ145">
        <f>IF($B145="",0,COUNTIFS('UX + Dev'!$AB$1:$DN$1,"&gt;="&amp;AQ$1,'UX + Dev'!$AB$1:$DN$1,"&lt;="&amp;EOMONTH(AQ$1,0),'UX + Dev'!$AB145:$DN145,"&lt;&gt;"))</f>
      </c>
      <c r="AR145">
        <f>IF($B145="",0,COUNTIFS('UX + Dev'!$AB$1:$DN$1,"&gt;="&amp;AR$1,'UX + Dev'!$AB$1:$DN$1,"&lt;="&amp;EOMONTH(AR$1,0),'UX + Dev'!$AB145:$DN145,"&lt;&gt;"))</f>
      </c>
      <c r="AS145">
        <f>IF($B145="",0,COUNTIFS('UX + Dev'!$AB$1:$DN$1,"&gt;="&amp;AS$1,'UX + Dev'!$AB$1:$DN$1,"&lt;="&amp;EOMONTH(AS$1,0),'UX + Dev'!$AB145:$DN145,"&lt;&gt;"))</f>
      </c>
      <c r="AT145">
        <f>IF($B145="",0,COUNTIFS('UX + Dev'!$AB$1:$DN$1,"&gt;="&amp;AT$1,'UX + Dev'!$AB$1:$DN$1,"&lt;="&amp;EOMONTH(AT$1,0),'UX + Dev'!$AB145:$DN145,"&lt;&gt;"))</f>
      </c>
      <c r="AU145">
        <f>IF($B145="",0,COUNTIFS('UX + Dev'!$AB$1:$DN$1,"&gt;="&amp;AU$1,'UX + Dev'!$AB$1:$DN$1,"&lt;="&amp;EOMONTH(AU$1,0),'UX + Dev'!$AB145:$DN145,"&lt;&gt;"))</f>
      </c>
      <c r="AV145">
        <f>IF($B145="",0,COUNTIFS('UX + Dev'!$AB$1:$DN$1,"&gt;="&amp;AV$1,'UX + Dev'!$AB$1:$DN$1,"&lt;="&amp;EOMONTH(AV$1,0),'UX + Dev'!$AB145:$DN145,"&lt;&gt;"))</f>
      </c>
      <c r="AW145">
        <f>IF($B145="",0,COUNTIFS('UX + Dev'!$AB$1:$DN$1,"&gt;="&amp;AW$1,'UX + Dev'!$AB$1:$DN$1,"&lt;="&amp;EOMONTH(AW$1,0),'UX + Dev'!$AB145:$DN145,"&lt;&gt;"))</f>
      </c>
      <c r="AX145">
        <f>IF($B145="",0,COUNTIFS('UX + Dev'!$AB$1:$DN$1,"&gt;="&amp;AX$1,'UX + Dev'!$AB$1:$DN$1,"&lt;="&amp;EOMONTH(AX$1,0),'UX + Dev'!$AB145:$DN145,"&lt;&gt;"))</f>
      </c>
      <c r="BB145" s="308">
        <f>IF($B145="","",IF(COUNTA('UX + Dev'!U145)&gt;0,DATE(YEAR('UX + Dev'!U145),MONTH('UX + Dev'!U145),1),IF(COUNTA('UX + Dev'!V145)&gt;0,DATE(YEAR('UX + Dev'!V145),MONTH('UX + Dev'!V145),1),"")))</f>
      </c>
      <c r="BC145" s="308">
        <f>IF($B145="","",IF(COUNTA('UX + Dev'!V145)&gt;0,EOMONTH('UX + Dev'!V145,0),IF(COUNTA('UX + Dev'!U145)&gt;0,EOMONTH('UX + Dev'!U145,0),"")))</f>
      </c>
    </row>
    <row r="146">
      <c r="A146" s="305" t="n">
        <v>146</v>
      </c>
      <c r="B146" s="305">
        <f>IF(TRIM('UX + Dev'!E146)="","",TRIM('UX + Dev'!E146))</f>
      </c>
      <c r="C146" s="305">
        <f>IF($B146="","",'UX + Dev'!B146)</f>
      </c>
      <c r="D146" s="305">
        <f>IF($B146="","",IF(TRIM('UX + Dev'!C146)="","(No theme assigned)",TRIM('UX + Dev'!C146)))</f>
      </c>
      <c r="E146" s="305">
        <f>IF($B146="","",TRIM('UX + Dev'!F146))</f>
      </c>
      <c r="F146" s="305">
        <f>IF($B146="","",'UX + Dev'!G146)</f>
      </c>
      <c r="G146" s="306">
        <f t="array" ref="G146">IF($B146="","",IF($T146=0,"",IFERROR(MIN(IF('UX + Dev'!$AB146:$DN146&lt;&gt;"",'UX + Dev'!$AB$1:$DN$1)),"")))</f>
      </c>
      <c r="H146" s="306">
        <f t="array" ref="H146">IF($B146="","",IF($T146=0,"",IFERROR(MAX(IF('UX + Dev'!$AB146:$DN146&lt;&gt;"",'UX + Dev'!$AB$1:$DN$1)),"")))</f>
      </c>
      <c r="I146" s="307">
        <f>IF($R146&lt;&gt;"",$R146,IF($S146&lt;&gt;"",$S146,""))</f>
      </c>
      <c r="J146" s="307">
        <f>IF($S146&lt;&gt;"",EOMONTH($S146,0),IF($R146&lt;&gt;"",EOMONTH($R146,0),""))</f>
      </c>
      <c r="K146" s="305">
        <f>IF($B146="","",IF(COUNTA('UX + Dev'!AA146)=0,"",TRIM('UX + Dev'!AA146)))</f>
      </c>
      <c r="L146" s="305">
        <f>IF($B146="","",IFERROR(MATCH($D146,Control!$E$4:$E$30,0),99))</f>
      </c>
      <c r="M146" s="305">
        <f>IF($B146="","",IFERROR(MATCH($F146,Control!$B$4:$B$30,0),99))</f>
      </c>
      <c r="N146" s="305">
        <f>IF($V146&lt;&gt;1,"",IF('Roadmap (Auto)'!$D$3="Status, then Theme",$M146*1000000+$L146*10000+ROW(),IF('Roadmap (Auto)'!$D$3="Dev start (earliest)",IF($I146="",99999999,$I146)*10000+ROW(),IF('Roadmap (Auto)'!$D$3="UX start (earliest)",IF($G146="",99999999,$G146)*10000+ROW(),IF('Roadmap (Auto)'!$D$3="Deliverable A-Z",$W146*10000+ROW(),$L146*1000000+$M146*10000+ROW())))))</f>
      </c>
      <c r="O146" s="305">
        <f>IF($N146="","",COUNTIF($N$2:$N$151,"&lt;"&amp;$N146)+1)</f>
      </c>
      <c r="P146" s="305">
        <f>IF($B146="","",IF(COUNTA('UX + Dev'!X146)=0,"",'UX + Dev'!X146))</f>
      </c>
      <c r="Q146" s="305">
        <f>IF($B146="","",IF(COUNTA('UX + Dev'!Y146)=0,"",'UX + Dev'!Y146))</f>
      </c>
      <c r="R146" s="307">
        <f>IF($P146="","",IF(ISNUMBER($P146),DATE(YEAR($P146),MONTH($P146),1),IFERROR(DATE(IFERROR(VALUE(RIGHT(TRIM($P146),4)),YEAR(TODAY())),(SEARCH(LEFT(TRIM($P146),3),"JanFebMarAprMayJunJulAugSepOctNovDec")+2)/3,1),"")))</f>
      </c>
      <c r="S146" s="307">
        <f>IF($Q146="","",IF(ISNUMBER($Q146),DATE(YEAR($Q146),MONTH($Q146),1),IFERROR(DATE(IFERROR(VALUE(RIGHT(TRIM($Q146),4)),YEAR(TODAY())),(SEARCH(LEFT(TRIM($Q146),3),"JanFebMarAprMayJunJulAugSepOctNovDec")+2)/3,1),"")))</f>
      </c>
      <c r="T146" s="305">
        <f>IF($B146="","",COUNTA('UX + Dev'!$AB146:$DN146))</f>
      </c>
      <c r="U146" s="305">
        <f>IF($B146="","",IFERROR(MATCH($D146,Control!$E$4:$E$30,0)+3,0))</f>
      </c>
      <c r="V146" s="305">
        <f>IF($B146="","",IF(AND(OR('Roadmap (Auto)'!$A$3="",'Roadmap (Auto)'!$A$3="(All)",ISNUMBER(SEARCH('Roadmap (Auto)'!$A$3,$C146&amp;""))),OR('Roadmap (Auto)'!$B$3="",'Roadmap (Auto)'!$B$3="(All)",$D146='Roadmap (Auto)'!$B$3,$X146='Roadmap (Auto)'!$B$3),OR('Roadmap (Auto)'!$C$3="",'Roadmap (Auto)'!$C$3="(All)",$F146='Roadmap (Auto)'!$C$3)),1,0))</f>
      </c>
      <c r="W146" s="305">
        <f>IF($B146="","",COUNTIF($Y$2:$Y$151,"&lt;"&amp;$Y146)+1)</f>
      </c>
      <c r="X146" s="305">
        <f>IF($B146="","",IF(TRIM('UX + Dev'!D146)="","",TRIM('UX + Dev'!D146)))</f>
      </c>
      <c r="Y146" s="305">
        <f>IF($B146="","",SUBSTITUTE(SUBSTITUTE(SUBSTITUTE(SUBSTITUTE(SUBSTITUTE(SUBSTITUTE(SUBSTITUTE(SUBSTITUTE(SUBSTITUTE(SUBSTITUTE(SUBSTITUTE(SUBSTITUTE(SUBSTITUTE(SUBSTITUTE(SUBSTITUTE(SUBSTITUTE(SUBSTITUTE(SUBSTITUTE(SUBSTITUTE(SUBSTITUTE(SUBSTITUTE(SUBSTITUTE(SUBSTITUTE(SUBSTITUTE(SUBSTITUTE(UPPER($B146)," ",""),"-",""),":",""),"/",""),"&amp;",""),"|",""),"'",""),"’",""),"&lt;",""),"&gt;",""),",",""),"$",""),".",""),"(",""),")",""),"*",""),"?",""),"~",""),"_",""),"+",""),"#",""),";",""),"!",""),"%",""),"@",""))</f>
      </c>
      <c r="AA146">
        <f>IF($B146="",0,COUNTIFS('UX + Dev'!$AB$1:$DN$1,"&gt;="&amp;AA$1,'UX + Dev'!$AB$1:$DN$1,"&lt;="&amp;EOMONTH(AA$1,0),'UX + Dev'!$AB146:$DN146,"&lt;&gt;"))</f>
      </c>
      <c r="AB146">
        <f>IF($B146="",0,COUNTIFS('UX + Dev'!$AB$1:$DN$1,"&gt;="&amp;AB$1,'UX + Dev'!$AB$1:$DN$1,"&lt;="&amp;EOMONTH(AB$1,0),'UX + Dev'!$AB146:$DN146,"&lt;&gt;"))</f>
      </c>
      <c r="AC146">
        <f>IF($B146="",0,COUNTIFS('UX + Dev'!$AB$1:$DN$1,"&gt;="&amp;AC$1,'UX + Dev'!$AB$1:$DN$1,"&lt;="&amp;EOMONTH(AC$1,0),'UX + Dev'!$AB146:$DN146,"&lt;&gt;"))</f>
      </c>
      <c r="AD146">
        <f>IF($B146="",0,COUNTIFS('UX + Dev'!$AB$1:$DN$1,"&gt;="&amp;AD$1,'UX + Dev'!$AB$1:$DN$1,"&lt;="&amp;EOMONTH(AD$1,0),'UX + Dev'!$AB146:$DN146,"&lt;&gt;"))</f>
      </c>
      <c r="AE146">
        <f>IF($B146="",0,COUNTIFS('UX + Dev'!$AB$1:$DN$1,"&gt;="&amp;AE$1,'UX + Dev'!$AB$1:$DN$1,"&lt;="&amp;EOMONTH(AE$1,0),'UX + Dev'!$AB146:$DN146,"&lt;&gt;"))</f>
      </c>
      <c r="AF146">
        <f>IF($B146="",0,COUNTIFS('UX + Dev'!$AB$1:$DN$1,"&gt;="&amp;AF$1,'UX + Dev'!$AB$1:$DN$1,"&lt;="&amp;EOMONTH(AF$1,0),'UX + Dev'!$AB146:$DN146,"&lt;&gt;"))</f>
      </c>
      <c r="AG146">
        <f>IF($B146="",0,COUNTIFS('UX + Dev'!$AB$1:$DN$1,"&gt;="&amp;AG$1,'UX + Dev'!$AB$1:$DN$1,"&lt;="&amp;EOMONTH(AG$1,0),'UX + Dev'!$AB146:$DN146,"&lt;&gt;"))</f>
      </c>
      <c r="AH146">
        <f>IF($B146="",0,COUNTIFS('UX + Dev'!$AB$1:$DN$1,"&gt;="&amp;AH$1,'UX + Dev'!$AB$1:$DN$1,"&lt;="&amp;EOMONTH(AH$1,0),'UX + Dev'!$AB146:$DN146,"&lt;&gt;"))</f>
      </c>
      <c r="AI146">
        <f>IF($B146="",0,COUNTIFS('UX + Dev'!$AB$1:$DN$1,"&gt;="&amp;AI$1,'UX + Dev'!$AB$1:$DN$1,"&lt;="&amp;EOMONTH(AI$1,0),'UX + Dev'!$AB146:$DN146,"&lt;&gt;"))</f>
      </c>
      <c r="AJ146">
        <f>IF($B146="",0,COUNTIFS('UX + Dev'!$AB$1:$DN$1,"&gt;="&amp;AJ$1,'UX + Dev'!$AB$1:$DN$1,"&lt;="&amp;EOMONTH(AJ$1,0),'UX + Dev'!$AB146:$DN146,"&lt;&gt;"))</f>
      </c>
      <c r="AK146">
        <f>IF($B146="",0,COUNTIFS('UX + Dev'!$AB$1:$DN$1,"&gt;="&amp;AK$1,'UX + Dev'!$AB$1:$DN$1,"&lt;="&amp;EOMONTH(AK$1,0),'UX + Dev'!$AB146:$DN146,"&lt;&gt;"))</f>
      </c>
      <c r="AL146">
        <f>IF($B146="",0,COUNTIFS('UX + Dev'!$AB$1:$DN$1,"&gt;="&amp;AL$1,'UX + Dev'!$AB$1:$DN$1,"&lt;="&amp;EOMONTH(AL$1,0),'UX + Dev'!$AB146:$DN146,"&lt;&gt;"))</f>
      </c>
      <c r="AM146">
        <f>IF($B146="",0,COUNTIFS('UX + Dev'!$AB$1:$DN$1,"&gt;="&amp;AM$1,'UX + Dev'!$AB$1:$DN$1,"&lt;="&amp;EOMONTH(AM$1,0),'UX + Dev'!$AB146:$DN146,"&lt;&gt;"))</f>
      </c>
      <c r="AN146">
        <f>IF($B146="",0,COUNTIFS('UX + Dev'!$AB$1:$DN$1,"&gt;="&amp;AN$1,'UX + Dev'!$AB$1:$DN$1,"&lt;="&amp;EOMONTH(AN$1,0),'UX + Dev'!$AB146:$DN146,"&lt;&gt;"))</f>
      </c>
      <c r="AO146">
        <f>IF($B146="",0,COUNTIFS('UX + Dev'!$AB$1:$DN$1,"&gt;="&amp;AO$1,'UX + Dev'!$AB$1:$DN$1,"&lt;="&amp;EOMONTH(AO$1,0),'UX + Dev'!$AB146:$DN146,"&lt;&gt;"))</f>
      </c>
      <c r="AP146">
        <f>IF($B146="",0,COUNTIFS('UX + Dev'!$AB$1:$DN$1,"&gt;="&amp;AP$1,'UX + Dev'!$AB$1:$DN$1,"&lt;="&amp;EOMONTH(AP$1,0),'UX + Dev'!$AB146:$DN146,"&lt;&gt;"))</f>
      </c>
      <c r="AQ146">
        <f>IF($B146="",0,COUNTIFS('UX + Dev'!$AB$1:$DN$1,"&gt;="&amp;AQ$1,'UX + Dev'!$AB$1:$DN$1,"&lt;="&amp;EOMONTH(AQ$1,0),'UX + Dev'!$AB146:$DN146,"&lt;&gt;"))</f>
      </c>
      <c r="AR146">
        <f>IF($B146="",0,COUNTIFS('UX + Dev'!$AB$1:$DN$1,"&gt;="&amp;AR$1,'UX + Dev'!$AB$1:$DN$1,"&lt;="&amp;EOMONTH(AR$1,0),'UX + Dev'!$AB146:$DN146,"&lt;&gt;"))</f>
      </c>
      <c r="AS146">
        <f>IF($B146="",0,COUNTIFS('UX + Dev'!$AB$1:$DN$1,"&gt;="&amp;AS$1,'UX + Dev'!$AB$1:$DN$1,"&lt;="&amp;EOMONTH(AS$1,0),'UX + Dev'!$AB146:$DN146,"&lt;&gt;"))</f>
      </c>
      <c r="AT146">
        <f>IF($B146="",0,COUNTIFS('UX + Dev'!$AB$1:$DN$1,"&gt;="&amp;AT$1,'UX + Dev'!$AB$1:$DN$1,"&lt;="&amp;EOMONTH(AT$1,0),'UX + Dev'!$AB146:$DN146,"&lt;&gt;"))</f>
      </c>
      <c r="AU146">
        <f>IF($B146="",0,COUNTIFS('UX + Dev'!$AB$1:$DN$1,"&gt;="&amp;AU$1,'UX + Dev'!$AB$1:$DN$1,"&lt;="&amp;EOMONTH(AU$1,0),'UX + Dev'!$AB146:$DN146,"&lt;&gt;"))</f>
      </c>
      <c r="AV146">
        <f>IF($B146="",0,COUNTIFS('UX + Dev'!$AB$1:$DN$1,"&gt;="&amp;AV$1,'UX + Dev'!$AB$1:$DN$1,"&lt;="&amp;EOMONTH(AV$1,0),'UX + Dev'!$AB146:$DN146,"&lt;&gt;"))</f>
      </c>
      <c r="AW146">
        <f>IF($B146="",0,COUNTIFS('UX + Dev'!$AB$1:$DN$1,"&gt;="&amp;AW$1,'UX + Dev'!$AB$1:$DN$1,"&lt;="&amp;EOMONTH(AW$1,0),'UX + Dev'!$AB146:$DN146,"&lt;&gt;"))</f>
      </c>
      <c r="AX146">
        <f>IF($B146="",0,COUNTIFS('UX + Dev'!$AB$1:$DN$1,"&gt;="&amp;AX$1,'UX + Dev'!$AB$1:$DN$1,"&lt;="&amp;EOMONTH(AX$1,0),'UX + Dev'!$AB146:$DN146,"&lt;&gt;"))</f>
      </c>
      <c r="BB146" s="308">
        <f>IF($B146="","",IF(COUNTA('UX + Dev'!U146)&gt;0,DATE(YEAR('UX + Dev'!U146),MONTH('UX + Dev'!U146),1),IF(COUNTA('UX + Dev'!V146)&gt;0,DATE(YEAR('UX + Dev'!V146),MONTH('UX + Dev'!V146),1),"")))</f>
      </c>
      <c r="BC146" s="308">
        <f>IF($B146="","",IF(COUNTA('UX + Dev'!V146)&gt;0,EOMONTH('UX + Dev'!V146,0),IF(COUNTA('UX + Dev'!U146)&gt;0,EOMONTH('UX + Dev'!U146,0),"")))</f>
      </c>
    </row>
    <row r="147">
      <c r="A147" s="305" t="n">
        <v>147</v>
      </c>
      <c r="B147" s="305">
        <f>IF(TRIM('UX + Dev'!E147)="","",TRIM('UX + Dev'!E147))</f>
      </c>
      <c r="C147" s="305">
        <f>IF($B147="","",'UX + Dev'!B147)</f>
      </c>
      <c r="D147" s="305">
        <f>IF($B147="","",IF(TRIM('UX + Dev'!C147)="","(No theme assigned)",TRIM('UX + Dev'!C147)))</f>
      </c>
      <c r="E147" s="305">
        <f>IF($B147="","",TRIM('UX + Dev'!F147))</f>
      </c>
      <c r="F147" s="305">
        <f>IF($B147="","",'UX + Dev'!G147)</f>
      </c>
      <c r="G147" s="306">
        <f t="array" ref="G147">IF($B147="","",IF($T147=0,"",IFERROR(MIN(IF('UX + Dev'!$AB147:$DN147&lt;&gt;"",'UX + Dev'!$AB$1:$DN$1)),"")))</f>
      </c>
      <c r="H147" s="306">
        <f t="array" ref="H147">IF($B147="","",IF($T147=0,"",IFERROR(MAX(IF('UX + Dev'!$AB147:$DN147&lt;&gt;"",'UX + Dev'!$AB$1:$DN$1)),"")))</f>
      </c>
      <c r="I147" s="307">
        <f>IF($R147&lt;&gt;"",$R147,IF($S147&lt;&gt;"",$S147,""))</f>
      </c>
      <c r="J147" s="307">
        <f>IF($S147&lt;&gt;"",EOMONTH($S147,0),IF($R147&lt;&gt;"",EOMONTH($R147,0),""))</f>
      </c>
      <c r="K147" s="305">
        <f>IF($B147="","",IF(COUNTA('UX + Dev'!AA147)=0,"",TRIM('UX + Dev'!AA147)))</f>
      </c>
      <c r="L147" s="305">
        <f>IF($B147="","",IFERROR(MATCH($D147,Control!$E$4:$E$30,0),99))</f>
      </c>
      <c r="M147" s="305">
        <f>IF($B147="","",IFERROR(MATCH($F147,Control!$B$4:$B$30,0),99))</f>
      </c>
      <c r="N147" s="305">
        <f>IF($V147&lt;&gt;1,"",IF('Roadmap (Auto)'!$D$3="Status, then Theme",$M147*1000000+$L147*10000+ROW(),IF('Roadmap (Auto)'!$D$3="Dev start (earliest)",IF($I147="",99999999,$I147)*10000+ROW(),IF('Roadmap (Auto)'!$D$3="UX start (earliest)",IF($G147="",99999999,$G147)*10000+ROW(),IF('Roadmap (Auto)'!$D$3="Deliverable A-Z",$W147*10000+ROW(),$L147*1000000+$M147*10000+ROW())))))</f>
      </c>
      <c r="O147" s="305">
        <f>IF($N147="","",COUNTIF($N$2:$N$151,"&lt;"&amp;$N147)+1)</f>
      </c>
      <c r="P147" s="305">
        <f>IF($B147="","",IF(COUNTA('UX + Dev'!X147)=0,"",'UX + Dev'!X147))</f>
      </c>
      <c r="Q147" s="305">
        <f>IF($B147="","",IF(COUNTA('UX + Dev'!Y147)=0,"",'UX + Dev'!Y147))</f>
      </c>
      <c r="R147" s="307">
        <f>IF($P147="","",IF(ISNUMBER($P147),DATE(YEAR($P147),MONTH($P147),1),IFERROR(DATE(IFERROR(VALUE(RIGHT(TRIM($P147),4)),YEAR(TODAY())),(SEARCH(LEFT(TRIM($P147),3),"JanFebMarAprMayJunJulAugSepOctNovDec")+2)/3,1),"")))</f>
      </c>
      <c r="S147" s="307">
        <f>IF($Q147="","",IF(ISNUMBER($Q147),DATE(YEAR($Q147),MONTH($Q147),1),IFERROR(DATE(IFERROR(VALUE(RIGHT(TRIM($Q147),4)),YEAR(TODAY())),(SEARCH(LEFT(TRIM($Q147),3),"JanFebMarAprMayJunJulAugSepOctNovDec")+2)/3,1),"")))</f>
      </c>
      <c r="T147" s="305">
        <f>IF($B147="","",COUNTA('UX + Dev'!$AB147:$DN147))</f>
      </c>
      <c r="U147" s="305">
        <f>IF($B147="","",IFERROR(MATCH($D147,Control!$E$4:$E$30,0)+3,0))</f>
      </c>
      <c r="V147" s="305">
        <f>IF($B147="","",IF(AND(OR('Roadmap (Auto)'!$A$3="",'Roadmap (Auto)'!$A$3="(All)",ISNUMBER(SEARCH('Roadmap (Auto)'!$A$3,$C147&amp;""))),OR('Roadmap (Auto)'!$B$3="",'Roadmap (Auto)'!$B$3="(All)",$D147='Roadmap (Auto)'!$B$3,$X147='Roadmap (Auto)'!$B$3),OR('Roadmap (Auto)'!$C$3="",'Roadmap (Auto)'!$C$3="(All)",$F147='Roadmap (Auto)'!$C$3)),1,0))</f>
      </c>
      <c r="W147" s="305">
        <f>IF($B147="","",COUNTIF($Y$2:$Y$151,"&lt;"&amp;$Y147)+1)</f>
      </c>
      <c r="X147" s="305">
        <f>IF($B147="","",IF(TRIM('UX + Dev'!D147)="","",TRIM('UX + Dev'!D147)))</f>
      </c>
      <c r="Y147" s="305">
        <f>IF($B147="","",SUBSTITUTE(SUBSTITUTE(SUBSTITUTE(SUBSTITUTE(SUBSTITUTE(SUBSTITUTE(SUBSTITUTE(SUBSTITUTE(SUBSTITUTE(SUBSTITUTE(SUBSTITUTE(SUBSTITUTE(SUBSTITUTE(SUBSTITUTE(SUBSTITUTE(SUBSTITUTE(SUBSTITUTE(SUBSTITUTE(SUBSTITUTE(SUBSTITUTE(SUBSTITUTE(SUBSTITUTE(SUBSTITUTE(SUBSTITUTE(SUBSTITUTE(UPPER($B147)," ",""),"-",""),":",""),"/",""),"&amp;",""),"|",""),"'",""),"’",""),"&lt;",""),"&gt;",""),",",""),"$",""),".",""),"(",""),")",""),"*",""),"?",""),"~",""),"_",""),"+",""),"#",""),";",""),"!",""),"%",""),"@",""))</f>
      </c>
      <c r="AA147">
        <f>IF($B147="",0,COUNTIFS('UX + Dev'!$AB$1:$DN$1,"&gt;="&amp;AA$1,'UX + Dev'!$AB$1:$DN$1,"&lt;="&amp;EOMONTH(AA$1,0),'UX + Dev'!$AB147:$DN147,"&lt;&gt;"))</f>
      </c>
      <c r="AB147">
        <f>IF($B147="",0,COUNTIFS('UX + Dev'!$AB$1:$DN$1,"&gt;="&amp;AB$1,'UX + Dev'!$AB$1:$DN$1,"&lt;="&amp;EOMONTH(AB$1,0),'UX + Dev'!$AB147:$DN147,"&lt;&gt;"))</f>
      </c>
      <c r="AC147">
        <f>IF($B147="",0,COUNTIFS('UX + Dev'!$AB$1:$DN$1,"&gt;="&amp;AC$1,'UX + Dev'!$AB$1:$DN$1,"&lt;="&amp;EOMONTH(AC$1,0),'UX + Dev'!$AB147:$DN147,"&lt;&gt;"))</f>
      </c>
      <c r="AD147">
        <f>IF($B147="",0,COUNTIFS('UX + Dev'!$AB$1:$DN$1,"&gt;="&amp;AD$1,'UX + Dev'!$AB$1:$DN$1,"&lt;="&amp;EOMONTH(AD$1,0),'UX + Dev'!$AB147:$DN147,"&lt;&gt;"))</f>
      </c>
      <c r="AE147">
        <f>IF($B147="",0,COUNTIFS('UX + Dev'!$AB$1:$DN$1,"&gt;="&amp;AE$1,'UX + Dev'!$AB$1:$DN$1,"&lt;="&amp;EOMONTH(AE$1,0),'UX + Dev'!$AB147:$DN147,"&lt;&gt;"))</f>
      </c>
      <c r="AF147">
        <f>IF($B147="",0,COUNTIFS('UX + Dev'!$AB$1:$DN$1,"&gt;="&amp;AF$1,'UX + Dev'!$AB$1:$DN$1,"&lt;="&amp;EOMONTH(AF$1,0),'UX + Dev'!$AB147:$DN147,"&lt;&gt;"))</f>
      </c>
      <c r="AG147">
        <f>IF($B147="",0,COUNTIFS('UX + Dev'!$AB$1:$DN$1,"&gt;="&amp;AG$1,'UX + Dev'!$AB$1:$DN$1,"&lt;="&amp;EOMONTH(AG$1,0),'UX + Dev'!$AB147:$DN147,"&lt;&gt;"))</f>
      </c>
      <c r="AH147">
        <f>IF($B147="",0,COUNTIFS('UX + Dev'!$AB$1:$DN$1,"&gt;="&amp;AH$1,'UX + Dev'!$AB$1:$DN$1,"&lt;="&amp;EOMONTH(AH$1,0),'UX + Dev'!$AB147:$DN147,"&lt;&gt;"))</f>
      </c>
      <c r="AI147">
        <f>IF($B147="",0,COUNTIFS('UX + Dev'!$AB$1:$DN$1,"&gt;="&amp;AI$1,'UX + Dev'!$AB$1:$DN$1,"&lt;="&amp;EOMONTH(AI$1,0),'UX + Dev'!$AB147:$DN147,"&lt;&gt;"))</f>
      </c>
      <c r="AJ147">
        <f>IF($B147="",0,COUNTIFS('UX + Dev'!$AB$1:$DN$1,"&gt;="&amp;AJ$1,'UX + Dev'!$AB$1:$DN$1,"&lt;="&amp;EOMONTH(AJ$1,0),'UX + Dev'!$AB147:$DN147,"&lt;&gt;"))</f>
      </c>
      <c r="AK147">
        <f>IF($B147="",0,COUNTIFS('UX + Dev'!$AB$1:$DN$1,"&gt;="&amp;AK$1,'UX + Dev'!$AB$1:$DN$1,"&lt;="&amp;EOMONTH(AK$1,0),'UX + Dev'!$AB147:$DN147,"&lt;&gt;"))</f>
      </c>
      <c r="AL147">
        <f>IF($B147="",0,COUNTIFS('UX + Dev'!$AB$1:$DN$1,"&gt;="&amp;AL$1,'UX + Dev'!$AB$1:$DN$1,"&lt;="&amp;EOMONTH(AL$1,0),'UX + Dev'!$AB147:$DN147,"&lt;&gt;"))</f>
      </c>
      <c r="AM147">
        <f>IF($B147="",0,COUNTIFS('UX + Dev'!$AB$1:$DN$1,"&gt;="&amp;AM$1,'UX + Dev'!$AB$1:$DN$1,"&lt;="&amp;EOMONTH(AM$1,0),'UX + Dev'!$AB147:$DN147,"&lt;&gt;"))</f>
      </c>
      <c r="AN147">
        <f>IF($B147="",0,COUNTIFS('UX + Dev'!$AB$1:$DN$1,"&gt;="&amp;AN$1,'UX + Dev'!$AB$1:$DN$1,"&lt;="&amp;EOMONTH(AN$1,0),'UX + Dev'!$AB147:$DN147,"&lt;&gt;"))</f>
      </c>
      <c r="AO147">
        <f>IF($B147="",0,COUNTIFS('UX + Dev'!$AB$1:$DN$1,"&gt;="&amp;AO$1,'UX + Dev'!$AB$1:$DN$1,"&lt;="&amp;EOMONTH(AO$1,0),'UX + Dev'!$AB147:$DN147,"&lt;&gt;"))</f>
      </c>
      <c r="AP147">
        <f>IF($B147="",0,COUNTIFS('UX + Dev'!$AB$1:$DN$1,"&gt;="&amp;AP$1,'UX + Dev'!$AB$1:$DN$1,"&lt;="&amp;EOMONTH(AP$1,0),'UX + Dev'!$AB147:$DN147,"&lt;&gt;"))</f>
      </c>
      <c r="AQ147">
        <f>IF($B147="",0,COUNTIFS('UX + Dev'!$AB$1:$DN$1,"&gt;="&amp;AQ$1,'UX + Dev'!$AB$1:$DN$1,"&lt;="&amp;EOMONTH(AQ$1,0),'UX + Dev'!$AB147:$DN147,"&lt;&gt;"))</f>
      </c>
      <c r="AR147">
        <f>IF($B147="",0,COUNTIFS('UX + Dev'!$AB$1:$DN$1,"&gt;="&amp;AR$1,'UX + Dev'!$AB$1:$DN$1,"&lt;="&amp;EOMONTH(AR$1,0),'UX + Dev'!$AB147:$DN147,"&lt;&gt;"))</f>
      </c>
      <c r="AS147">
        <f>IF($B147="",0,COUNTIFS('UX + Dev'!$AB$1:$DN$1,"&gt;="&amp;AS$1,'UX + Dev'!$AB$1:$DN$1,"&lt;="&amp;EOMONTH(AS$1,0),'UX + Dev'!$AB147:$DN147,"&lt;&gt;"))</f>
      </c>
      <c r="AT147">
        <f>IF($B147="",0,COUNTIFS('UX + Dev'!$AB$1:$DN$1,"&gt;="&amp;AT$1,'UX + Dev'!$AB$1:$DN$1,"&lt;="&amp;EOMONTH(AT$1,0),'UX + Dev'!$AB147:$DN147,"&lt;&gt;"))</f>
      </c>
      <c r="AU147">
        <f>IF($B147="",0,COUNTIFS('UX + Dev'!$AB$1:$DN$1,"&gt;="&amp;AU$1,'UX + Dev'!$AB$1:$DN$1,"&lt;="&amp;EOMONTH(AU$1,0),'UX + Dev'!$AB147:$DN147,"&lt;&gt;"))</f>
      </c>
      <c r="AV147">
        <f>IF($B147="",0,COUNTIFS('UX + Dev'!$AB$1:$DN$1,"&gt;="&amp;AV$1,'UX + Dev'!$AB$1:$DN$1,"&lt;="&amp;EOMONTH(AV$1,0),'UX + Dev'!$AB147:$DN147,"&lt;&gt;"))</f>
      </c>
      <c r="AW147">
        <f>IF($B147="",0,COUNTIFS('UX + Dev'!$AB$1:$DN$1,"&gt;="&amp;AW$1,'UX + Dev'!$AB$1:$DN$1,"&lt;="&amp;EOMONTH(AW$1,0),'UX + Dev'!$AB147:$DN147,"&lt;&gt;"))</f>
      </c>
      <c r="AX147">
        <f>IF($B147="",0,COUNTIFS('UX + Dev'!$AB$1:$DN$1,"&gt;="&amp;AX$1,'UX + Dev'!$AB$1:$DN$1,"&lt;="&amp;EOMONTH(AX$1,0),'UX + Dev'!$AB147:$DN147,"&lt;&gt;"))</f>
      </c>
      <c r="BB147" s="308">
        <f>IF($B147="","",IF(COUNTA('UX + Dev'!U147)&gt;0,DATE(YEAR('UX + Dev'!U147),MONTH('UX + Dev'!U147),1),IF(COUNTA('UX + Dev'!V147)&gt;0,DATE(YEAR('UX + Dev'!V147),MONTH('UX + Dev'!V147),1),"")))</f>
      </c>
      <c r="BC147" s="308">
        <f>IF($B147="","",IF(COUNTA('UX + Dev'!V147)&gt;0,EOMONTH('UX + Dev'!V147,0),IF(COUNTA('UX + Dev'!U147)&gt;0,EOMONTH('UX + Dev'!U147,0),"")))</f>
      </c>
    </row>
    <row r="148">
      <c r="A148" s="305" t="n">
        <v>148</v>
      </c>
      <c r="B148" s="305">
        <f>IF(TRIM('UX + Dev'!E148)="","",TRIM('UX + Dev'!E148))</f>
      </c>
      <c r="C148" s="305">
        <f>IF($B148="","",'UX + Dev'!B148)</f>
      </c>
      <c r="D148" s="305">
        <f>IF($B148="","",IF(TRIM('UX + Dev'!C148)="","(No theme assigned)",TRIM('UX + Dev'!C148)))</f>
      </c>
      <c r="E148" s="305">
        <f>IF($B148="","",TRIM('UX + Dev'!F148))</f>
      </c>
      <c r="F148" s="305">
        <f>IF($B148="","",'UX + Dev'!G148)</f>
      </c>
      <c r="G148" s="306">
        <f t="array" ref="G148">IF($B148="","",IF($T148=0,"",IFERROR(MIN(IF('UX + Dev'!$AB148:$DN148&lt;&gt;"",'UX + Dev'!$AB$1:$DN$1)),"")))</f>
      </c>
      <c r="H148" s="306">
        <f t="array" ref="H148">IF($B148="","",IF($T148=0,"",IFERROR(MAX(IF('UX + Dev'!$AB148:$DN148&lt;&gt;"",'UX + Dev'!$AB$1:$DN$1)),"")))</f>
      </c>
      <c r="I148" s="307">
        <f>IF($R148&lt;&gt;"",$R148,IF($S148&lt;&gt;"",$S148,""))</f>
      </c>
      <c r="J148" s="307">
        <f>IF($S148&lt;&gt;"",EOMONTH($S148,0),IF($R148&lt;&gt;"",EOMONTH($R148,0),""))</f>
      </c>
      <c r="K148" s="305">
        <f>IF($B148="","",IF(COUNTA('UX + Dev'!AA148)=0,"",TRIM('UX + Dev'!AA148)))</f>
      </c>
      <c r="L148" s="305">
        <f>IF($B148="","",IFERROR(MATCH($D148,Control!$E$4:$E$30,0),99))</f>
      </c>
      <c r="M148" s="305">
        <f>IF($B148="","",IFERROR(MATCH($F148,Control!$B$4:$B$30,0),99))</f>
      </c>
      <c r="N148" s="305">
        <f>IF($V148&lt;&gt;1,"",IF('Roadmap (Auto)'!$D$3="Status, then Theme",$M148*1000000+$L148*10000+ROW(),IF('Roadmap (Auto)'!$D$3="Dev start (earliest)",IF($I148="",99999999,$I148)*10000+ROW(),IF('Roadmap (Auto)'!$D$3="UX start (earliest)",IF($G148="",99999999,$G148)*10000+ROW(),IF('Roadmap (Auto)'!$D$3="Deliverable A-Z",$W148*10000+ROW(),$L148*1000000+$M148*10000+ROW())))))</f>
      </c>
      <c r="O148" s="305">
        <f>IF($N148="","",COUNTIF($N$2:$N$151,"&lt;"&amp;$N148)+1)</f>
      </c>
      <c r="P148" s="305">
        <f>IF($B148="","",IF(COUNTA('UX + Dev'!X148)=0,"",'UX + Dev'!X148))</f>
      </c>
      <c r="Q148" s="305">
        <f>IF($B148="","",IF(COUNTA('UX + Dev'!Y148)=0,"",'UX + Dev'!Y148))</f>
      </c>
      <c r="R148" s="307">
        <f>IF($P148="","",IF(ISNUMBER($P148),DATE(YEAR($P148),MONTH($P148),1),IFERROR(DATE(IFERROR(VALUE(RIGHT(TRIM($P148),4)),YEAR(TODAY())),(SEARCH(LEFT(TRIM($P148),3),"JanFebMarAprMayJunJulAugSepOctNovDec")+2)/3,1),"")))</f>
      </c>
      <c r="S148" s="307">
        <f>IF($Q148="","",IF(ISNUMBER($Q148),DATE(YEAR($Q148),MONTH($Q148),1),IFERROR(DATE(IFERROR(VALUE(RIGHT(TRIM($Q148),4)),YEAR(TODAY())),(SEARCH(LEFT(TRIM($Q148),3),"JanFebMarAprMayJunJulAugSepOctNovDec")+2)/3,1),"")))</f>
      </c>
      <c r="T148" s="305">
        <f>IF($B148="","",COUNTA('UX + Dev'!$AB148:$DN148))</f>
      </c>
      <c r="U148" s="305">
        <f>IF($B148="","",IFERROR(MATCH($D148,Control!$E$4:$E$30,0)+3,0))</f>
      </c>
      <c r="V148" s="305">
        <f>IF($B148="","",IF(AND(OR('Roadmap (Auto)'!$A$3="",'Roadmap (Auto)'!$A$3="(All)",ISNUMBER(SEARCH('Roadmap (Auto)'!$A$3,$C148&amp;""))),OR('Roadmap (Auto)'!$B$3="",'Roadmap (Auto)'!$B$3="(All)",$D148='Roadmap (Auto)'!$B$3,$X148='Roadmap (Auto)'!$B$3),OR('Roadmap (Auto)'!$C$3="",'Roadmap (Auto)'!$C$3="(All)",$F148='Roadmap (Auto)'!$C$3)),1,0))</f>
      </c>
      <c r="W148" s="305">
        <f>IF($B148="","",COUNTIF($Y$2:$Y$151,"&lt;"&amp;$Y148)+1)</f>
      </c>
      <c r="X148" s="305">
        <f>IF($B148="","",IF(TRIM('UX + Dev'!D148)="","",TRIM('UX + Dev'!D148)))</f>
      </c>
      <c r="Y148" s="305">
        <f>IF($B148="","",SUBSTITUTE(SUBSTITUTE(SUBSTITUTE(SUBSTITUTE(SUBSTITUTE(SUBSTITUTE(SUBSTITUTE(SUBSTITUTE(SUBSTITUTE(SUBSTITUTE(SUBSTITUTE(SUBSTITUTE(SUBSTITUTE(SUBSTITUTE(SUBSTITUTE(SUBSTITUTE(SUBSTITUTE(SUBSTITUTE(SUBSTITUTE(SUBSTITUTE(SUBSTITUTE(SUBSTITUTE(SUBSTITUTE(SUBSTITUTE(SUBSTITUTE(UPPER($B148)," ",""),"-",""),":",""),"/",""),"&amp;",""),"|",""),"'",""),"’",""),"&lt;",""),"&gt;",""),",",""),"$",""),".",""),"(",""),")",""),"*",""),"?",""),"~",""),"_",""),"+",""),"#",""),";",""),"!",""),"%",""),"@",""))</f>
      </c>
      <c r="AA148">
        <f>IF($B148="",0,COUNTIFS('UX + Dev'!$AB$1:$DN$1,"&gt;="&amp;AA$1,'UX + Dev'!$AB$1:$DN$1,"&lt;="&amp;EOMONTH(AA$1,0),'UX + Dev'!$AB148:$DN148,"&lt;&gt;"))</f>
      </c>
      <c r="AB148">
        <f>IF($B148="",0,COUNTIFS('UX + Dev'!$AB$1:$DN$1,"&gt;="&amp;AB$1,'UX + Dev'!$AB$1:$DN$1,"&lt;="&amp;EOMONTH(AB$1,0),'UX + Dev'!$AB148:$DN148,"&lt;&gt;"))</f>
      </c>
      <c r="AC148">
        <f>IF($B148="",0,COUNTIFS('UX + Dev'!$AB$1:$DN$1,"&gt;="&amp;AC$1,'UX + Dev'!$AB$1:$DN$1,"&lt;="&amp;EOMONTH(AC$1,0),'UX + Dev'!$AB148:$DN148,"&lt;&gt;"))</f>
      </c>
      <c r="AD148">
        <f>IF($B148="",0,COUNTIFS('UX + Dev'!$AB$1:$DN$1,"&gt;="&amp;AD$1,'UX + Dev'!$AB$1:$DN$1,"&lt;="&amp;EOMONTH(AD$1,0),'UX + Dev'!$AB148:$DN148,"&lt;&gt;"))</f>
      </c>
      <c r="AE148">
        <f>IF($B148="",0,COUNTIFS('UX + Dev'!$AB$1:$DN$1,"&gt;="&amp;AE$1,'UX + Dev'!$AB$1:$DN$1,"&lt;="&amp;EOMONTH(AE$1,0),'UX + Dev'!$AB148:$DN148,"&lt;&gt;"))</f>
      </c>
      <c r="AF148">
        <f>IF($B148="",0,COUNTIFS('UX + Dev'!$AB$1:$DN$1,"&gt;="&amp;AF$1,'UX + Dev'!$AB$1:$DN$1,"&lt;="&amp;EOMONTH(AF$1,0),'UX + Dev'!$AB148:$DN148,"&lt;&gt;"))</f>
      </c>
      <c r="AG148">
        <f>IF($B148="",0,COUNTIFS('UX + Dev'!$AB$1:$DN$1,"&gt;="&amp;AG$1,'UX + Dev'!$AB$1:$DN$1,"&lt;="&amp;EOMONTH(AG$1,0),'UX + Dev'!$AB148:$DN148,"&lt;&gt;"))</f>
      </c>
      <c r="AH148">
        <f>IF($B148="",0,COUNTIFS('UX + Dev'!$AB$1:$DN$1,"&gt;="&amp;AH$1,'UX + Dev'!$AB$1:$DN$1,"&lt;="&amp;EOMONTH(AH$1,0),'UX + Dev'!$AB148:$DN148,"&lt;&gt;"))</f>
      </c>
      <c r="AI148">
        <f>IF($B148="",0,COUNTIFS('UX + Dev'!$AB$1:$DN$1,"&gt;="&amp;AI$1,'UX + Dev'!$AB$1:$DN$1,"&lt;="&amp;EOMONTH(AI$1,0),'UX + Dev'!$AB148:$DN148,"&lt;&gt;"))</f>
      </c>
      <c r="AJ148">
        <f>IF($B148="",0,COUNTIFS('UX + Dev'!$AB$1:$DN$1,"&gt;="&amp;AJ$1,'UX + Dev'!$AB$1:$DN$1,"&lt;="&amp;EOMONTH(AJ$1,0),'UX + Dev'!$AB148:$DN148,"&lt;&gt;"))</f>
      </c>
      <c r="AK148">
        <f>IF($B148="",0,COUNTIFS('UX + Dev'!$AB$1:$DN$1,"&gt;="&amp;AK$1,'UX + Dev'!$AB$1:$DN$1,"&lt;="&amp;EOMONTH(AK$1,0),'UX + Dev'!$AB148:$DN148,"&lt;&gt;"))</f>
      </c>
      <c r="AL148">
        <f>IF($B148="",0,COUNTIFS('UX + Dev'!$AB$1:$DN$1,"&gt;="&amp;AL$1,'UX + Dev'!$AB$1:$DN$1,"&lt;="&amp;EOMONTH(AL$1,0),'UX + Dev'!$AB148:$DN148,"&lt;&gt;"))</f>
      </c>
      <c r="AM148">
        <f>IF($B148="",0,COUNTIFS('UX + Dev'!$AB$1:$DN$1,"&gt;="&amp;AM$1,'UX + Dev'!$AB$1:$DN$1,"&lt;="&amp;EOMONTH(AM$1,0),'UX + Dev'!$AB148:$DN148,"&lt;&gt;"))</f>
      </c>
      <c r="AN148">
        <f>IF($B148="",0,COUNTIFS('UX + Dev'!$AB$1:$DN$1,"&gt;="&amp;AN$1,'UX + Dev'!$AB$1:$DN$1,"&lt;="&amp;EOMONTH(AN$1,0),'UX + Dev'!$AB148:$DN148,"&lt;&gt;"))</f>
      </c>
      <c r="AO148">
        <f>IF($B148="",0,COUNTIFS('UX + Dev'!$AB$1:$DN$1,"&gt;="&amp;AO$1,'UX + Dev'!$AB$1:$DN$1,"&lt;="&amp;EOMONTH(AO$1,0),'UX + Dev'!$AB148:$DN148,"&lt;&gt;"))</f>
      </c>
      <c r="AP148">
        <f>IF($B148="",0,COUNTIFS('UX + Dev'!$AB$1:$DN$1,"&gt;="&amp;AP$1,'UX + Dev'!$AB$1:$DN$1,"&lt;="&amp;EOMONTH(AP$1,0),'UX + Dev'!$AB148:$DN148,"&lt;&gt;"))</f>
      </c>
      <c r="AQ148">
        <f>IF($B148="",0,COUNTIFS('UX + Dev'!$AB$1:$DN$1,"&gt;="&amp;AQ$1,'UX + Dev'!$AB$1:$DN$1,"&lt;="&amp;EOMONTH(AQ$1,0),'UX + Dev'!$AB148:$DN148,"&lt;&gt;"))</f>
      </c>
      <c r="AR148">
        <f>IF($B148="",0,COUNTIFS('UX + Dev'!$AB$1:$DN$1,"&gt;="&amp;AR$1,'UX + Dev'!$AB$1:$DN$1,"&lt;="&amp;EOMONTH(AR$1,0),'UX + Dev'!$AB148:$DN148,"&lt;&gt;"))</f>
      </c>
      <c r="AS148">
        <f>IF($B148="",0,COUNTIFS('UX + Dev'!$AB$1:$DN$1,"&gt;="&amp;AS$1,'UX + Dev'!$AB$1:$DN$1,"&lt;="&amp;EOMONTH(AS$1,0),'UX + Dev'!$AB148:$DN148,"&lt;&gt;"))</f>
      </c>
      <c r="AT148">
        <f>IF($B148="",0,COUNTIFS('UX + Dev'!$AB$1:$DN$1,"&gt;="&amp;AT$1,'UX + Dev'!$AB$1:$DN$1,"&lt;="&amp;EOMONTH(AT$1,0),'UX + Dev'!$AB148:$DN148,"&lt;&gt;"))</f>
      </c>
      <c r="AU148">
        <f>IF($B148="",0,COUNTIFS('UX + Dev'!$AB$1:$DN$1,"&gt;="&amp;AU$1,'UX + Dev'!$AB$1:$DN$1,"&lt;="&amp;EOMONTH(AU$1,0),'UX + Dev'!$AB148:$DN148,"&lt;&gt;"))</f>
      </c>
      <c r="AV148">
        <f>IF($B148="",0,COUNTIFS('UX + Dev'!$AB$1:$DN$1,"&gt;="&amp;AV$1,'UX + Dev'!$AB$1:$DN$1,"&lt;="&amp;EOMONTH(AV$1,0),'UX + Dev'!$AB148:$DN148,"&lt;&gt;"))</f>
      </c>
      <c r="AW148">
        <f>IF($B148="",0,COUNTIFS('UX + Dev'!$AB$1:$DN$1,"&gt;="&amp;AW$1,'UX + Dev'!$AB$1:$DN$1,"&lt;="&amp;EOMONTH(AW$1,0),'UX + Dev'!$AB148:$DN148,"&lt;&gt;"))</f>
      </c>
      <c r="AX148">
        <f>IF($B148="",0,COUNTIFS('UX + Dev'!$AB$1:$DN$1,"&gt;="&amp;AX$1,'UX + Dev'!$AB$1:$DN$1,"&lt;="&amp;EOMONTH(AX$1,0),'UX + Dev'!$AB148:$DN148,"&lt;&gt;"))</f>
      </c>
      <c r="BB148" s="308">
        <f>IF($B148="","",IF(COUNTA('UX + Dev'!U148)&gt;0,DATE(YEAR('UX + Dev'!U148),MONTH('UX + Dev'!U148),1),IF(COUNTA('UX + Dev'!V148)&gt;0,DATE(YEAR('UX + Dev'!V148),MONTH('UX + Dev'!V148),1),"")))</f>
      </c>
      <c r="BC148" s="308">
        <f>IF($B148="","",IF(COUNTA('UX + Dev'!V148)&gt;0,EOMONTH('UX + Dev'!V148,0),IF(COUNTA('UX + Dev'!U148)&gt;0,EOMONTH('UX + Dev'!U148,0),"")))</f>
      </c>
    </row>
    <row r="149">
      <c r="A149" s="305" t="n">
        <v>149</v>
      </c>
      <c r="B149" s="305">
        <f>IF(TRIM('UX + Dev'!E149)="","",TRIM('UX + Dev'!E149))</f>
      </c>
      <c r="C149" s="305">
        <f>IF($B149="","",'UX + Dev'!B149)</f>
      </c>
      <c r="D149" s="305">
        <f>IF($B149="","",IF(TRIM('UX + Dev'!C149)="","(No theme assigned)",TRIM('UX + Dev'!C149)))</f>
      </c>
      <c r="E149" s="305">
        <f>IF($B149="","",TRIM('UX + Dev'!F149))</f>
      </c>
      <c r="F149" s="305">
        <f>IF($B149="","",'UX + Dev'!G149)</f>
      </c>
      <c r="G149" s="306">
        <f t="array" ref="G149">IF($B149="","",IF($T149=0,"",IFERROR(MIN(IF('UX + Dev'!$AB149:$DN149&lt;&gt;"",'UX + Dev'!$AB$1:$DN$1)),"")))</f>
      </c>
      <c r="H149" s="306">
        <f t="array" ref="H149">IF($B149="","",IF($T149=0,"",IFERROR(MAX(IF('UX + Dev'!$AB149:$DN149&lt;&gt;"",'UX + Dev'!$AB$1:$DN$1)),"")))</f>
      </c>
      <c r="I149" s="307">
        <f>IF($R149&lt;&gt;"",$R149,IF($S149&lt;&gt;"",$S149,""))</f>
      </c>
      <c r="J149" s="307">
        <f>IF($S149&lt;&gt;"",EOMONTH($S149,0),IF($R149&lt;&gt;"",EOMONTH($R149,0),""))</f>
      </c>
      <c r="K149" s="305">
        <f>IF($B149="","",IF(COUNTA('UX + Dev'!AA149)=0,"",TRIM('UX + Dev'!AA149)))</f>
      </c>
      <c r="L149" s="305">
        <f>IF($B149="","",IFERROR(MATCH($D149,Control!$E$4:$E$30,0),99))</f>
      </c>
      <c r="M149" s="305">
        <f>IF($B149="","",IFERROR(MATCH($F149,Control!$B$4:$B$30,0),99))</f>
      </c>
      <c r="N149" s="305">
        <f>IF($V149&lt;&gt;1,"",IF('Roadmap (Auto)'!$D$3="Status, then Theme",$M149*1000000+$L149*10000+ROW(),IF('Roadmap (Auto)'!$D$3="Dev start (earliest)",IF($I149="",99999999,$I149)*10000+ROW(),IF('Roadmap (Auto)'!$D$3="UX start (earliest)",IF($G149="",99999999,$G149)*10000+ROW(),IF('Roadmap (Auto)'!$D$3="Deliverable A-Z",$W149*10000+ROW(),$L149*1000000+$M149*10000+ROW())))))</f>
      </c>
      <c r="O149" s="305">
        <f>IF($N149="","",COUNTIF($N$2:$N$151,"&lt;"&amp;$N149)+1)</f>
      </c>
      <c r="P149" s="305">
        <f>IF($B149="","",IF(COUNTA('UX + Dev'!X149)=0,"",'UX + Dev'!X149))</f>
      </c>
      <c r="Q149" s="305">
        <f>IF($B149="","",IF(COUNTA('UX + Dev'!Y149)=0,"",'UX + Dev'!Y149))</f>
      </c>
      <c r="R149" s="307">
        <f>IF($P149="","",IF(ISNUMBER($P149),DATE(YEAR($P149),MONTH($P149),1),IFERROR(DATE(IFERROR(VALUE(RIGHT(TRIM($P149),4)),YEAR(TODAY())),(SEARCH(LEFT(TRIM($P149),3),"JanFebMarAprMayJunJulAugSepOctNovDec")+2)/3,1),"")))</f>
      </c>
      <c r="S149" s="307">
        <f>IF($Q149="","",IF(ISNUMBER($Q149),DATE(YEAR($Q149),MONTH($Q149),1),IFERROR(DATE(IFERROR(VALUE(RIGHT(TRIM($Q149),4)),YEAR(TODAY())),(SEARCH(LEFT(TRIM($Q149),3),"JanFebMarAprMayJunJulAugSepOctNovDec")+2)/3,1),"")))</f>
      </c>
      <c r="T149" s="305">
        <f>IF($B149="","",COUNTA('UX + Dev'!$AB149:$DN149))</f>
      </c>
      <c r="U149" s="305">
        <f>IF($B149="","",IFERROR(MATCH($D149,Control!$E$4:$E$30,0)+3,0))</f>
      </c>
      <c r="V149" s="305">
        <f>IF($B149="","",IF(AND(OR('Roadmap (Auto)'!$A$3="",'Roadmap (Auto)'!$A$3="(All)",ISNUMBER(SEARCH('Roadmap (Auto)'!$A$3,$C149&amp;""))),OR('Roadmap (Auto)'!$B$3="",'Roadmap (Auto)'!$B$3="(All)",$D149='Roadmap (Auto)'!$B$3,$X149='Roadmap (Auto)'!$B$3),OR('Roadmap (Auto)'!$C$3="",'Roadmap (Auto)'!$C$3="(All)",$F149='Roadmap (Auto)'!$C$3)),1,0))</f>
      </c>
      <c r="W149" s="305">
        <f>IF($B149="","",COUNTIF($Y$2:$Y$151,"&lt;"&amp;$Y149)+1)</f>
      </c>
      <c r="X149" s="305">
        <f>IF($B149="","",IF(TRIM('UX + Dev'!D149)="","",TRIM('UX + Dev'!D149)))</f>
      </c>
      <c r="Y149" s="305">
        <f>IF($B149="","",SUBSTITUTE(SUBSTITUTE(SUBSTITUTE(SUBSTITUTE(SUBSTITUTE(SUBSTITUTE(SUBSTITUTE(SUBSTITUTE(SUBSTITUTE(SUBSTITUTE(SUBSTITUTE(SUBSTITUTE(SUBSTITUTE(SUBSTITUTE(SUBSTITUTE(SUBSTITUTE(SUBSTITUTE(SUBSTITUTE(SUBSTITUTE(SUBSTITUTE(SUBSTITUTE(SUBSTITUTE(SUBSTITUTE(SUBSTITUTE(SUBSTITUTE(UPPER($B149)," ",""),"-",""),":",""),"/",""),"&amp;",""),"|",""),"'",""),"’",""),"&lt;",""),"&gt;",""),",",""),"$",""),".",""),"(",""),")",""),"*",""),"?",""),"~",""),"_",""),"+",""),"#",""),";",""),"!",""),"%",""),"@",""))</f>
      </c>
      <c r="AA149">
        <f>IF($B149="",0,COUNTIFS('UX + Dev'!$AB$1:$DN$1,"&gt;="&amp;AA$1,'UX + Dev'!$AB$1:$DN$1,"&lt;="&amp;EOMONTH(AA$1,0),'UX + Dev'!$AB149:$DN149,"&lt;&gt;"))</f>
      </c>
      <c r="AB149">
        <f>IF($B149="",0,COUNTIFS('UX + Dev'!$AB$1:$DN$1,"&gt;="&amp;AB$1,'UX + Dev'!$AB$1:$DN$1,"&lt;="&amp;EOMONTH(AB$1,0),'UX + Dev'!$AB149:$DN149,"&lt;&gt;"))</f>
      </c>
      <c r="AC149">
        <f>IF($B149="",0,COUNTIFS('UX + Dev'!$AB$1:$DN$1,"&gt;="&amp;AC$1,'UX + Dev'!$AB$1:$DN$1,"&lt;="&amp;EOMONTH(AC$1,0),'UX + Dev'!$AB149:$DN149,"&lt;&gt;"))</f>
      </c>
      <c r="AD149">
        <f>IF($B149="",0,COUNTIFS('UX + Dev'!$AB$1:$DN$1,"&gt;="&amp;AD$1,'UX + Dev'!$AB$1:$DN$1,"&lt;="&amp;EOMONTH(AD$1,0),'UX + Dev'!$AB149:$DN149,"&lt;&gt;"))</f>
      </c>
      <c r="AE149">
        <f>IF($B149="",0,COUNTIFS('UX + Dev'!$AB$1:$DN$1,"&gt;="&amp;AE$1,'UX + Dev'!$AB$1:$DN$1,"&lt;="&amp;EOMONTH(AE$1,0),'UX + Dev'!$AB149:$DN149,"&lt;&gt;"))</f>
      </c>
      <c r="AF149">
        <f>IF($B149="",0,COUNTIFS('UX + Dev'!$AB$1:$DN$1,"&gt;="&amp;AF$1,'UX + Dev'!$AB$1:$DN$1,"&lt;="&amp;EOMONTH(AF$1,0),'UX + Dev'!$AB149:$DN149,"&lt;&gt;"))</f>
      </c>
      <c r="AG149">
        <f>IF($B149="",0,COUNTIFS('UX + Dev'!$AB$1:$DN$1,"&gt;="&amp;AG$1,'UX + Dev'!$AB$1:$DN$1,"&lt;="&amp;EOMONTH(AG$1,0),'UX + Dev'!$AB149:$DN149,"&lt;&gt;"))</f>
      </c>
      <c r="AH149">
        <f>IF($B149="",0,COUNTIFS('UX + Dev'!$AB$1:$DN$1,"&gt;="&amp;AH$1,'UX + Dev'!$AB$1:$DN$1,"&lt;="&amp;EOMONTH(AH$1,0),'UX + Dev'!$AB149:$DN149,"&lt;&gt;"))</f>
      </c>
      <c r="AI149">
        <f>IF($B149="",0,COUNTIFS('UX + Dev'!$AB$1:$DN$1,"&gt;="&amp;AI$1,'UX + Dev'!$AB$1:$DN$1,"&lt;="&amp;EOMONTH(AI$1,0),'UX + Dev'!$AB149:$DN149,"&lt;&gt;"))</f>
      </c>
      <c r="AJ149">
        <f>IF($B149="",0,COUNTIFS('UX + Dev'!$AB$1:$DN$1,"&gt;="&amp;AJ$1,'UX + Dev'!$AB$1:$DN$1,"&lt;="&amp;EOMONTH(AJ$1,0),'UX + Dev'!$AB149:$DN149,"&lt;&gt;"))</f>
      </c>
      <c r="AK149">
        <f>IF($B149="",0,COUNTIFS('UX + Dev'!$AB$1:$DN$1,"&gt;="&amp;AK$1,'UX + Dev'!$AB$1:$DN$1,"&lt;="&amp;EOMONTH(AK$1,0),'UX + Dev'!$AB149:$DN149,"&lt;&gt;"))</f>
      </c>
      <c r="AL149">
        <f>IF($B149="",0,COUNTIFS('UX + Dev'!$AB$1:$DN$1,"&gt;="&amp;AL$1,'UX + Dev'!$AB$1:$DN$1,"&lt;="&amp;EOMONTH(AL$1,0),'UX + Dev'!$AB149:$DN149,"&lt;&gt;"))</f>
      </c>
      <c r="AM149">
        <f>IF($B149="",0,COUNTIFS('UX + Dev'!$AB$1:$DN$1,"&gt;="&amp;AM$1,'UX + Dev'!$AB$1:$DN$1,"&lt;="&amp;EOMONTH(AM$1,0),'UX + Dev'!$AB149:$DN149,"&lt;&gt;"))</f>
      </c>
      <c r="AN149">
        <f>IF($B149="",0,COUNTIFS('UX + Dev'!$AB$1:$DN$1,"&gt;="&amp;AN$1,'UX + Dev'!$AB$1:$DN$1,"&lt;="&amp;EOMONTH(AN$1,0),'UX + Dev'!$AB149:$DN149,"&lt;&gt;"))</f>
      </c>
      <c r="AO149">
        <f>IF($B149="",0,COUNTIFS('UX + Dev'!$AB$1:$DN$1,"&gt;="&amp;AO$1,'UX + Dev'!$AB$1:$DN$1,"&lt;="&amp;EOMONTH(AO$1,0),'UX + Dev'!$AB149:$DN149,"&lt;&gt;"))</f>
      </c>
      <c r="AP149">
        <f>IF($B149="",0,COUNTIFS('UX + Dev'!$AB$1:$DN$1,"&gt;="&amp;AP$1,'UX + Dev'!$AB$1:$DN$1,"&lt;="&amp;EOMONTH(AP$1,0),'UX + Dev'!$AB149:$DN149,"&lt;&gt;"))</f>
      </c>
      <c r="AQ149">
        <f>IF($B149="",0,COUNTIFS('UX + Dev'!$AB$1:$DN$1,"&gt;="&amp;AQ$1,'UX + Dev'!$AB$1:$DN$1,"&lt;="&amp;EOMONTH(AQ$1,0),'UX + Dev'!$AB149:$DN149,"&lt;&gt;"))</f>
      </c>
      <c r="AR149">
        <f>IF($B149="",0,COUNTIFS('UX + Dev'!$AB$1:$DN$1,"&gt;="&amp;AR$1,'UX + Dev'!$AB$1:$DN$1,"&lt;="&amp;EOMONTH(AR$1,0),'UX + Dev'!$AB149:$DN149,"&lt;&gt;"))</f>
      </c>
      <c r="AS149">
        <f>IF($B149="",0,COUNTIFS('UX + Dev'!$AB$1:$DN$1,"&gt;="&amp;AS$1,'UX + Dev'!$AB$1:$DN$1,"&lt;="&amp;EOMONTH(AS$1,0),'UX + Dev'!$AB149:$DN149,"&lt;&gt;"))</f>
      </c>
      <c r="AT149">
        <f>IF($B149="",0,COUNTIFS('UX + Dev'!$AB$1:$DN$1,"&gt;="&amp;AT$1,'UX + Dev'!$AB$1:$DN$1,"&lt;="&amp;EOMONTH(AT$1,0),'UX + Dev'!$AB149:$DN149,"&lt;&gt;"))</f>
      </c>
      <c r="AU149">
        <f>IF($B149="",0,COUNTIFS('UX + Dev'!$AB$1:$DN$1,"&gt;="&amp;AU$1,'UX + Dev'!$AB$1:$DN$1,"&lt;="&amp;EOMONTH(AU$1,0),'UX + Dev'!$AB149:$DN149,"&lt;&gt;"))</f>
      </c>
      <c r="AV149">
        <f>IF($B149="",0,COUNTIFS('UX + Dev'!$AB$1:$DN$1,"&gt;="&amp;AV$1,'UX + Dev'!$AB$1:$DN$1,"&lt;="&amp;EOMONTH(AV$1,0),'UX + Dev'!$AB149:$DN149,"&lt;&gt;"))</f>
      </c>
      <c r="AW149">
        <f>IF($B149="",0,COUNTIFS('UX + Dev'!$AB$1:$DN$1,"&gt;="&amp;AW$1,'UX + Dev'!$AB$1:$DN$1,"&lt;="&amp;EOMONTH(AW$1,0),'UX + Dev'!$AB149:$DN149,"&lt;&gt;"))</f>
      </c>
      <c r="AX149">
        <f>IF($B149="",0,COUNTIFS('UX + Dev'!$AB$1:$DN$1,"&gt;="&amp;AX$1,'UX + Dev'!$AB$1:$DN$1,"&lt;="&amp;EOMONTH(AX$1,0),'UX + Dev'!$AB149:$DN149,"&lt;&gt;"))</f>
      </c>
      <c r="BB149" s="308">
        <f>IF($B149="","",IF(COUNTA('UX + Dev'!U149)&gt;0,DATE(YEAR('UX + Dev'!U149),MONTH('UX + Dev'!U149),1),IF(COUNTA('UX + Dev'!V149)&gt;0,DATE(YEAR('UX + Dev'!V149),MONTH('UX + Dev'!V149),1),"")))</f>
      </c>
      <c r="BC149" s="308">
        <f>IF($B149="","",IF(COUNTA('UX + Dev'!V149)&gt;0,EOMONTH('UX + Dev'!V149,0),IF(COUNTA('UX + Dev'!U149)&gt;0,EOMONTH('UX + Dev'!U149,0),"")))</f>
      </c>
    </row>
    <row r="150">
      <c r="A150" s="305" t="n">
        <v>150</v>
      </c>
      <c r="B150" s="305">
        <f>IF(TRIM('UX + Dev'!E150)="","",TRIM('UX + Dev'!E150))</f>
      </c>
      <c r="C150" s="305">
        <f>IF($B150="","",'UX + Dev'!B150)</f>
      </c>
      <c r="D150" s="305">
        <f>IF($B150="","",IF(TRIM('UX + Dev'!C150)="","(No theme assigned)",TRIM('UX + Dev'!C150)))</f>
      </c>
      <c r="E150" s="305">
        <f>IF($B150="","",TRIM('UX + Dev'!F150))</f>
      </c>
      <c r="F150" s="305">
        <f>IF($B150="","",'UX + Dev'!G150)</f>
      </c>
      <c r="G150" s="306">
        <f t="array" ref="G150">IF($B150="","",IF($T150=0,"",IFERROR(MIN(IF('UX + Dev'!$AB150:$DN150&lt;&gt;"",'UX + Dev'!$AB$1:$DN$1)),"")))</f>
      </c>
      <c r="H150" s="306">
        <f t="array" ref="H150">IF($B150="","",IF($T150=0,"",IFERROR(MAX(IF('UX + Dev'!$AB150:$DN150&lt;&gt;"",'UX + Dev'!$AB$1:$DN$1)),"")))</f>
      </c>
      <c r="I150" s="307">
        <f>IF($R150&lt;&gt;"",$R150,IF($S150&lt;&gt;"",$S150,""))</f>
      </c>
      <c r="J150" s="307">
        <f>IF($S150&lt;&gt;"",EOMONTH($S150,0),IF($R150&lt;&gt;"",EOMONTH($R150,0),""))</f>
      </c>
      <c r="K150" s="305">
        <f>IF($B150="","",IF(COUNTA('UX + Dev'!AA150)=0,"",TRIM('UX + Dev'!AA150)))</f>
      </c>
      <c r="L150" s="305">
        <f>IF($B150="","",IFERROR(MATCH($D150,Control!$E$4:$E$30,0),99))</f>
      </c>
      <c r="M150" s="305">
        <f>IF($B150="","",IFERROR(MATCH($F150,Control!$B$4:$B$30,0),99))</f>
      </c>
      <c r="N150" s="305">
        <f>IF($V150&lt;&gt;1,"",IF('Roadmap (Auto)'!$D$3="Status, then Theme",$M150*1000000+$L150*10000+ROW(),IF('Roadmap (Auto)'!$D$3="Dev start (earliest)",IF($I150="",99999999,$I150)*10000+ROW(),IF('Roadmap (Auto)'!$D$3="UX start (earliest)",IF($G150="",99999999,$G150)*10000+ROW(),IF('Roadmap (Auto)'!$D$3="Deliverable A-Z",$W150*10000+ROW(),$L150*1000000+$M150*10000+ROW())))))</f>
      </c>
      <c r="O150" s="305">
        <f>IF($N150="","",COUNTIF($N$2:$N$151,"&lt;"&amp;$N150)+1)</f>
      </c>
      <c r="P150" s="305">
        <f>IF($B150="","",IF(COUNTA('UX + Dev'!X150)=0,"",'UX + Dev'!X150))</f>
      </c>
      <c r="Q150" s="305">
        <f>IF($B150="","",IF(COUNTA('UX + Dev'!Y150)=0,"",'UX + Dev'!Y150))</f>
      </c>
      <c r="R150" s="307">
        <f>IF($P150="","",IF(ISNUMBER($P150),DATE(YEAR($P150),MONTH($P150),1),IFERROR(DATE(IFERROR(VALUE(RIGHT(TRIM($P150),4)),YEAR(TODAY())),(SEARCH(LEFT(TRIM($P150),3),"JanFebMarAprMayJunJulAugSepOctNovDec")+2)/3,1),"")))</f>
      </c>
      <c r="S150" s="307">
        <f>IF($Q150="","",IF(ISNUMBER($Q150),DATE(YEAR($Q150),MONTH($Q150),1),IFERROR(DATE(IFERROR(VALUE(RIGHT(TRIM($Q150),4)),YEAR(TODAY())),(SEARCH(LEFT(TRIM($Q150),3),"JanFebMarAprMayJunJulAugSepOctNovDec")+2)/3,1),"")))</f>
      </c>
      <c r="T150" s="305">
        <f>IF($B150="","",COUNTA('UX + Dev'!$AB150:$DN150))</f>
      </c>
      <c r="U150" s="305">
        <f>IF($B150="","",IFERROR(MATCH($D150,Control!$E$4:$E$30,0)+3,0))</f>
      </c>
      <c r="V150" s="305">
        <f>IF($B150="","",IF(AND(OR('Roadmap (Auto)'!$A$3="",'Roadmap (Auto)'!$A$3="(All)",ISNUMBER(SEARCH('Roadmap (Auto)'!$A$3,$C150&amp;""))),OR('Roadmap (Auto)'!$B$3="",'Roadmap (Auto)'!$B$3="(All)",$D150='Roadmap (Auto)'!$B$3,$X150='Roadmap (Auto)'!$B$3),OR('Roadmap (Auto)'!$C$3="",'Roadmap (Auto)'!$C$3="(All)",$F150='Roadmap (Auto)'!$C$3)),1,0))</f>
      </c>
      <c r="W150" s="305">
        <f>IF($B150="","",COUNTIF($Y$2:$Y$151,"&lt;"&amp;$Y150)+1)</f>
      </c>
      <c r="X150" s="305">
        <f>IF($B150="","",IF(TRIM('UX + Dev'!D150)="","",TRIM('UX + Dev'!D150)))</f>
      </c>
      <c r="Y150" s="305">
        <f>IF($B150="","",SUBSTITUTE(SUBSTITUTE(SUBSTITUTE(SUBSTITUTE(SUBSTITUTE(SUBSTITUTE(SUBSTITUTE(SUBSTITUTE(SUBSTITUTE(SUBSTITUTE(SUBSTITUTE(SUBSTITUTE(SUBSTITUTE(SUBSTITUTE(SUBSTITUTE(SUBSTITUTE(SUBSTITUTE(SUBSTITUTE(SUBSTITUTE(SUBSTITUTE(SUBSTITUTE(SUBSTITUTE(SUBSTITUTE(SUBSTITUTE(SUBSTITUTE(UPPER($B150)," ",""),"-",""),":",""),"/",""),"&amp;",""),"|",""),"'",""),"’",""),"&lt;",""),"&gt;",""),",",""),"$",""),".",""),"(",""),")",""),"*",""),"?",""),"~",""),"_",""),"+",""),"#",""),";",""),"!",""),"%",""),"@",""))</f>
      </c>
      <c r="AA150">
        <f>IF($B150="",0,COUNTIFS('UX + Dev'!$AB$1:$DN$1,"&gt;="&amp;AA$1,'UX + Dev'!$AB$1:$DN$1,"&lt;="&amp;EOMONTH(AA$1,0),'UX + Dev'!$AB150:$DN150,"&lt;&gt;"))</f>
      </c>
      <c r="AB150">
        <f>IF($B150="",0,COUNTIFS('UX + Dev'!$AB$1:$DN$1,"&gt;="&amp;AB$1,'UX + Dev'!$AB$1:$DN$1,"&lt;="&amp;EOMONTH(AB$1,0),'UX + Dev'!$AB150:$DN150,"&lt;&gt;"))</f>
      </c>
      <c r="AC150">
        <f>IF($B150="",0,COUNTIFS('UX + Dev'!$AB$1:$DN$1,"&gt;="&amp;AC$1,'UX + Dev'!$AB$1:$DN$1,"&lt;="&amp;EOMONTH(AC$1,0),'UX + Dev'!$AB150:$DN150,"&lt;&gt;"))</f>
      </c>
      <c r="AD150">
        <f>IF($B150="",0,COUNTIFS('UX + Dev'!$AB$1:$DN$1,"&gt;="&amp;AD$1,'UX + Dev'!$AB$1:$DN$1,"&lt;="&amp;EOMONTH(AD$1,0),'UX + Dev'!$AB150:$DN150,"&lt;&gt;"))</f>
      </c>
      <c r="AE150">
        <f>IF($B150="",0,COUNTIFS('UX + Dev'!$AB$1:$DN$1,"&gt;="&amp;AE$1,'UX + Dev'!$AB$1:$DN$1,"&lt;="&amp;EOMONTH(AE$1,0),'UX + Dev'!$AB150:$DN150,"&lt;&gt;"))</f>
      </c>
      <c r="AF150">
        <f>IF($B150="",0,COUNTIFS('UX + Dev'!$AB$1:$DN$1,"&gt;="&amp;AF$1,'UX + Dev'!$AB$1:$DN$1,"&lt;="&amp;EOMONTH(AF$1,0),'UX + Dev'!$AB150:$DN150,"&lt;&gt;"))</f>
      </c>
      <c r="AG150">
        <f>IF($B150="",0,COUNTIFS('UX + Dev'!$AB$1:$DN$1,"&gt;="&amp;AG$1,'UX + Dev'!$AB$1:$DN$1,"&lt;="&amp;EOMONTH(AG$1,0),'UX + Dev'!$AB150:$DN150,"&lt;&gt;"))</f>
      </c>
      <c r="AH150">
        <f>IF($B150="",0,COUNTIFS('UX + Dev'!$AB$1:$DN$1,"&gt;="&amp;AH$1,'UX + Dev'!$AB$1:$DN$1,"&lt;="&amp;EOMONTH(AH$1,0),'UX + Dev'!$AB150:$DN150,"&lt;&gt;"))</f>
      </c>
      <c r="AI150">
        <f>IF($B150="",0,COUNTIFS('UX + Dev'!$AB$1:$DN$1,"&gt;="&amp;AI$1,'UX + Dev'!$AB$1:$DN$1,"&lt;="&amp;EOMONTH(AI$1,0),'UX + Dev'!$AB150:$DN150,"&lt;&gt;"))</f>
      </c>
      <c r="AJ150">
        <f>IF($B150="",0,COUNTIFS('UX + Dev'!$AB$1:$DN$1,"&gt;="&amp;AJ$1,'UX + Dev'!$AB$1:$DN$1,"&lt;="&amp;EOMONTH(AJ$1,0),'UX + Dev'!$AB150:$DN150,"&lt;&gt;"))</f>
      </c>
      <c r="AK150">
        <f>IF($B150="",0,COUNTIFS('UX + Dev'!$AB$1:$DN$1,"&gt;="&amp;AK$1,'UX + Dev'!$AB$1:$DN$1,"&lt;="&amp;EOMONTH(AK$1,0),'UX + Dev'!$AB150:$DN150,"&lt;&gt;"))</f>
      </c>
      <c r="AL150">
        <f>IF($B150="",0,COUNTIFS('UX + Dev'!$AB$1:$DN$1,"&gt;="&amp;AL$1,'UX + Dev'!$AB$1:$DN$1,"&lt;="&amp;EOMONTH(AL$1,0),'UX + Dev'!$AB150:$DN150,"&lt;&gt;"))</f>
      </c>
      <c r="AM150">
        <f>IF($B150="",0,COUNTIFS('UX + Dev'!$AB$1:$DN$1,"&gt;="&amp;AM$1,'UX + Dev'!$AB$1:$DN$1,"&lt;="&amp;EOMONTH(AM$1,0),'UX + Dev'!$AB150:$DN150,"&lt;&gt;"))</f>
      </c>
      <c r="AN150">
        <f>IF($B150="",0,COUNTIFS('UX + Dev'!$AB$1:$DN$1,"&gt;="&amp;AN$1,'UX + Dev'!$AB$1:$DN$1,"&lt;="&amp;EOMONTH(AN$1,0),'UX + Dev'!$AB150:$DN150,"&lt;&gt;"))</f>
      </c>
      <c r="AO150">
        <f>IF($B150="",0,COUNTIFS('UX + Dev'!$AB$1:$DN$1,"&gt;="&amp;AO$1,'UX + Dev'!$AB$1:$DN$1,"&lt;="&amp;EOMONTH(AO$1,0),'UX + Dev'!$AB150:$DN150,"&lt;&gt;"))</f>
      </c>
      <c r="AP150">
        <f>IF($B150="",0,COUNTIFS('UX + Dev'!$AB$1:$DN$1,"&gt;="&amp;AP$1,'UX + Dev'!$AB$1:$DN$1,"&lt;="&amp;EOMONTH(AP$1,0),'UX + Dev'!$AB150:$DN150,"&lt;&gt;"))</f>
      </c>
      <c r="AQ150">
        <f>IF($B150="",0,COUNTIFS('UX + Dev'!$AB$1:$DN$1,"&gt;="&amp;AQ$1,'UX + Dev'!$AB$1:$DN$1,"&lt;="&amp;EOMONTH(AQ$1,0),'UX + Dev'!$AB150:$DN150,"&lt;&gt;"))</f>
      </c>
      <c r="AR150">
        <f>IF($B150="",0,COUNTIFS('UX + Dev'!$AB$1:$DN$1,"&gt;="&amp;AR$1,'UX + Dev'!$AB$1:$DN$1,"&lt;="&amp;EOMONTH(AR$1,0),'UX + Dev'!$AB150:$DN150,"&lt;&gt;"))</f>
      </c>
      <c r="AS150">
        <f>IF($B150="",0,COUNTIFS('UX + Dev'!$AB$1:$DN$1,"&gt;="&amp;AS$1,'UX + Dev'!$AB$1:$DN$1,"&lt;="&amp;EOMONTH(AS$1,0),'UX + Dev'!$AB150:$DN150,"&lt;&gt;"))</f>
      </c>
      <c r="AT150">
        <f>IF($B150="",0,COUNTIFS('UX + Dev'!$AB$1:$DN$1,"&gt;="&amp;AT$1,'UX + Dev'!$AB$1:$DN$1,"&lt;="&amp;EOMONTH(AT$1,0),'UX + Dev'!$AB150:$DN150,"&lt;&gt;"))</f>
      </c>
      <c r="AU150">
        <f>IF($B150="",0,COUNTIFS('UX + Dev'!$AB$1:$DN$1,"&gt;="&amp;AU$1,'UX + Dev'!$AB$1:$DN$1,"&lt;="&amp;EOMONTH(AU$1,0),'UX + Dev'!$AB150:$DN150,"&lt;&gt;"))</f>
      </c>
      <c r="AV150">
        <f>IF($B150="",0,COUNTIFS('UX + Dev'!$AB$1:$DN$1,"&gt;="&amp;AV$1,'UX + Dev'!$AB$1:$DN$1,"&lt;="&amp;EOMONTH(AV$1,0),'UX + Dev'!$AB150:$DN150,"&lt;&gt;"))</f>
      </c>
      <c r="AW150">
        <f>IF($B150="",0,COUNTIFS('UX + Dev'!$AB$1:$DN$1,"&gt;="&amp;AW$1,'UX + Dev'!$AB$1:$DN$1,"&lt;="&amp;EOMONTH(AW$1,0),'UX + Dev'!$AB150:$DN150,"&lt;&gt;"))</f>
      </c>
      <c r="AX150">
        <f>IF($B150="",0,COUNTIFS('UX + Dev'!$AB$1:$DN$1,"&gt;="&amp;AX$1,'UX + Dev'!$AB$1:$DN$1,"&lt;="&amp;EOMONTH(AX$1,0),'UX + Dev'!$AB150:$DN150,"&lt;&gt;"))</f>
      </c>
      <c r="BB150" s="308">
        <f>IF($B150="","",IF(COUNTA('UX + Dev'!U150)&gt;0,DATE(YEAR('UX + Dev'!U150),MONTH('UX + Dev'!U150),1),IF(COUNTA('UX + Dev'!V150)&gt;0,DATE(YEAR('UX + Dev'!V150),MONTH('UX + Dev'!V150),1),"")))</f>
      </c>
      <c r="BC150" s="308">
        <f>IF($B150="","",IF(COUNTA('UX + Dev'!V150)&gt;0,EOMONTH('UX + Dev'!V150,0),IF(COUNTA('UX + Dev'!U150)&gt;0,EOMONTH('UX + Dev'!U150,0),"")))</f>
      </c>
    </row>
    <row r="151">
      <c r="A151" s="305" t="n">
        <v>151</v>
      </c>
      <c r="B151" s="305">
        <f>IF(TRIM('UX + Dev'!E151)="","",TRIM('UX + Dev'!E151))</f>
      </c>
      <c r="C151" s="305">
        <f>IF($B151="","",'UX + Dev'!B151)</f>
      </c>
      <c r="D151" s="305">
        <f>IF($B151="","",IF(TRIM('UX + Dev'!C151)="","(No theme assigned)",TRIM('UX + Dev'!C151)))</f>
      </c>
      <c r="E151" s="305">
        <f>IF($B151="","",TRIM('UX + Dev'!F151))</f>
      </c>
      <c r="F151" s="305">
        <f>IF($B151="","",'UX + Dev'!G151)</f>
      </c>
      <c r="G151" s="306">
        <f t="array" ref="G151">IF($B151="","",IF($T151=0,"",IFERROR(MIN(IF('UX + Dev'!$AB151:$DN151&lt;&gt;"",'UX + Dev'!$AB$1:$DN$1)),"")))</f>
      </c>
      <c r="H151" s="306">
        <f t="array" ref="H151">IF($B151="","",IF($T151=0,"",IFERROR(MAX(IF('UX + Dev'!$AB151:$DN151&lt;&gt;"",'UX + Dev'!$AB$1:$DN$1)),"")))</f>
      </c>
      <c r="I151" s="307">
        <f>IF($R151&lt;&gt;"",$R151,IF($S151&lt;&gt;"",$S151,""))</f>
      </c>
      <c r="J151" s="307">
        <f>IF($S151&lt;&gt;"",EOMONTH($S151,0),IF($R151&lt;&gt;"",EOMONTH($R151,0),""))</f>
      </c>
      <c r="K151" s="305">
        <f>IF($B151="","",IF(COUNTA('UX + Dev'!AA151)=0,"",TRIM('UX + Dev'!AA151)))</f>
      </c>
      <c r="L151" s="305">
        <f>IF($B151="","",IFERROR(MATCH($D151,Control!$E$4:$E$30,0),99))</f>
      </c>
      <c r="M151" s="305">
        <f>IF($B151="","",IFERROR(MATCH($F151,Control!$B$4:$B$30,0),99))</f>
      </c>
      <c r="N151" s="305">
        <f>IF($V151&lt;&gt;1,"",IF('Roadmap (Auto)'!$D$3="Status, then Theme",$M151*1000000+$L151*10000+ROW(),IF('Roadmap (Auto)'!$D$3="Dev start (earliest)",IF($I151="",99999999,$I151)*10000+ROW(),IF('Roadmap (Auto)'!$D$3="UX start (earliest)",IF($G151="",99999999,$G151)*10000+ROW(),IF('Roadmap (Auto)'!$D$3="Deliverable A-Z",$W151*10000+ROW(),$L151*1000000+$M151*10000+ROW())))))</f>
      </c>
      <c r="O151" s="305">
        <f>IF($N151="","",COUNTIF($N$2:$N$151,"&lt;"&amp;$N151)+1)</f>
      </c>
      <c r="P151" s="305">
        <f>IF($B151="","",IF(COUNTA('UX + Dev'!X151)=0,"",'UX + Dev'!X151))</f>
      </c>
      <c r="Q151" s="305">
        <f>IF($B151="","",IF(COUNTA('UX + Dev'!Y151)=0,"",'UX + Dev'!Y151))</f>
      </c>
      <c r="R151" s="307">
        <f>IF($P151="","",IF(ISNUMBER($P151),DATE(YEAR($P151),MONTH($P151),1),IFERROR(DATE(IFERROR(VALUE(RIGHT(TRIM($P151),4)),YEAR(TODAY())),(SEARCH(LEFT(TRIM($P151),3),"JanFebMarAprMayJunJulAugSepOctNovDec")+2)/3,1),"")))</f>
      </c>
      <c r="S151" s="307">
        <f>IF($Q151="","",IF(ISNUMBER($Q151),DATE(YEAR($Q151),MONTH($Q151),1),IFERROR(DATE(IFERROR(VALUE(RIGHT(TRIM($Q151),4)),YEAR(TODAY())),(SEARCH(LEFT(TRIM($Q151),3),"JanFebMarAprMayJunJulAugSepOctNovDec")+2)/3,1),"")))</f>
      </c>
      <c r="T151" s="305">
        <f>IF($B151="","",COUNTA('UX + Dev'!$AB151:$DN151))</f>
      </c>
      <c r="U151" s="305">
        <f>IF($B151="","",IFERROR(MATCH($D151,Control!$E$4:$E$30,0)+3,0))</f>
      </c>
      <c r="V151" s="305">
        <f>IF($B151="","",IF(AND(OR('Roadmap (Auto)'!$A$3="",'Roadmap (Auto)'!$A$3="(All)",ISNUMBER(SEARCH('Roadmap (Auto)'!$A$3,$C151&amp;""))),OR('Roadmap (Auto)'!$B$3="",'Roadmap (Auto)'!$B$3="(All)",$D151='Roadmap (Auto)'!$B$3,$X151='Roadmap (Auto)'!$B$3),OR('Roadmap (Auto)'!$C$3="",'Roadmap (Auto)'!$C$3="(All)",$F151='Roadmap (Auto)'!$C$3)),1,0))</f>
      </c>
      <c r="W151" s="305">
        <f>IF($B151="","",COUNTIF($Y$2:$Y$151,"&lt;"&amp;$Y151)+1)</f>
      </c>
      <c r="X151" s="305">
        <f>IF($B151="","",IF(TRIM('UX + Dev'!D151)="","",TRIM('UX + Dev'!D151)))</f>
      </c>
      <c r="Y151" s="305">
        <f>IF($B151="","",SUBSTITUTE(SUBSTITUTE(SUBSTITUTE(SUBSTITUTE(SUBSTITUTE(SUBSTITUTE(SUBSTITUTE(SUBSTITUTE(SUBSTITUTE(SUBSTITUTE(SUBSTITUTE(SUBSTITUTE(SUBSTITUTE(SUBSTITUTE(SUBSTITUTE(SUBSTITUTE(SUBSTITUTE(SUBSTITUTE(SUBSTITUTE(SUBSTITUTE(SUBSTITUTE(SUBSTITUTE(SUBSTITUTE(SUBSTITUTE(SUBSTITUTE(UPPER($B151)," ",""),"-",""),":",""),"/",""),"&amp;",""),"|",""),"'",""),"’",""),"&lt;",""),"&gt;",""),",",""),"$",""),".",""),"(",""),")",""),"*",""),"?",""),"~",""),"_",""),"+",""),"#",""),";",""),"!",""),"%",""),"@",""))</f>
      </c>
      <c r="AA151">
        <f>IF($B151="",0,COUNTIFS('UX + Dev'!$AB$1:$DN$1,"&gt;="&amp;AA$1,'UX + Dev'!$AB$1:$DN$1,"&lt;="&amp;EOMONTH(AA$1,0),'UX + Dev'!$AB151:$DN151,"&lt;&gt;"))</f>
      </c>
      <c r="AB151">
        <f>IF($B151="",0,COUNTIFS('UX + Dev'!$AB$1:$DN$1,"&gt;="&amp;AB$1,'UX + Dev'!$AB$1:$DN$1,"&lt;="&amp;EOMONTH(AB$1,0),'UX + Dev'!$AB151:$DN151,"&lt;&gt;"))</f>
      </c>
      <c r="AC151">
        <f>IF($B151="",0,COUNTIFS('UX + Dev'!$AB$1:$DN$1,"&gt;="&amp;AC$1,'UX + Dev'!$AB$1:$DN$1,"&lt;="&amp;EOMONTH(AC$1,0),'UX + Dev'!$AB151:$DN151,"&lt;&gt;"))</f>
      </c>
      <c r="AD151">
        <f>IF($B151="",0,COUNTIFS('UX + Dev'!$AB$1:$DN$1,"&gt;="&amp;AD$1,'UX + Dev'!$AB$1:$DN$1,"&lt;="&amp;EOMONTH(AD$1,0),'UX + Dev'!$AB151:$DN151,"&lt;&gt;"))</f>
      </c>
      <c r="AE151">
        <f>IF($B151="",0,COUNTIFS('UX + Dev'!$AB$1:$DN$1,"&gt;="&amp;AE$1,'UX + Dev'!$AB$1:$DN$1,"&lt;="&amp;EOMONTH(AE$1,0),'UX + Dev'!$AB151:$DN151,"&lt;&gt;"))</f>
      </c>
      <c r="AF151">
        <f>IF($B151="",0,COUNTIFS('UX + Dev'!$AB$1:$DN$1,"&gt;="&amp;AF$1,'UX + Dev'!$AB$1:$DN$1,"&lt;="&amp;EOMONTH(AF$1,0),'UX + Dev'!$AB151:$DN151,"&lt;&gt;"))</f>
      </c>
      <c r="AG151">
        <f>IF($B151="",0,COUNTIFS('UX + Dev'!$AB$1:$DN$1,"&gt;="&amp;AG$1,'UX + Dev'!$AB$1:$DN$1,"&lt;="&amp;EOMONTH(AG$1,0),'UX + Dev'!$AB151:$DN151,"&lt;&gt;"))</f>
      </c>
      <c r="AH151">
        <f>IF($B151="",0,COUNTIFS('UX + Dev'!$AB$1:$DN$1,"&gt;="&amp;AH$1,'UX + Dev'!$AB$1:$DN$1,"&lt;="&amp;EOMONTH(AH$1,0),'UX + Dev'!$AB151:$DN151,"&lt;&gt;"))</f>
      </c>
      <c r="AI151">
        <f>IF($B151="",0,COUNTIFS('UX + Dev'!$AB$1:$DN$1,"&gt;="&amp;AI$1,'UX + Dev'!$AB$1:$DN$1,"&lt;="&amp;EOMONTH(AI$1,0),'UX + Dev'!$AB151:$DN151,"&lt;&gt;"))</f>
      </c>
      <c r="AJ151">
        <f>IF($B151="",0,COUNTIFS('UX + Dev'!$AB$1:$DN$1,"&gt;="&amp;AJ$1,'UX + Dev'!$AB$1:$DN$1,"&lt;="&amp;EOMONTH(AJ$1,0),'UX + Dev'!$AB151:$DN151,"&lt;&gt;"))</f>
      </c>
      <c r="AK151">
        <f>IF($B151="",0,COUNTIFS('UX + Dev'!$AB$1:$DN$1,"&gt;="&amp;AK$1,'UX + Dev'!$AB$1:$DN$1,"&lt;="&amp;EOMONTH(AK$1,0),'UX + Dev'!$AB151:$DN151,"&lt;&gt;"))</f>
      </c>
      <c r="AL151">
        <f>IF($B151="",0,COUNTIFS('UX + Dev'!$AB$1:$DN$1,"&gt;="&amp;AL$1,'UX + Dev'!$AB$1:$DN$1,"&lt;="&amp;EOMONTH(AL$1,0),'UX + Dev'!$AB151:$DN151,"&lt;&gt;"))</f>
      </c>
      <c r="AM151">
        <f>IF($B151="",0,COUNTIFS('UX + Dev'!$AB$1:$DN$1,"&gt;="&amp;AM$1,'UX + Dev'!$AB$1:$DN$1,"&lt;="&amp;EOMONTH(AM$1,0),'UX + Dev'!$AB151:$DN151,"&lt;&gt;"))</f>
      </c>
      <c r="AN151">
        <f>IF($B151="",0,COUNTIFS('UX + Dev'!$AB$1:$DN$1,"&gt;="&amp;AN$1,'UX + Dev'!$AB$1:$DN$1,"&lt;="&amp;EOMONTH(AN$1,0),'UX + Dev'!$AB151:$DN151,"&lt;&gt;"))</f>
      </c>
      <c r="AO151">
        <f>IF($B151="",0,COUNTIFS('UX + Dev'!$AB$1:$DN$1,"&gt;="&amp;AO$1,'UX + Dev'!$AB$1:$DN$1,"&lt;="&amp;EOMONTH(AO$1,0),'UX + Dev'!$AB151:$DN151,"&lt;&gt;"))</f>
      </c>
      <c r="AP151">
        <f>IF($B151="",0,COUNTIFS('UX + Dev'!$AB$1:$DN$1,"&gt;="&amp;AP$1,'UX + Dev'!$AB$1:$DN$1,"&lt;="&amp;EOMONTH(AP$1,0),'UX + Dev'!$AB151:$DN151,"&lt;&gt;"))</f>
      </c>
      <c r="AQ151">
        <f>IF($B151="",0,COUNTIFS('UX + Dev'!$AB$1:$DN$1,"&gt;="&amp;AQ$1,'UX + Dev'!$AB$1:$DN$1,"&lt;="&amp;EOMONTH(AQ$1,0),'UX + Dev'!$AB151:$DN151,"&lt;&gt;"))</f>
      </c>
      <c r="AR151">
        <f>IF($B151="",0,COUNTIFS('UX + Dev'!$AB$1:$DN$1,"&gt;="&amp;AR$1,'UX + Dev'!$AB$1:$DN$1,"&lt;="&amp;EOMONTH(AR$1,0),'UX + Dev'!$AB151:$DN151,"&lt;&gt;"))</f>
      </c>
      <c r="AS151">
        <f>IF($B151="",0,COUNTIFS('UX + Dev'!$AB$1:$DN$1,"&gt;="&amp;AS$1,'UX + Dev'!$AB$1:$DN$1,"&lt;="&amp;EOMONTH(AS$1,0),'UX + Dev'!$AB151:$DN151,"&lt;&gt;"))</f>
      </c>
      <c r="AT151">
        <f>IF($B151="",0,COUNTIFS('UX + Dev'!$AB$1:$DN$1,"&gt;="&amp;AT$1,'UX + Dev'!$AB$1:$DN$1,"&lt;="&amp;EOMONTH(AT$1,0),'UX + Dev'!$AB151:$DN151,"&lt;&gt;"))</f>
      </c>
      <c r="AU151">
        <f>IF($B151="",0,COUNTIFS('UX + Dev'!$AB$1:$DN$1,"&gt;="&amp;AU$1,'UX + Dev'!$AB$1:$DN$1,"&lt;="&amp;EOMONTH(AU$1,0),'UX + Dev'!$AB151:$DN151,"&lt;&gt;"))</f>
      </c>
      <c r="AV151">
        <f>IF($B151="",0,COUNTIFS('UX + Dev'!$AB$1:$DN$1,"&gt;="&amp;AV$1,'UX + Dev'!$AB$1:$DN$1,"&lt;="&amp;EOMONTH(AV$1,0),'UX + Dev'!$AB151:$DN151,"&lt;&gt;"))</f>
      </c>
      <c r="AW151">
        <f>IF($B151="",0,COUNTIFS('UX + Dev'!$AB$1:$DN$1,"&gt;="&amp;AW$1,'UX + Dev'!$AB$1:$DN$1,"&lt;="&amp;EOMONTH(AW$1,0),'UX + Dev'!$AB151:$DN151,"&lt;&gt;"))</f>
      </c>
      <c r="AX151">
        <f>IF($B151="",0,COUNTIFS('UX + Dev'!$AB$1:$DN$1,"&gt;="&amp;AX$1,'UX + Dev'!$AB$1:$DN$1,"&lt;="&amp;EOMONTH(AX$1,0),'UX + Dev'!$AB151:$DN151,"&lt;&gt;"))</f>
      </c>
      <c r="BB151" s="308">
        <f>IF($B151="","",IF(COUNTA('UX + Dev'!U151)&gt;0,DATE(YEAR('UX + Dev'!U151),MONTH('UX + Dev'!U151),1),IF(COUNTA('UX + Dev'!V151)&gt;0,DATE(YEAR('UX + Dev'!V151),MONTH('UX + Dev'!V151),1),"")))</f>
      </c>
      <c r="BC151" s="308">
        <f>IF($B151="","",IF(COUNTA('UX + Dev'!V151)&gt;0,EOMONTH('UX + Dev'!V151,0),IF(COUNTA('UX + Dev'!U151)&gt;0,EOMONTH('UX + Dev'!U151,0),"")))</f>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Roadmap (Auto)</vt:lpstr>
      <vt:lpstr>Quaterly</vt:lpstr>
      <vt:lpstr>Monthly</vt:lpstr>
      <vt:lpstr>UX + Dev</vt:lpstr>
      <vt:lpstr>Model (Don't Touch)</vt:lpstr>
      <vt:lpstr>Obsolete</vt:lpstr>
      <vt:lpstr>Control</vt:lpstr>
      <vt:lpstr>Metrics</vt:lpstr>
      <vt:lpstr>GA4</vt:lpstr>
      <vt:lpstr>Roadmap Calc (Don’t Touch)</vt:lpstr>
      <vt:lpstr>'UX +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cp:lastPrinted>2026-09-08T14:12:42Z</cp:lastPrinted>
  <dcterms:created xsi:type="dcterms:W3CDTF">2026-03-13T16:05:32Z</dcterms:created>
  <dcterms:modified xsi:type="dcterms:W3CDTF">2026-09-08T17:12:55Z</dcterms:modified>
  <cp:category/>
  <cp:contentStatus/>
</cp:coreProperties>
</file>